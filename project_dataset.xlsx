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8_{C495757E-8A8B-4AC9-B3ED-4D7DC01CD5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6" r:id="rId1"/>
    <sheet name="orders" sheetId="1" r:id="rId2"/>
    <sheet name="customers" sheetId="2" r:id="rId3"/>
    <sheet name="products" sheetId="3" r:id="rId4"/>
    <sheet name="shipments" sheetId="4" r:id="rId5"/>
  </sheets>
  <definedNames>
    <definedName name="_xlcn.WorksheetConnection_realistic_mis_dataset.xlsxorder1" hidden="1">order[]</definedName>
    <definedName name="customers">customer[#All]</definedName>
  </definedNames>
  <calcPr calcId="191029"/>
  <pivotCaches>
    <pivotCache cacheId="49" r:id="rId6"/>
    <pivotCache cacheId="52" r:id="rId7"/>
  </pivotCaches>
  <extLst>
    <ext xmlns:x15="http://schemas.microsoft.com/office/spreadsheetml/2010/11/main" uri="{FCE2AD5D-F65C-4FA6-A056-5C36A1767C68}">
      <x15:dataModel>
        <x15:modelTables>
          <x15:modelTable id="order" name="order" connection="WorksheetConnection_realistic_mis_dataset.xlsx!order"/>
        </x15:modelTables>
        <x15:extLst>
          <ext xmlns:x16="http://schemas.microsoft.com/office/spreadsheetml/2014/11/main" uri="{9835A34E-60A6-4A7C-AAB8-D5F71C897F49}">
            <x16:modelTimeGroupings>
              <x16:modelTimeGrouping tableName="order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R2" i="1"/>
  <c r="R967" i="1"/>
  <c r="R240" i="1"/>
  <c r="R5" i="1"/>
  <c r="R6" i="1"/>
  <c r="R7" i="1"/>
  <c r="R8" i="1"/>
  <c r="R296" i="1"/>
  <c r="R41" i="1"/>
  <c r="R745" i="1"/>
  <c r="R12" i="1"/>
  <c r="R358" i="1"/>
  <c r="R907" i="1"/>
  <c r="R202" i="1"/>
  <c r="R16" i="1"/>
  <c r="R446" i="1"/>
  <c r="R18" i="1"/>
  <c r="R110" i="1"/>
  <c r="R20" i="1"/>
  <c r="R21" i="1"/>
  <c r="R22" i="1"/>
  <c r="R23" i="1"/>
  <c r="R982" i="1"/>
  <c r="R280" i="1"/>
  <c r="R26" i="1"/>
  <c r="R662" i="1"/>
  <c r="R28" i="1"/>
  <c r="R1135" i="1"/>
  <c r="R708" i="1"/>
  <c r="R31" i="1"/>
  <c r="R32" i="1"/>
  <c r="R33" i="1"/>
  <c r="R34" i="1"/>
  <c r="R35" i="1"/>
  <c r="R36" i="1"/>
  <c r="R37" i="1"/>
  <c r="R38" i="1"/>
  <c r="R39" i="1"/>
  <c r="R417" i="1"/>
  <c r="R739" i="1"/>
  <c r="R42" i="1"/>
  <c r="R316" i="1"/>
  <c r="R44" i="1"/>
  <c r="R45" i="1"/>
  <c r="R46" i="1"/>
  <c r="R47" i="1"/>
  <c r="R48" i="1"/>
  <c r="R812" i="1"/>
  <c r="R50" i="1"/>
  <c r="R90" i="1"/>
  <c r="R52" i="1"/>
  <c r="R53" i="1"/>
  <c r="R73" i="1"/>
  <c r="R261" i="1"/>
  <c r="R492" i="1"/>
  <c r="R103" i="1"/>
  <c r="R58" i="1"/>
  <c r="R458" i="1"/>
  <c r="R774" i="1"/>
  <c r="R282" i="1"/>
  <c r="R62" i="1"/>
  <c r="R63" i="1"/>
  <c r="R171" i="1"/>
  <c r="R613" i="1"/>
  <c r="R66" i="1"/>
  <c r="R563" i="1"/>
  <c r="R68" i="1"/>
  <c r="R69" i="1"/>
  <c r="R70" i="1"/>
  <c r="R532" i="1"/>
  <c r="R72" i="1"/>
  <c r="R1092" i="1"/>
  <c r="R146" i="1"/>
  <c r="R75" i="1"/>
  <c r="R76" i="1"/>
  <c r="R77" i="1"/>
  <c r="R78" i="1"/>
  <c r="R79" i="1"/>
  <c r="R80" i="1"/>
  <c r="R81" i="1"/>
  <c r="R82" i="1"/>
  <c r="R711" i="1"/>
  <c r="R84" i="1"/>
  <c r="R250" i="1"/>
  <c r="R437" i="1"/>
  <c r="R87" i="1"/>
  <c r="R1063" i="1"/>
  <c r="R89" i="1"/>
  <c r="R506" i="1"/>
  <c r="R951" i="1"/>
  <c r="R92" i="1"/>
  <c r="R93" i="1"/>
  <c r="R659" i="1"/>
  <c r="R669" i="1"/>
  <c r="R96" i="1"/>
  <c r="R599" i="1"/>
  <c r="R628" i="1"/>
  <c r="R99" i="1"/>
  <c r="R994" i="1"/>
  <c r="R65" i="1"/>
  <c r="R102" i="1"/>
  <c r="R1167" i="1"/>
  <c r="R104" i="1"/>
  <c r="R105" i="1"/>
  <c r="R106" i="1"/>
  <c r="R107" i="1"/>
  <c r="R19" i="1"/>
  <c r="R916" i="1"/>
  <c r="R342" i="1"/>
  <c r="R616" i="1"/>
  <c r="R637" i="1"/>
  <c r="R544" i="1"/>
  <c r="R114" i="1"/>
  <c r="R13" i="1"/>
  <c r="R116" i="1"/>
  <c r="R117" i="1"/>
  <c r="R944" i="1"/>
  <c r="R543" i="1"/>
  <c r="R1189" i="1"/>
  <c r="R121" i="1"/>
  <c r="R576" i="1"/>
  <c r="R939" i="1"/>
  <c r="R124" i="1"/>
  <c r="R125" i="1"/>
  <c r="R311" i="1"/>
  <c r="R460" i="1"/>
  <c r="R299" i="1"/>
  <c r="R129" i="1"/>
  <c r="R130" i="1"/>
  <c r="R131" i="1"/>
  <c r="R186" i="1"/>
  <c r="R133" i="1"/>
  <c r="R672" i="1"/>
  <c r="R799" i="1"/>
  <c r="R335" i="1"/>
  <c r="R137" i="1"/>
  <c r="R286" i="1"/>
  <c r="R139" i="1"/>
  <c r="R140" i="1"/>
  <c r="R141" i="1"/>
  <c r="R142" i="1"/>
  <c r="R143" i="1"/>
  <c r="R112" i="1"/>
  <c r="R385" i="1"/>
  <c r="R164" i="1"/>
  <c r="R147" i="1"/>
  <c r="R148" i="1"/>
  <c r="R149" i="1"/>
  <c r="R150" i="1"/>
  <c r="R719" i="1"/>
  <c r="R152" i="1"/>
  <c r="R153" i="1"/>
  <c r="R154" i="1"/>
  <c r="R213" i="1"/>
  <c r="R156" i="1"/>
  <c r="R157" i="1"/>
  <c r="R564" i="1"/>
  <c r="R159" i="1"/>
  <c r="R620" i="1"/>
  <c r="R464" i="1"/>
  <c r="R992" i="1"/>
  <c r="R97" i="1"/>
  <c r="R652" i="1"/>
  <c r="R165" i="1"/>
  <c r="R166" i="1"/>
  <c r="R162" i="1"/>
  <c r="R168" i="1"/>
  <c r="R169" i="1"/>
  <c r="R170" i="1"/>
  <c r="R247" i="1"/>
  <c r="R172" i="1"/>
  <c r="R173" i="1"/>
  <c r="R773" i="1"/>
  <c r="R318" i="1"/>
  <c r="R365" i="1"/>
  <c r="R696" i="1"/>
  <c r="R178" i="1"/>
  <c r="R571" i="1"/>
  <c r="R180" i="1"/>
  <c r="R181" i="1"/>
  <c r="R182" i="1"/>
  <c r="R183" i="1"/>
  <c r="R184" i="1"/>
  <c r="R176" i="1"/>
  <c r="R691" i="1"/>
  <c r="R187" i="1"/>
  <c r="R185" i="1"/>
  <c r="R189" i="1"/>
  <c r="R190" i="1"/>
  <c r="R562" i="1"/>
  <c r="R476" i="1"/>
  <c r="R193" i="1"/>
  <c r="R194" i="1"/>
  <c r="R111" i="1"/>
  <c r="R196" i="1"/>
  <c r="R386" i="1"/>
  <c r="R198" i="1"/>
  <c r="R827" i="1"/>
  <c r="R101" i="1"/>
  <c r="R1128" i="1"/>
  <c r="R1033" i="1"/>
  <c r="R203" i="1"/>
  <c r="R204" i="1"/>
  <c r="R205" i="1"/>
  <c r="R206" i="1"/>
  <c r="R207" i="1"/>
  <c r="R208" i="1"/>
  <c r="R209" i="1"/>
  <c r="R210" i="1"/>
  <c r="R211" i="1"/>
  <c r="R212" i="1"/>
  <c r="R122" i="1"/>
  <c r="R94" i="1"/>
  <c r="R889" i="1"/>
  <c r="R216" i="1"/>
  <c r="R217" i="1"/>
  <c r="R816" i="1"/>
  <c r="R1097" i="1"/>
  <c r="R220" i="1"/>
  <c r="R693" i="1"/>
  <c r="R1052" i="1"/>
  <c r="R223" i="1"/>
  <c r="R224" i="1"/>
  <c r="R225" i="1"/>
  <c r="R536" i="1"/>
  <c r="R227" i="1"/>
  <c r="R228" i="1"/>
  <c r="R229" i="1"/>
  <c r="R230" i="1"/>
  <c r="R158" i="1"/>
  <c r="R936" i="1"/>
  <c r="R233" i="1"/>
  <c r="R234" i="1"/>
  <c r="R1157" i="1"/>
  <c r="R236" i="1"/>
  <c r="R237" i="1"/>
  <c r="R238" i="1"/>
  <c r="R239" i="1"/>
  <c r="R618" i="1"/>
  <c r="R241" i="1"/>
  <c r="R242" i="1"/>
  <c r="R243" i="1"/>
  <c r="R244" i="1"/>
  <c r="R245" i="1"/>
  <c r="R246" i="1"/>
  <c r="R1061" i="1"/>
  <c r="R248" i="1"/>
  <c r="R249" i="1"/>
  <c r="R86" i="1"/>
  <c r="R631" i="1"/>
  <c r="R188" i="1"/>
  <c r="R489" i="1"/>
  <c r="R1078" i="1"/>
  <c r="R255" i="1"/>
  <c r="R260" i="1"/>
  <c r="R56" i="1"/>
  <c r="R559" i="1"/>
  <c r="R871" i="1"/>
  <c r="R71" i="1"/>
  <c r="R958" i="1"/>
  <c r="R262" i="1"/>
  <c r="R431" i="1"/>
  <c r="R191" i="1"/>
  <c r="R966" i="1"/>
  <c r="R266" i="1"/>
  <c r="R267" i="1"/>
  <c r="R986" i="1"/>
  <c r="R295" i="1"/>
  <c r="R727" i="1"/>
  <c r="R271" i="1"/>
  <c r="R1139" i="1"/>
  <c r="R199" i="1"/>
  <c r="R758" i="1"/>
  <c r="R275" i="1"/>
  <c r="R276" i="1"/>
  <c r="R277" i="1"/>
  <c r="R278" i="1"/>
  <c r="R279" i="1"/>
  <c r="R410" i="1"/>
  <c r="R754" i="1"/>
  <c r="R671" i="1"/>
  <c r="R283" i="1"/>
  <c r="R284" i="1"/>
  <c r="R285" i="1"/>
  <c r="R427" i="1"/>
  <c r="R287" i="1"/>
  <c r="R288" i="1"/>
  <c r="R289" i="1"/>
  <c r="R290" i="1"/>
  <c r="R291" i="1"/>
  <c r="R292" i="1"/>
  <c r="R293" i="1"/>
  <c r="R294" i="1"/>
  <c r="R414" i="1"/>
  <c r="R1043" i="1"/>
  <c r="R297" i="1"/>
  <c r="R298" i="1"/>
  <c r="R272" i="1"/>
  <c r="R300" i="1"/>
  <c r="R301" i="1"/>
  <c r="R192" i="1"/>
  <c r="R303" i="1"/>
  <c r="R304" i="1"/>
  <c r="R3" i="1"/>
  <c r="R218" i="1"/>
  <c r="R307" i="1"/>
  <c r="R314" i="1"/>
  <c r="R309" i="1"/>
  <c r="R310" i="1"/>
  <c r="R538" i="1"/>
  <c r="R312" i="1"/>
  <c r="R313" i="1"/>
  <c r="R689" i="1"/>
  <c r="R264" i="1"/>
  <c r="R527" i="1"/>
  <c r="R317" i="1"/>
  <c r="R938" i="1"/>
  <c r="R319" i="1"/>
  <c r="R865" i="1"/>
  <c r="R321" i="1"/>
  <c r="R879" i="1"/>
  <c r="R723" i="1"/>
  <c r="R324" i="1"/>
  <c r="R664" i="1"/>
  <c r="R326" i="1"/>
  <c r="R512" i="1"/>
  <c r="R328" i="1"/>
  <c r="R61" i="1"/>
  <c r="R863" i="1"/>
  <c r="R331" i="1"/>
  <c r="R332" i="1"/>
  <c r="R333" i="1"/>
  <c r="R334" i="1"/>
  <c r="R602" i="1"/>
  <c r="R336" i="1"/>
  <c r="R337" i="1"/>
  <c r="R338" i="1"/>
  <c r="R339" i="1"/>
  <c r="R725" i="1"/>
  <c r="R341" i="1"/>
  <c r="R1007" i="1"/>
  <c r="R343" i="1"/>
  <c r="R134" i="1"/>
  <c r="R345" i="1"/>
  <c r="R346" i="1"/>
  <c r="R347" i="1"/>
  <c r="R614" i="1"/>
  <c r="R320" i="1"/>
  <c r="R350" i="1"/>
  <c r="R635" i="1"/>
  <c r="R930" i="1"/>
  <c r="R1130" i="1"/>
  <c r="R354" i="1"/>
  <c r="R1044" i="1"/>
  <c r="R356" i="1"/>
  <c r="R357" i="1"/>
  <c r="R932" i="1"/>
  <c r="R359" i="1"/>
  <c r="R1190" i="1"/>
  <c r="R361" i="1"/>
  <c r="R534" i="1"/>
  <c r="R834" i="1"/>
  <c r="R364" i="1"/>
  <c r="R109" i="1"/>
  <c r="R366" i="1"/>
  <c r="R177" i="1"/>
  <c r="R829" i="1"/>
  <c r="R369" i="1"/>
  <c r="R174" i="1"/>
  <c r="R371" i="1"/>
  <c r="R372" i="1"/>
  <c r="R373" i="1"/>
  <c r="R374" i="1"/>
  <c r="R375" i="1"/>
  <c r="R376" i="1"/>
  <c r="R518" i="1"/>
  <c r="R378" i="1"/>
  <c r="R379" i="1"/>
  <c r="R380" i="1"/>
  <c r="R478" i="1"/>
  <c r="R382" i="1"/>
  <c r="R383" i="1"/>
  <c r="R384" i="1"/>
  <c r="R566" i="1"/>
  <c r="R1114" i="1"/>
  <c r="R486" i="1"/>
  <c r="R388" i="1"/>
  <c r="R256" i="1"/>
  <c r="R390" i="1"/>
  <c r="R391" i="1"/>
  <c r="R392" i="1"/>
  <c r="R393" i="1"/>
  <c r="R394" i="1"/>
  <c r="R962" i="1"/>
  <c r="R396" i="1"/>
  <c r="R397" i="1"/>
  <c r="R1056" i="1"/>
  <c r="R1196" i="1"/>
  <c r="R684" i="1"/>
  <c r="R401" i="1"/>
  <c r="R402" i="1"/>
  <c r="R1075" i="1"/>
  <c r="R27" i="1"/>
  <c r="R1123" i="1"/>
  <c r="R406" i="1"/>
  <c r="R163" i="1"/>
  <c r="R408" i="1"/>
  <c r="R409" i="1"/>
  <c r="R344" i="1"/>
  <c r="R411" i="1"/>
  <c r="R914" i="1"/>
  <c r="R413" i="1"/>
  <c r="R1136" i="1"/>
  <c r="R415" i="1"/>
  <c r="R416" i="1"/>
  <c r="R606" i="1"/>
  <c r="R418" i="1"/>
  <c r="R269" i="1"/>
  <c r="R1106" i="1"/>
  <c r="R421" i="1"/>
  <c r="R422" i="1"/>
  <c r="R423" i="1"/>
  <c r="R377" i="1"/>
  <c r="R425" i="1"/>
  <c r="R426" i="1"/>
  <c r="R904" i="1"/>
  <c r="R428" i="1"/>
  <c r="R429" i="1"/>
  <c r="R430" i="1"/>
  <c r="R974" i="1"/>
  <c r="R432" i="1"/>
  <c r="R433" i="1"/>
  <c r="R1037" i="1"/>
  <c r="R471" i="1"/>
  <c r="R436" i="1"/>
  <c r="R497" i="1"/>
  <c r="R98" i="1"/>
  <c r="R703" i="1"/>
  <c r="R440" i="1"/>
  <c r="R441" i="1"/>
  <c r="R43" i="1"/>
  <c r="R443" i="1"/>
  <c r="R444" i="1"/>
  <c r="R964" i="1"/>
  <c r="R796" i="1"/>
  <c r="R473" i="1"/>
  <c r="R438" i="1"/>
  <c r="R449" i="1"/>
  <c r="R450" i="1"/>
  <c r="R553" i="1"/>
  <c r="R452" i="1"/>
  <c r="R1054" i="1"/>
  <c r="R454" i="1"/>
  <c r="R329" i="1"/>
  <c r="R340" i="1"/>
  <c r="R956" i="1"/>
  <c r="R626" i="1"/>
  <c r="R459" i="1"/>
  <c r="R798" i="1"/>
  <c r="R540" i="1"/>
  <c r="R462" i="1"/>
  <c r="R144" i="1"/>
  <c r="R771" i="1"/>
  <c r="R465" i="1"/>
  <c r="R327" i="1"/>
  <c r="R231" i="1"/>
  <c r="R403" i="1"/>
  <c r="R469" i="1"/>
  <c r="R470" i="1"/>
  <c r="R1085" i="1"/>
  <c r="R472" i="1"/>
  <c r="R1077" i="1"/>
  <c r="R474" i="1"/>
  <c r="R733" i="1"/>
  <c r="R646" i="1"/>
  <c r="R615" i="1"/>
  <c r="R923" i="1"/>
  <c r="R479" i="1"/>
  <c r="R480" i="1"/>
  <c r="R1068" i="1"/>
  <c r="R482" i="1"/>
  <c r="R483" i="1"/>
  <c r="R484" i="1"/>
  <c r="R485" i="1"/>
  <c r="R265" i="1"/>
  <c r="R868" i="1"/>
  <c r="R488" i="1"/>
  <c r="R1019" i="1"/>
  <c r="R1010" i="1"/>
  <c r="R491" i="1"/>
  <c r="R810" i="1"/>
  <c r="R493" i="1"/>
  <c r="R494" i="1"/>
  <c r="R495" i="1"/>
  <c r="R496" i="1"/>
  <c r="R126" i="1"/>
  <c r="R498" i="1"/>
  <c r="R499" i="1"/>
  <c r="R500" i="1"/>
  <c r="R971" i="1"/>
  <c r="R668" i="1"/>
  <c r="R1197" i="1"/>
  <c r="R504" i="1"/>
  <c r="R1084" i="1"/>
  <c r="R200" i="1"/>
  <c r="R507" i="1"/>
  <c r="R508" i="1"/>
  <c r="R1081" i="1"/>
  <c r="R510" i="1"/>
  <c r="R511" i="1"/>
  <c r="R387" i="1"/>
  <c r="R513" i="1"/>
  <c r="R514" i="1"/>
  <c r="R515" i="1"/>
  <c r="R516" i="1"/>
  <c r="R517" i="1"/>
  <c r="R528" i="1"/>
  <c r="R519" i="1"/>
  <c r="R520" i="1"/>
  <c r="R1187" i="1"/>
  <c r="R522" i="1"/>
  <c r="R252" i="1"/>
  <c r="R524" i="1"/>
  <c r="R783" i="1"/>
  <c r="R526" i="1"/>
  <c r="R698" i="1"/>
  <c r="R929" i="1"/>
  <c r="R529" i="1"/>
  <c r="R530" i="1"/>
  <c r="R467" i="1"/>
  <c r="R933" i="1"/>
  <c r="R533" i="1"/>
  <c r="R251" i="1"/>
  <c r="R1158" i="1"/>
  <c r="R330" i="1"/>
  <c r="R537" i="1"/>
  <c r="R786" i="1"/>
  <c r="R539" i="1"/>
  <c r="R424" i="1"/>
  <c r="R887" i="1"/>
  <c r="R542" i="1"/>
  <c r="R160" i="1"/>
  <c r="R115" i="1"/>
  <c r="R545" i="1"/>
  <c r="R546" i="1"/>
  <c r="R547" i="1"/>
  <c r="R151" i="1"/>
  <c r="R549" i="1"/>
  <c r="R550" i="1"/>
  <c r="R551" i="1"/>
  <c r="R552" i="1"/>
  <c r="R913" i="1"/>
  <c r="R554" i="1"/>
  <c r="R132" i="1"/>
  <c r="R556" i="1"/>
  <c r="R1040" i="1"/>
  <c r="R991" i="1"/>
  <c r="R502" i="1"/>
  <c r="R1137" i="1"/>
  <c r="R561" i="1"/>
  <c r="R1141" i="1"/>
  <c r="R776" i="1"/>
  <c r="R1042" i="1"/>
  <c r="R565" i="1"/>
  <c r="R487" i="1"/>
  <c r="R567" i="1"/>
  <c r="R568" i="1"/>
  <c r="R49" i="1"/>
  <c r="R570" i="1"/>
  <c r="R11" i="1"/>
  <c r="R572" i="1"/>
  <c r="R680" i="1"/>
  <c r="R434" i="1"/>
  <c r="R575" i="1"/>
  <c r="R475" i="1"/>
  <c r="R577" i="1"/>
  <c r="R578" i="1"/>
  <c r="R579" i="1"/>
  <c r="R580" i="1"/>
  <c r="R581" i="1"/>
  <c r="R582" i="1"/>
  <c r="R583" i="1"/>
  <c r="R584" i="1"/>
  <c r="R585" i="1"/>
  <c r="R1083" i="1"/>
  <c r="R4" i="1"/>
  <c r="R588" i="1"/>
  <c r="R589" i="1"/>
  <c r="R869" i="1"/>
  <c r="R591" i="1"/>
  <c r="R592" i="1"/>
  <c r="R1029" i="1"/>
  <c r="R594" i="1"/>
  <c r="R595" i="1"/>
  <c r="R596" i="1"/>
  <c r="R399" i="1"/>
  <c r="R598" i="1"/>
  <c r="R728" i="1"/>
  <c r="R175" i="1"/>
  <c r="R601" i="1"/>
  <c r="R1017" i="1"/>
  <c r="R603" i="1"/>
  <c r="R604" i="1"/>
  <c r="R782" i="1"/>
  <c r="R419" i="1"/>
  <c r="R894" i="1"/>
  <c r="R608" i="1"/>
  <c r="R609" i="1"/>
  <c r="R610" i="1"/>
  <c r="R611" i="1"/>
  <c r="R1180" i="1"/>
  <c r="R64" i="1"/>
  <c r="R686" i="1"/>
  <c r="R710" i="1"/>
  <c r="R455" i="1"/>
  <c r="R617" i="1"/>
  <c r="R128" i="1"/>
  <c r="R619" i="1"/>
  <c r="R353" i="1"/>
  <c r="R621" i="1"/>
  <c r="R155" i="1"/>
  <c r="R623" i="1"/>
  <c r="R624" i="1"/>
  <c r="R625" i="1"/>
  <c r="R541" i="1"/>
  <c r="R1133" i="1"/>
  <c r="R254" i="1"/>
  <c r="R629" i="1"/>
  <c r="R630" i="1"/>
  <c r="R445" i="1"/>
  <c r="R197" i="1"/>
  <c r="R1101" i="1"/>
  <c r="R634" i="1"/>
  <c r="R644" i="1"/>
  <c r="R636" i="1"/>
  <c r="R1186" i="1"/>
  <c r="R638" i="1"/>
  <c r="R639" i="1"/>
  <c r="R640" i="1"/>
  <c r="R641" i="1"/>
  <c r="R642" i="1"/>
  <c r="R643" i="1"/>
  <c r="R1168" i="1"/>
  <c r="R645" i="1"/>
  <c r="R573" i="1"/>
  <c r="R647" i="1"/>
  <c r="R648" i="1"/>
  <c r="R924" i="1"/>
  <c r="R650" i="1"/>
  <c r="R405" i="1"/>
  <c r="R1181" i="1"/>
  <c r="R653" i="1"/>
  <c r="R654" i="1"/>
  <c r="R999" i="1"/>
  <c r="R656" i="1"/>
  <c r="R167" i="1"/>
  <c r="R658" i="1"/>
  <c r="R322" i="1"/>
  <c r="R179" i="1"/>
  <c r="R661" i="1"/>
  <c r="R274" i="1"/>
  <c r="R1153" i="1"/>
  <c r="R404" i="1"/>
  <c r="R665" i="1"/>
  <c r="R666" i="1"/>
  <c r="R667" i="1"/>
  <c r="R855" i="1"/>
  <c r="R937" i="1"/>
  <c r="R670" i="1"/>
  <c r="R305" i="1"/>
  <c r="R439" i="1"/>
  <c r="R673" i="1"/>
  <c r="R448" i="1"/>
  <c r="R1014" i="1"/>
  <c r="R676" i="1"/>
  <c r="R590" i="1"/>
  <c r="R678" i="1"/>
  <c r="R679" i="1"/>
  <c r="R451" i="1"/>
  <c r="R681" i="1"/>
  <c r="R682" i="1"/>
  <c r="R683" i="1"/>
  <c r="R138" i="1"/>
  <c r="R685" i="1"/>
  <c r="R1125" i="1"/>
  <c r="R435" i="1"/>
  <c r="R688" i="1"/>
  <c r="R57" i="1"/>
  <c r="R978" i="1"/>
  <c r="R605" i="1"/>
  <c r="R461" i="1"/>
  <c r="R477" i="1"/>
  <c r="R694" i="1"/>
  <c r="R695" i="1"/>
  <c r="R259" i="1"/>
  <c r="R697" i="1"/>
  <c r="R323" i="1"/>
  <c r="R699" i="1"/>
  <c r="R746" i="1"/>
  <c r="R701" i="1"/>
  <c r="R702" i="1"/>
  <c r="R40" i="1"/>
  <c r="R704" i="1"/>
  <c r="R705" i="1"/>
  <c r="R706" i="1"/>
  <c r="R707" i="1"/>
  <c r="R54" i="1"/>
  <c r="R709" i="1"/>
  <c r="R59" i="1"/>
  <c r="R55" i="1"/>
  <c r="R762" i="1"/>
  <c r="R713" i="1"/>
  <c r="R627" i="1"/>
  <c r="R715" i="1"/>
  <c r="R716" i="1"/>
  <c r="R717" i="1"/>
  <c r="R718" i="1"/>
  <c r="R281" i="1"/>
  <c r="R720" i="1"/>
  <c r="R721" i="1"/>
  <c r="R722" i="1"/>
  <c r="R826" i="1"/>
  <c r="R724" i="1"/>
  <c r="R622" i="1"/>
  <c r="R751" i="1"/>
  <c r="R25" i="1"/>
  <c r="R100" i="1"/>
  <c r="R729" i="1"/>
  <c r="R730" i="1"/>
  <c r="R731" i="1"/>
  <c r="R732" i="1"/>
  <c r="R360" i="1"/>
  <c r="R734" i="1"/>
  <c r="R747" i="1"/>
  <c r="R736" i="1"/>
  <c r="R737" i="1"/>
  <c r="R649" i="1"/>
  <c r="R1034" i="1"/>
  <c r="R367" i="1"/>
  <c r="R741" i="1"/>
  <c r="R742" i="1"/>
  <c r="R743" i="1"/>
  <c r="R744" i="1"/>
  <c r="R201" i="1"/>
  <c r="R456" i="1"/>
  <c r="R764" i="1"/>
  <c r="R748" i="1"/>
  <c r="R677" i="1"/>
  <c r="R74" i="1"/>
  <c r="R633" i="1"/>
  <c r="R752" i="1"/>
  <c r="R753" i="1"/>
  <c r="R901" i="1"/>
  <c r="R755" i="1"/>
  <c r="R1090" i="1"/>
  <c r="R757" i="1"/>
  <c r="R1132" i="1"/>
  <c r="R1003" i="1"/>
  <c r="R760" i="1"/>
  <c r="R1151" i="1"/>
  <c r="R712" i="1"/>
  <c r="R161" i="1"/>
  <c r="R781" i="1"/>
  <c r="R108" i="1"/>
  <c r="R766" i="1"/>
  <c r="R767" i="1"/>
  <c r="R768" i="1"/>
  <c r="R769" i="1"/>
  <c r="R770" i="1"/>
  <c r="R858" i="1"/>
  <c r="R772" i="1"/>
  <c r="R10" i="1"/>
  <c r="R819" i="1"/>
  <c r="R775" i="1"/>
  <c r="R1031" i="1"/>
  <c r="R777" i="1"/>
  <c r="R778" i="1"/>
  <c r="R779" i="1"/>
  <c r="R780" i="1"/>
  <c r="R657" i="1"/>
  <c r="R222" i="1"/>
  <c r="R302" i="1"/>
  <c r="R784" i="1"/>
  <c r="R569" i="1"/>
  <c r="R535" i="1"/>
  <c r="R787" i="1"/>
  <c r="R788" i="1"/>
  <c r="R789" i="1"/>
  <c r="R790" i="1"/>
  <c r="R791" i="1"/>
  <c r="R792" i="1"/>
  <c r="R793" i="1"/>
  <c r="R794" i="1"/>
  <c r="R651" i="1"/>
  <c r="R1004" i="1"/>
  <c r="R797" i="1"/>
  <c r="R325" i="1"/>
  <c r="R920" i="1"/>
  <c r="R800" i="1"/>
  <c r="R801" i="1"/>
  <c r="R802" i="1"/>
  <c r="R803" i="1"/>
  <c r="R804" i="1"/>
  <c r="R221" i="1"/>
  <c r="R806" i="1"/>
  <c r="R807" i="1"/>
  <c r="R808" i="1"/>
  <c r="R809" i="1"/>
  <c r="R381" i="1"/>
  <c r="R811" i="1"/>
  <c r="R968" i="1"/>
  <c r="R813" i="1"/>
  <c r="R814" i="1"/>
  <c r="R815" i="1"/>
  <c r="R557" i="1"/>
  <c r="R525" i="1"/>
  <c r="R349" i="1"/>
  <c r="R457" i="1"/>
  <c r="R24" i="1"/>
  <c r="R821" i="1"/>
  <c r="R822" i="1"/>
  <c r="R823" i="1"/>
  <c r="R824" i="1"/>
  <c r="R825" i="1"/>
  <c r="R67" i="1"/>
  <c r="R997" i="1"/>
  <c r="R828" i="1"/>
  <c r="R1072" i="1"/>
  <c r="R830" i="1"/>
  <c r="R831" i="1"/>
  <c r="R832" i="1"/>
  <c r="R833" i="1"/>
  <c r="R761" i="1"/>
  <c r="R835" i="1"/>
  <c r="R836" i="1"/>
  <c r="R915" i="1"/>
  <c r="R838" i="1"/>
  <c r="R839" i="1"/>
  <c r="R351" i="1"/>
  <c r="R660" i="1"/>
  <c r="R842" i="1"/>
  <c r="R843" i="1"/>
  <c r="R490" i="1"/>
  <c r="R845" i="1"/>
  <c r="R846" i="1"/>
  <c r="R756" i="1"/>
  <c r="R501" i="1"/>
  <c r="R849" i="1"/>
  <c r="R1073" i="1"/>
  <c r="R851" i="1"/>
  <c r="R852" i="1"/>
  <c r="R853" i="1"/>
  <c r="R854" i="1"/>
  <c r="R214" i="1"/>
  <c r="R503" i="1"/>
  <c r="R857" i="1"/>
  <c r="R735" i="1"/>
  <c r="R859" i="1"/>
  <c r="R860" i="1"/>
  <c r="R861" i="1"/>
  <c r="R740" i="1"/>
  <c r="R692" i="1"/>
  <c r="R864" i="1"/>
  <c r="R1058" i="1"/>
  <c r="R663" i="1"/>
  <c r="R867" i="1"/>
  <c r="R763" i="1"/>
  <c r="R818" i="1"/>
  <c r="R273" i="1"/>
  <c r="R586" i="1"/>
  <c r="R91" i="1"/>
  <c r="R873" i="1"/>
  <c r="R874" i="1"/>
  <c r="R875" i="1"/>
  <c r="R1105" i="1"/>
  <c r="R558" i="1"/>
  <c r="R995" i="1"/>
  <c r="R15" i="1"/>
  <c r="R880" i="1"/>
  <c r="R881" i="1"/>
  <c r="R882" i="1"/>
  <c r="R883" i="1"/>
  <c r="R884" i="1"/>
  <c r="R113" i="1"/>
  <c r="R886" i="1"/>
  <c r="R1005" i="1"/>
  <c r="R888" i="1"/>
  <c r="R505" i="1"/>
  <c r="R890" i="1"/>
  <c r="R891" i="1"/>
  <c r="R892" i="1"/>
  <c r="R893" i="1"/>
  <c r="R935" i="1"/>
  <c r="R895" i="1"/>
  <c r="R896" i="1"/>
  <c r="R897" i="1"/>
  <c r="R898" i="1"/>
  <c r="R899" i="1"/>
  <c r="R900" i="1"/>
  <c r="R442" i="1"/>
  <c r="R902" i="1"/>
  <c r="R765" i="1"/>
  <c r="R866" i="1"/>
  <c r="R905" i="1"/>
  <c r="R906" i="1"/>
  <c r="R700" i="1"/>
  <c r="R908" i="1"/>
  <c r="R909" i="1"/>
  <c r="R910" i="1"/>
  <c r="R911" i="1"/>
  <c r="R587" i="1"/>
  <c r="R523" i="1"/>
  <c r="R348" i="1"/>
  <c r="R805" i="1"/>
  <c r="R453" i="1"/>
  <c r="R917" i="1"/>
  <c r="R918" i="1"/>
  <c r="R919" i="1"/>
  <c r="R1193" i="1"/>
  <c r="R921" i="1"/>
  <c r="R922" i="1"/>
  <c r="R1011" i="1"/>
  <c r="R1060" i="1"/>
  <c r="R548" i="1"/>
  <c r="R926" i="1"/>
  <c r="R927" i="1"/>
  <c r="R928" i="1"/>
  <c r="R738" i="1"/>
  <c r="R1145" i="1"/>
  <c r="R60" i="1"/>
  <c r="R750" i="1"/>
  <c r="R687" i="1"/>
  <c r="R934" i="1"/>
  <c r="R400" i="1"/>
  <c r="R690" i="1"/>
  <c r="R270" i="1"/>
  <c r="R17" i="1"/>
  <c r="R1104" i="1"/>
  <c r="R940" i="1"/>
  <c r="R941" i="1"/>
  <c r="R942" i="1"/>
  <c r="R943" i="1"/>
  <c r="R1046" i="1"/>
  <c r="R945" i="1"/>
  <c r="R946" i="1"/>
  <c r="R993" i="1"/>
  <c r="R948" i="1"/>
  <c r="R51" i="1"/>
  <c r="R950" i="1"/>
  <c r="R1183" i="1"/>
  <c r="R952" i="1"/>
  <c r="R953" i="1"/>
  <c r="R954" i="1"/>
  <c r="R955" i="1"/>
  <c r="R795" i="1"/>
  <c r="R957" i="1"/>
  <c r="R574" i="1"/>
  <c r="R959" i="1"/>
  <c r="R960" i="1"/>
  <c r="R961" i="1"/>
  <c r="R136" i="1"/>
  <c r="R963" i="1"/>
  <c r="R258" i="1"/>
  <c r="R965" i="1"/>
  <c r="R83" i="1"/>
  <c r="R632" i="1"/>
  <c r="R362" i="1"/>
  <c r="R969" i="1"/>
  <c r="R970" i="1"/>
  <c r="R352" i="1"/>
  <c r="R972" i="1"/>
  <c r="R973" i="1"/>
  <c r="R675" i="1"/>
  <c r="R975" i="1"/>
  <c r="R976" i="1"/>
  <c r="R977" i="1"/>
  <c r="R235" i="1"/>
  <c r="R979" i="1"/>
  <c r="R980" i="1"/>
  <c r="R981" i="1"/>
  <c r="R481" i="1"/>
  <c r="R983" i="1"/>
  <c r="R984" i="1"/>
  <c r="R985" i="1"/>
  <c r="R135" i="1"/>
  <c r="R987" i="1"/>
  <c r="R988" i="1"/>
  <c r="R989" i="1"/>
  <c r="R990" i="1"/>
  <c r="R1163" i="1"/>
  <c r="R119" i="1"/>
  <c r="R308" i="1"/>
  <c r="R1177" i="1"/>
  <c r="R120" i="1"/>
  <c r="R612" i="1"/>
  <c r="R389" i="1"/>
  <c r="R998" i="1"/>
  <c r="R118" i="1"/>
  <c r="R1000" i="1"/>
  <c r="R355" i="1"/>
  <c r="R1002" i="1"/>
  <c r="R145" i="1"/>
  <c r="R785" i="1"/>
  <c r="R370" i="1"/>
  <c r="R447" i="1"/>
  <c r="R1138" i="1"/>
  <c r="R1008" i="1"/>
  <c r="R1009" i="1"/>
  <c r="R127" i="1"/>
  <c r="R759" i="1"/>
  <c r="R1012" i="1"/>
  <c r="R1013" i="1"/>
  <c r="R420" i="1"/>
  <c r="R1015" i="1"/>
  <c r="R1016" i="1"/>
  <c r="R1048" i="1"/>
  <c r="R1018" i="1"/>
  <c r="R1165" i="1"/>
  <c r="R1020" i="1"/>
  <c r="R1021" i="1"/>
  <c r="R1022" i="1"/>
  <c r="R1023" i="1"/>
  <c r="R1024" i="1"/>
  <c r="R1025" i="1"/>
  <c r="R1026" i="1"/>
  <c r="R1027" i="1"/>
  <c r="R1028" i="1"/>
  <c r="R847" i="1"/>
  <c r="R1030" i="1"/>
  <c r="R368" i="1"/>
  <c r="R1032" i="1"/>
  <c r="R257" i="1"/>
  <c r="R1178" i="1"/>
  <c r="R1035" i="1"/>
  <c r="R1036" i="1"/>
  <c r="R30" i="1"/>
  <c r="R1038" i="1"/>
  <c r="R1039" i="1"/>
  <c r="R655" i="1"/>
  <c r="R1041" i="1"/>
  <c r="R88" i="1"/>
  <c r="R1001" i="1"/>
  <c r="R749" i="1"/>
  <c r="R1045" i="1"/>
  <c r="R870" i="1"/>
  <c r="R1047" i="1"/>
  <c r="R9" i="1"/>
  <c r="R1049" i="1"/>
  <c r="R1050" i="1"/>
  <c r="R1051" i="1"/>
  <c r="R306" i="1"/>
  <c r="R1053" i="1"/>
  <c r="R1201" i="1"/>
  <c r="R1055" i="1"/>
  <c r="R947" i="1"/>
  <c r="R1057" i="1"/>
  <c r="R1119" i="1"/>
  <c r="R912" i="1"/>
  <c r="R468" i="1"/>
  <c r="R844" i="1"/>
  <c r="R1062" i="1"/>
  <c r="R315" i="1"/>
  <c r="R1064" i="1"/>
  <c r="R1065" i="1"/>
  <c r="R1066" i="1"/>
  <c r="R1067" i="1"/>
  <c r="R1059" i="1"/>
  <c r="R1069" i="1"/>
  <c r="R1070" i="1"/>
  <c r="R1071" i="1"/>
  <c r="R531" i="1"/>
  <c r="R714" i="1"/>
  <c r="R1074" i="1"/>
  <c r="R949" i="1"/>
  <c r="R1076" i="1"/>
  <c r="R226" i="1"/>
  <c r="R1148" i="1"/>
  <c r="R1079" i="1"/>
  <c r="R1080" i="1"/>
  <c r="R593" i="1"/>
  <c r="R407" i="1"/>
  <c r="R885" i="1"/>
  <c r="R123" i="1"/>
  <c r="R14" i="1"/>
  <c r="R1086" i="1"/>
  <c r="R1087" i="1"/>
  <c r="R1088" i="1"/>
  <c r="R1089" i="1"/>
  <c r="R1082" i="1"/>
  <c r="R1091" i="1"/>
  <c r="R872" i="1"/>
  <c r="R1093" i="1"/>
  <c r="R1094" i="1"/>
  <c r="R1095" i="1"/>
  <c r="R1096" i="1"/>
  <c r="R219" i="1"/>
  <c r="R1098" i="1"/>
  <c r="R1099" i="1"/>
  <c r="R1100" i="1"/>
  <c r="R850" i="1"/>
  <c r="R1102" i="1"/>
  <c r="R674" i="1"/>
  <c r="R521" i="1"/>
  <c r="R509" i="1"/>
  <c r="R903" i="1"/>
  <c r="R1107" i="1"/>
  <c r="R1108" i="1"/>
  <c r="R1109" i="1"/>
  <c r="R1110" i="1"/>
  <c r="R1111" i="1"/>
  <c r="R1112" i="1"/>
  <c r="R1113" i="1"/>
  <c r="R817" i="1"/>
  <c r="R1115" i="1"/>
  <c r="R1116" i="1"/>
  <c r="R1117" i="1"/>
  <c r="R1118" i="1"/>
  <c r="R876" i="1"/>
  <c r="R1120" i="1"/>
  <c r="R1121" i="1"/>
  <c r="R1122" i="1"/>
  <c r="R848" i="1"/>
  <c r="R1124" i="1"/>
  <c r="R996" i="1"/>
  <c r="R1126" i="1"/>
  <c r="R1127" i="1"/>
  <c r="R837" i="1"/>
  <c r="R1129" i="1"/>
  <c r="R232" i="1"/>
  <c r="R1131" i="1"/>
  <c r="R555" i="1"/>
  <c r="R600" i="1"/>
  <c r="R1134" i="1"/>
  <c r="R597" i="1"/>
  <c r="R85" i="1"/>
  <c r="R1103" i="1"/>
  <c r="R1172" i="1"/>
  <c r="R463" i="1"/>
  <c r="R1140" i="1"/>
  <c r="R253" i="1"/>
  <c r="R1142" i="1"/>
  <c r="R1143" i="1"/>
  <c r="R1144" i="1"/>
  <c r="R856" i="1"/>
  <c r="R1146" i="1"/>
  <c r="R1147" i="1"/>
  <c r="R1006" i="1"/>
  <c r="R1149" i="1"/>
  <c r="R1150" i="1"/>
  <c r="R412" i="1"/>
  <c r="R1152" i="1"/>
  <c r="R925" i="1"/>
  <c r="R1154" i="1"/>
  <c r="R1155" i="1"/>
  <c r="R1156" i="1"/>
  <c r="R95" i="1"/>
  <c r="R607" i="1"/>
  <c r="R1159" i="1"/>
  <c r="R1160" i="1"/>
  <c r="R1161" i="1"/>
  <c r="R1162" i="1"/>
  <c r="R820" i="1"/>
  <c r="R1164" i="1"/>
  <c r="R195" i="1"/>
  <c r="R1166" i="1"/>
  <c r="R877" i="1"/>
  <c r="R931" i="1"/>
  <c r="R1169" i="1"/>
  <c r="R1170" i="1"/>
  <c r="R1171" i="1"/>
  <c r="R878" i="1"/>
  <c r="R1173" i="1"/>
  <c r="R1174" i="1"/>
  <c r="R1175" i="1"/>
  <c r="R1176" i="1"/>
  <c r="R29" i="1"/>
  <c r="R263" i="1"/>
  <c r="R1179" i="1"/>
  <c r="R363" i="1"/>
  <c r="R268" i="1"/>
  <c r="R1182" i="1"/>
  <c r="R840" i="1"/>
  <c r="R1184" i="1"/>
  <c r="R1185" i="1"/>
  <c r="R862" i="1"/>
  <c r="R466" i="1"/>
  <c r="R1188" i="1"/>
  <c r="R726" i="1"/>
  <c r="R398" i="1"/>
  <c r="R1191" i="1"/>
  <c r="R1192" i="1"/>
  <c r="R395" i="1"/>
  <c r="R1194" i="1"/>
  <c r="R1195" i="1"/>
  <c r="R841" i="1"/>
  <c r="R215" i="1"/>
  <c r="R1198" i="1"/>
  <c r="R1199" i="1"/>
  <c r="R1200" i="1"/>
  <c r="R560" i="1"/>
  <c r="Q2" i="1"/>
  <c r="Q967" i="1"/>
  <c r="Q240" i="1"/>
  <c r="Q5" i="1"/>
  <c r="Q6" i="1"/>
  <c r="Q7" i="1"/>
  <c r="Q8" i="1"/>
  <c r="Q296" i="1"/>
  <c r="Q41" i="1"/>
  <c r="Q745" i="1"/>
  <c r="Q12" i="1"/>
  <c r="Q358" i="1"/>
  <c r="Q907" i="1"/>
  <c r="Q202" i="1"/>
  <c r="Q16" i="1"/>
  <c r="Q446" i="1"/>
  <c r="Q18" i="1"/>
  <c r="Q110" i="1"/>
  <c r="Q20" i="1"/>
  <c r="Q21" i="1"/>
  <c r="Q22" i="1"/>
  <c r="Q23" i="1"/>
  <c r="Q982" i="1"/>
  <c r="Q280" i="1"/>
  <c r="Q26" i="1"/>
  <c r="Q662" i="1"/>
  <c r="Q28" i="1"/>
  <c r="Q1135" i="1"/>
  <c r="Q708" i="1"/>
  <c r="Q31" i="1"/>
  <c r="Q32" i="1"/>
  <c r="Q33" i="1"/>
  <c r="Q34" i="1"/>
  <c r="Q35" i="1"/>
  <c r="Q36" i="1"/>
  <c r="Q37" i="1"/>
  <c r="Q38" i="1"/>
  <c r="Q39" i="1"/>
  <c r="Q417" i="1"/>
  <c r="Q739" i="1"/>
  <c r="Q42" i="1"/>
  <c r="Q316" i="1"/>
  <c r="Q44" i="1"/>
  <c r="Q45" i="1"/>
  <c r="Q46" i="1"/>
  <c r="Q47" i="1"/>
  <c r="Q48" i="1"/>
  <c r="Q812" i="1"/>
  <c r="Q50" i="1"/>
  <c r="Q90" i="1"/>
  <c r="Q52" i="1"/>
  <c r="Q53" i="1"/>
  <c r="Q73" i="1"/>
  <c r="Q261" i="1"/>
  <c r="Q492" i="1"/>
  <c r="Q103" i="1"/>
  <c r="Q58" i="1"/>
  <c r="Q458" i="1"/>
  <c r="Q774" i="1"/>
  <c r="Q282" i="1"/>
  <c r="Q62" i="1"/>
  <c r="Q63" i="1"/>
  <c r="Q171" i="1"/>
  <c r="Q613" i="1"/>
  <c r="Q66" i="1"/>
  <c r="Q563" i="1"/>
  <c r="Q68" i="1"/>
  <c r="Q69" i="1"/>
  <c r="Q70" i="1"/>
  <c r="Q532" i="1"/>
  <c r="Q72" i="1"/>
  <c r="Q1092" i="1"/>
  <c r="Q146" i="1"/>
  <c r="Q75" i="1"/>
  <c r="Q76" i="1"/>
  <c r="Q77" i="1"/>
  <c r="Q78" i="1"/>
  <c r="Q79" i="1"/>
  <c r="Q80" i="1"/>
  <c r="Q81" i="1"/>
  <c r="Q82" i="1"/>
  <c r="Q711" i="1"/>
  <c r="Q84" i="1"/>
  <c r="Q250" i="1"/>
  <c r="Q437" i="1"/>
  <c r="Q87" i="1"/>
  <c r="Q1063" i="1"/>
  <c r="Q89" i="1"/>
  <c r="Q506" i="1"/>
  <c r="Q951" i="1"/>
  <c r="Q92" i="1"/>
  <c r="Q93" i="1"/>
  <c r="Q659" i="1"/>
  <c r="Q669" i="1"/>
  <c r="Q96" i="1"/>
  <c r="Q599" i="1"/>
  <c r="Q628" i="1"/>
  <c r="Q99" i="1"/>
  <c r="Q994" i="1"/>
  <c r="Q65" i="1"/>
  <c r="Q102" i="1"/>
  <c r="Q1167" i="1"/>
  <c r="Q104" i="1"/>
  <c r="Q105" i="1"/>
  <c r="Q106" i="1"/>
  <c r="Q107" i="1"/>
  <c r="Q19" i="1"/>
  <c r="Q916" i="1"/>
  <c r="Q342" i="1"/>
  <c r="Q616" i="1"/>
  <c r="Q637" i="1"/>
  <c r="Q544" i="1"/>
  <c r="Q114" i="1"/>
  <c r="Q13" i="1"/>
  <c r="Q116" i="1"/>
  <c r="Q117" i="1"/>
  <c r="Q944" i="1"/>
  <c r="Q543" i="1"/>
  <c r="Q1189" i="1"/>
  <c r="Q121" i="1"/>
  <c r="Q576" i="1"/>
  <c r="Q939" i="1"/>
  <c r="Q124" i="1"/>
  <c r="Q125" i="1"/>
  <c r="Q311" i="1"/>
  <c r="Q460" i="1"/>
  <c r="Q299" i="1"/>
  <c r="Q129" i="1"/>
  <c r="Q130" i="1"/>
  <c r="Q131" i="1"/>
  <c r="Q186" i="1"/>
  <c r="Q133" i="1"/>
  <c r="Q672" i="1"/>
  <c r="Q799" i="1"/>
  <c r="Q335" i="1"/>
  <c r="Q137" i="1"/>
  <c r="Q286" i="1"/>
  <c r="Q139" i="1"/>
  <c r="Q140" i="1"/>
  <c r="Q141" i="1"/>
  <c r="Q142" i="1"/>
  <c r="Q143" i="1"/>
  <c r="Q112" i="1"/>
  <c r="Q385" i="1"/>
  <c r="Q164" i="1"/>
  <c r="Q147" i="1"/>
  <c r="Q148" i="1"/>
  <c r="Q149" i="1"/>
  <c r="Q150" i="1"/>
  <c r="Q719" i="1"/>
  <c r="Q152" i="1"/>
  <c r="Q153" i="1"/>
  <c r="Q154" i="1"/>
  <c r="Q213" i="1"/>
  <c r="Q156" i="1"/>
  <c r="Q157" i="1"/>
  <c r="Q564" i="1"/>
  <c r="Q159" i="1"/>
  <c r="Q620" i="1"/>
  <c r="Q464" i="1"/>
  <c r="Q992" i="1"/>
  <c r="Q97" i="1"/>
  <c r="Q652" i="1"/>
  <c r="Q165" i="1"/>
  <c r="Q166" i="1"/>
  <c r="Q162" i="1"/>
  <c r="Q168" i="1"/>
  <c r="Q169" i="1"/>
  <c r="Q170" i="1"/>
  <c r="Q247" i="1"/>
  <c r="Q172" i="1"/>
  <c r="Q173" i="1"/>
  <c r="Q773" i="1"/>
  <c r="Q318" i="1"/>
  <c r="Q365" i="1"/>
  <c r="Q696" i="1"/>
  <c r="Q178" i="1"/>
  <c r="Q571" i="1"/>
  <c r="Q180" i="1"/>
  <c r="Q181" i="1"/>
  <c r="Q182" i="1"/>
  <c r="Q183" i="1"/>
  <c r="Q184" i="1"/>
  <c r="Q176" i="1"/>
  <c r="Q691" i="1"/>
  <c r="Q187" i="1"/>
  <c r="Q185" i="1"/>
  <c r="Q189" i="1"/>
  <c r="Q190" i="1"/>
  <c r="Q562" i="1"/>
  <c r="Q476" i="1"/>
  <c r="Q193" i="1"/>
  <c r="Q194" i="1"/>
  <c r="Q111" i="1"/>
  <c r="Q196" i="1"/>
  <c r="Q386" i="1"/>
  <c r="Q198" i="1"/>
  <c r="Q827" i="1"/>
  <c r="Q101" i="1"/>
  <c r="Q1128" i="1"/>
  <c r="Q1033" i="1"/>
  <c r="Q203" i="1"/>
  <c r="Q204" i="1"/>
  <c r="Q205" i="1"/>
  <c r="Q206" i="1"/>
  <c r="Q207" i="1"/>
  <c r="Q208" i="1"/>
  <c r="Q209" i="1"/>
  <c r="Q210" i="1"/>
  <c r="Q211" i="1"/>
  <c r="Q212" i="1"/>
  <c r="Q122" i="1"/>
  <c r="Q94" i="1"/>
  <c r="Q889" i="1"/>
  <c r="Q216" i="1"/>
  <c r="Q217" i="1"/>
  <c r="Q816" i="1"/>
  <c r="Q1097" i="1"/>
  <c r="Q220" i="1"/>
  <c r="Q693" i="1"/>
  <c r="Q1052" i="1"/>
  <c r="Q223" i="1"/>
  <c r="Q224" i="1"/>
  <c r="Q225" i="1"/>
  <c r="Q536" i="1"/>
  <c r="Q227" i="1"/>
  <c r="Q228" i="1"/>
  <c r="Q229" i="1"/>
  <c r="Q230" i="1"/>
  <c r="Q158" i="1"/>
  <c r="Q936" i="1"/>
  <c r="Q233" i="1"/>
  <c r="Q234" i="1"/>
  <c r="Q1157" i="1"/>
  <c r="Q236" i="1"/>
  <c r="Q237" i="1"/>
  <c r="Q238" i="1"/>
  <c r="Q239" i="1"/>
  <c r="Q618" i="1"/>
  <c r="Q241" i="1"/>
  <c r="Q242" i="1"/>
  <c r="Q243" i="1"/>
  <c r="Q244" i="1"/>
  <c r="Q245" i="1"/>
  <c r="Q246" i="1"/>
  <c r="Q1061" i="1"/>
  <c r="Q248" i="1"/>
  <c r="Q249" i="1"/>
  <c r="Q86" i="1"/>
  <c r="Q631" i="1"/>
  <c r="Q188" i="1"/>
  <c r="Q489" i="1"/>
  <c r="Q1078" i="1"/>
  <c r="Q255" i="1"/>
  <c r="Q260" i="1"/>
  <c r="Q56" i="1"/>
  <c r="Q559" i="1"/>
  <c r="Q871" i="1"/>
  <c r="Q71" i="1"/>
  <c r="Q958" i="1"/>
  <c r="Q262" i="1"/>
  <c r="Q431" i="1"/>
  <c r="Q191" i="1"/>
  <c r="Q966" i="1"/>
  <c r="Q266" i="1"/>
  <c r="Q267" i="1"/>
  <c r="Q986" i="1"/>
  <c r="Q295" i="1"/>
  <c r="Q727" i="1"/>
  <c r="Q271" i="1"/>
  <c r="Q1139" i="1"/>
  <c r="Q199" i="1"/>
  <c r="Q758" i="1"/>
  <c r="Q275" i="1"/>
  <c r="Q276" i="1"/>
  <c r="Q277" i="1"/>
  <c r="Q278" i="1"/>
  <c r="Q279" i="1"/>
  <c r="Q410" i="1"/>
  <c r="Q754" i="1"/>
  <c r="Q671" i="1"/>
  <c r="Q283" i="1"/>
  <c r="Q284" i="1"/>
  <c r="Q285" i="1"/>
  <c r="Q427" i="1"/>
  <c r="Q287" i="1"/>
  <c r="Q288" i="1"/>
  <c r="Q289" i="1"/>
  <c r="Q290" i="1"/>
  <c r="Q291" i="1"/>
  <c r="Q292" i="1"/>
  <c r="Q293" i="1"/>
  <c r="Q294" i="1"/>
  <c r="Q414" i="1"/>
  <c r="Q1043" i="1"/>
  <c r="Q297" i="1"/>
  <c r="Q298" i="1"/>
  <c r="Q272" i="1"/>
  <c r="Q300" i="1"/>
  <c r="Q301" i="1"/>
  <c r="Q192" i="1"/>
  <c r="Q303" i="1"/>
  <c r="Q304" i="1"/>
  <c r="Q3" i="1"/>
  <c r="Q218" i="1"/>
  <c r="Q307" i="1"/>
  <c r="Q314" i="1"/>
  <c r="Q309" i="1"/>
  <c r="Q310" i="1"/>
  <c r="Q538" i="1"/>
  <c r="Q312" i="1"/>
  <c r="Q313" i="1"/>
  <c r="Q689" i="1"/>
  <c r="Q264" i="1"/>
  <c r="Q527" i="1"/>
  <c r="Q317" i="1"/>
  <c r="Q938" i="1"/>
  <c r="Q319" i="1"/>
  <c r="Q865" i="1"/>
  <c r="Q321" i="1"/>
  <c r="Q879" i="1"/>
  <c r="Q723" i="1"/>
  <c r="Q324" i="1"/>
  <c r="Q664" i="1"/>
  <c r="Q326" i="1"/>
  <c r="Q512" i="1"/>
  <c r="Q328" i="1"/>
  <c r="Q61" i="1"/>
  <c r="Q863" i="1"/>
  <c r="Q331" i="1"/>
  <c r="Q332" i="1"/>
  <c r="Q333" i="1"/>
  <c r="Q334" i="1"/>
  <c r="Q602" i="1"/>
  <c r="Q336" i="1"/>
  <c r="Q337" i="1"/>
  <c r="Q338" i="1"/>
  <c r="Q339" i="1"/>
  <c r="Q725" i="1"/>
  <c r="Q341" i="1"/>
  <c r="Q1007" i="1"/>
  <c r="Q343" i="1"/>
  <c r="Q134" i="1"/>
  <c r="Q345" i="1"/>
  <c r="Q346" i="1"/>
  <c r="Q347" i="1"/>
  <c r="Q614" i="1"/>
  <c r="Q320" i="1"/>
  <c r="Q350" i="1"/>
  <c r="Q635" i="1"/>
  <c r="Q930" i="1"/>
  <c r="Q1130" i="1"/>
  <c r="Q354" i="1"/>
  <c r="Q1044" i="1"/>
  <c r="Q356" i="1"/>
  <c r="Q357" i="1"/>
  <c r="Q932" i="1"/>
  <c r="Q359" i="1"/>
  <c r="Q1190" i="1"/>
  <c r="Q361" i="1"/>
  <c r="Q534" i="1"/>
  <c r="Q834" i="1"/>
  <c r="Q364" i="1"/>
  <c r="Q109" i="1"/>
  <c r="Q366" i="1"/>
  <c r="Q177" i="1"/>
  <c r="Q829" i="1"/>
  <c r="Q369" i="1"/>
  <c r="Q174" i="1"/>
  <c r="Q371" i="1"/>
  <c r="Q372" i="1"/>
  <c r="Q373" i="1"/>
  <c r="Q374" i="1"/>
  <c r="Q375" i="1"/>
  <c r="Q376" i="1"/>
  <c r="Q518" i="1"/>
  <c r="Q378" i="1"/>
  <c r="Q379" i="1"/>
  <c r="Q380" i="1"/>
  <c r="Q478" i="1"/>
  <c r="Q382" i="1"/>
  <c r="Q383" i="1"/>
  <c r="Q384" i="1"/>
  <c r="Q566" i="1"/>
  <c r="Q1114" i="1"/>
  <c r="Q486" i="1"/>
  <c r="Q388" i="1"/>
  <c r="Q256" i="1"/>
  <c r="Q390" i="1"/>
  <c r="Q391" i="1"/>
  <c r="Q392" i="1"/>
  <c r="Q393" i="1"/>
  <c r="Q394" i="1"/>
  <c r="Q962" i="1"/>
  <c r="Q396" i="1"/>
  <c r="Q397" i="1"/>
  <c r="Q1056" i="1"/>
  <c r="Q1196" i="1"/>
  <c r="Q684" i="1"/>
  <c r="Q401" i="1"/>
  <c r="Q402" i="1"/>
  <c r="Q1075" i="1"/>
  <c r="Q27" i="1"/>
  <c r="Q1123" i="1"/>
  <c r="Q406" i="1"/>
  <c r="Q163" i="1"/>
  <c r="Q408" i="1"/>
  <c r="Q409" i="1"/>
  <c r="Q344" i="1"/>
  <c r="Q411" i="1"/>
  <c r="Q914" i="1"/>
  <c r="Q413" i="1"/>
  <c r="Q1136" i="1"/>
  <c r="Q415" i="1"/>
  <c r="Q416" i="1"/>
  <c r="Q606" i="1"/>
  <c r="Q418" i="1"/>
  <c r="Q269" i="1"/>
  <c r="Q1106" i="1"/>
  <c r="Q421" i="1"/>
  <c r="Q422" i="1"/>
  <c r="Q423" i="1"/>
  <c r="Q377" i="1"/>
  <c r="Q425" i="1"/>
  <c r="Q426" i="1"/>
  <c r="Q904" i="1"/>
  <c r="Q428" i="1"/>
  <c r="Q429" i="1"/>
  <c r="Q430" i="1"/>
  <c r="Q974" i="1"/>
  <c r="Q432" i="1"/>
  <c r="Q433" i="1"/>
  <c r="Q1037" i="1"/>
  <c r="Q471" i="1"/>
  <c r="Q436" i="1"/>
  <c r="Q497" i="1"/>
  <c r="Q98" i="1"/>
  <c r="Q703" i="1"/>
  <c r="Q440" i="1"/>
  <c r="Q441" i="1"/>
  <c r="Q43" i="1"/>
  <c r="Q443" i="1"/>
  <c r="Q444" i="1"/>
  <c r="Q964" i="1"/>
  <c r="Q796" i="1"/>
  <c r="Q473" i="1"/>
  <c r="Q438" i="1"/>
  <c r="Q449" i="1"/>
  <c r="Q450" i="1"/>
  <c r="Q553" i="1"/>
  <c r="Q452" i="1"/>
  <c r="Q1054" i="1"/>
  <c r="Q454" i="1"/>
  <c r="Q329" i="1"/>
  <c r="Q340" i="1"/>
  <c r="Q956" i="1"/>
  <c r="Q626" i="1"/>
  <c r="Q459" i="1"/>
  <c r="Q798" i="1"/>
  <c r="Q540" i="1"/>
  <c r="Q462" i="1"/>
  <c r="Q144" i="1"/>
  <c r="Q771" i="1"/>
  <c r="Q465" i="1"/>
  <c r="Q327" i="1"/>
  <c r="Q231" i="1"/>
  <c r="Q403" i="1"/>
  <c r="Q469" i="1"/>
  <c r="Q470" i="1"/>
  <c r="Q1085" i="1"/>
  <c r="Q472" i="1"/>
  <c r="Q1077" i="1"/>
  <c r="Q474" i="1"/>
  <c r="Q733" i="1"/>
  <c r="Q646" i="1"/>
  <c r="Q615" i="1"/>
  <c r="Q923" i="1"/>
  <c r="Q479" i="1"/>
  <c r="Q480" i="1"/>
  <c r="Q1068" i="1"/>
  <c r="Q482" i="1"/>
  <c r="Q483" i="1"/>
  <c r="Q484" i="1"/>
  <c r="Q485" i="1"/>
  <c r="Q265" i="1"/>
  <c r="Q868" i="1"/>
  <c r="Q488" i="1"/>
  <c r="Q1019" i="1"/>
  <c r="Q1010" i="1"/>
  <c r="Q491" i="1"/>
  <c r="Q810" i="1"/>
  <c r="Q493" i="1"/>
  <c r="Q494" i="1"/>
  <c r="Q495" i="1"/>
  <c r="Q496" i="1"/>
  <c r="Q126" i="1"/>
  <c r="Q498" i="1"/>
  <c r="Q499" i="1"/>
  <c r="Q500" i="1"/>
  <c r="Q971" i="1"/>
  <c r="Q668" i="1"/>
  <c r="Q1197" i="1"/>
  <c r="Q504" i="1"/>
  <c r="Q1084" i="1"/>
  <c r="Q200" i="1"/>
  <c r="Q507" i="1"/>
  <c r="Q508" i="1"/>
  <c r="Q1081" i="1"/>
  <c r="Q510" i="1"/>
  <c r="Q511" i="1"/>
  <c r="Q387" i="1"/>
  <c r="Q513" i="1"/>
  <c r="Q514" i="1"/>
  <c r="Q515" i="1"/>
  <c r="Q516" i="1"/>
  <c r="Q517" i="1"/>
  <c r="Q528" i="1"/>
  <c r="Q519" i="1"/>
  <c r="Q520" i="1"/>
  <c r="Q1187" i="1"/>
  <c r="Q522" i="1"/>
  <c r="Q252" i="1"/>
  <c r="Q524" i="1"/>
  <c r="Q783" i="1"/>
  <c r="Q526" i="1"/>
  <c r="Q698" i="1"/>
  <c r="Q929" i="1"/>
  <c r="Q529" i="1"/>
  <c r="Q530" i="1"/>
  <c r="Q467" i="1"/>
  <c r="Q933" i="1"/>
  <c r="Q533" i="1"/>
  <c r="Q251" i="1"/>
  <c r="Q1158" i="1"/>
  <c r="Q330" i="1"/>
  <c r="Q537" i="1"/>
  <c r="Q786" i="1"/>
  <c r="Q539" i="1"/>
  <c r="Q424" i="1"/>
  <c r="Q887" i="1"/>
  <c r="Q542" i="1"/>
  <c r="Q160" i="1"/>
  <c r="Q115" i="1"/>
  <c r="Q545" i="1"/>
  <c r="Q546" i="1"/>
  <c r="Q547" i="1"/>
  <c r="Q151" i="1"/>
  <c r="Q549" i="1"/>
  <c r="Q550" i="1"/>
  <c r="Q551" i="1"/>
  <c r="Q552" i="1"/>
  <c r="Q913" i="1"/>
  <c r="Q554" i="1"/>
  <c r="Q132" i="1"/>
  <c r="Q556" i="1"/>
  <c r="Q1040" i="1"/>
  <c r="Q991" i="1"/>
  <c r="Q502" i="1"/>
  <c r="Q1137" i="1"/>
  <c r="Q561" i="1"/>
  <c r="Q1141" i="1"/>
  <c r="Q776" i="1"/>
  <c r="Q1042" i="1"/>
  <c r="Q565" i="1"/>
  <c r="Q487" i="1"/>
  <c r="Q567" i="1"/>
  <c r="Q568" i="1"/>
  <c r="Q49" i="1"/>
  <c r="Q570" i="1"/>
  <c r="Q11" i="1"/>
  <c r="Q572" i="1"/>
  <c r="Q680" i="1"/>
  <c r="Q434" i="1"/>
  <c r="Q575" i="1"/>
  <c r="Q475" i="1"/>
  <c r="Q577" i="1"/>
  <c r="Q578" i="1"/>
  <c r="Q579" i="1"/>
  <c r="Q580" i="1"/>
  <c r="Q581" i="1"/>
  <c r="Q582" i="1"/>
  <c r="Q583" i="1"/>
  <c r="Q584" i="1"/>
  <c r="Q585" i="1"/>
  <c r="Q1083" i="1"/>
  <c r="Q4" i="1"/>
  <c r="Q588" i="1"/>
  <c r="Q589" i="1"/>
  <c r="Q869" i="1"/>
  <c r="Q591" i="1"/>
  <c r="Q592" i="1"/>
  <c r="Q1029" i="1"/>
  <c r="Q594" i="1"/>
  <c r="Q595" i="1"/>
  <c r="Q596" i="1"/>
  <c r="Q399" i="1"/>
  <c r="Q598" i="1"/>
  <c r="Q728" i="1"/>
  <c r="Q175" i="1"/>
  <c r="Q601" i="1"/>
  <c r="Q1017" i="1"/>
  <c r="Q603" i="1"/>
  <c r="Q604" i="1"/>
  <c r="Q782" i="1"/>
  <c r="Q419" i="1"/>
  <c r="Q894" i="1"/>
  <c r="Q608" i="1"/>
  <c r="Q609" i="1"/>
  <c r="Q610" i="1"/>
  <c r="Q611" i="1"/>
  <c r="Q1180" i="1"/>
  <c r="Q64" i="1"/>
  <c r="Q686" i="1"/>
  <c r="Q710" i="1"/>
  <c r="Q455" i="1"/>
  <c r="Q617" i="1"/>
  <c r="Q128" i="1"/>
  <c r="Q619" i="1"/>
  <c r="Q353" i="1"/>
  <c r="Q621" i="1"/>
  <c r="Q155" i="1"/>
  <c r="Q623" i="1"/>
  <c r="Q624" i="1"/>
  <c r="Q625" i="1"/>
  <c r="Q541" i="1"/>
  <c r="Q1133" i="1"/>
  <c r="Q254" i="1"/>
  <c r="Q629" i="1"/>
  <c r="Q630" i="1"/>
  <c r="Q445" i="1"/>
  <c r="Q197" i="1"/>
  <c r="Q1101" i="1"/>
  <c r="Q634" i="1"/>
  <c r="Q644" i="1"/>
  <c r="Q636" i="1"/>
  <c r="Q1186" i="1"/>
  <c r="Q638" i="1"/>
  <c r="Q639" i="1"/>
  <c r="Q640" i="1"/>
  <c r="Q641" i="1"/>
  <c r="Q642" i="1"/>
  <c r="Q643" i="1"/>
  <c r="Q1168" i="1"/>
  <c r="Q645" i="1"/>
  <c r="Q573" i="1"/>
  <c r="Q647" i="1"/>
  <c r="Q648" i="1"/>
  <c r="Q924" i="1"/>
  <c r="Q650" i="1"/>
  <c r="Q405" i="1"/>
  <c r="Q1181" i="1"/>
  <c r="Q653" i="1"/>
  <c r="Q654" i="1"/>
  <c r="Q999" i="1"/>
  <c r="Q656" i="1"/>
  <c r="Q167" i="1"/>
  <c r="Q658" i="1"/>
  <c r="Q322" i="1"/>
  <c r="Q179" i="1"/>
  <c r="Q661" i="1"/>
  <c r="Q274" i="1"/>
  <c r="Q1153" i="1"/>
  <c r="Q404" i="1"/>
  <c r="Q665" i="1"/>
  <c r="Q666" i="1"/>
  <c r="Q667" i="1"/>
  <c r="Q855" i="1"/>
  <c r="Q937" i="1"/>
  <c r="Q670" i="1"/>
  <c r="Q305" i="1"/>
  <c r="Q439" i="1"/>
  <c r="Q673" i="1"/>
  <c r="Q448" i="1"/>
  <c r="Q1014" i="1"/>
  <c r="Q676" i="1"/>
  <c r="Q590" i="1"/>
  <c r="Q678" i="1"/>
  <c r="Q679" i="1"/>
  <c r="Q451" i="1"/>
  <c r="Q681" i="1"/>
  <c r="Q682" i="1"/>
  <c r="Q683" i="1"/>
  <c r="Q138" i="1"/>
  <c r="Q685" i="1"/>
  <c r="Q1125" i="1"/>
  <c r="Q435" i="1"/>
  <c r="Q688" i="1"/>
  <c r="Q57" i="1"/>
  <c r="Q978" i="1"/>
  <c r="Q605" i="1"/>
  <c r="Q461" i="1"/>
  <c r="Q477" i="1"/>
  <c r="Q694" i="1"/>
  <c r="Q695" i="1"/>
  <c r="Q259" i="1"/>
  <c r="Q697" i="1"/>
  <c r="Q323" i="1"/>
  <c r="Q699" i="1"/>
  <c r="Q746" i="1"/>
  <c r="Q701" i="1"/>
  <c r="Q702" i="1"/>
  <c r="Q40" i="1"/>
  <c r="Q704" i="1"/>
  <c r="Q705" i="1"/>
  <c r="Q706" i="1"/>
  <c r="Q707" i="1"/>
  <c r="Q54" i="1"/>
  <c r="Q709" i="1"/>
  <c r="Q59" i="1"/>
  <c r="Q55" i="1"/>
  <c r="Q762" i="1"/>
  <c r="Q713" i="1"/>
  <c r="Q627" i="1"/>
  <c r="Q715" i="1"/>
  <c r="Q716" i="1"/>
  <c r="Q717" i="1"/>
  <c r="Q718" i="1"/>
  <c r="Q281" i="1"/>
  <c r="Q720" i="1"/>
  <c r="Q721" i="1"/>
  <c r="Q722" i="1"/>
  <c r="Q826" i="1"/>
  <c r="Q724" i="1"/>
  <c r="Q622" i="1"/>
  <c r="Q751" i="1"/>
  <c r="Q25" i="1"/>
  <c r="Q100" i="1"/>
  <c r="Q729" i="1"/>
  <c r="Q730" i="1"/>
  <c r="Q731" i="1"/>
  <c r="Q732" i="1"/>
  <c r="Q360" i="1"/>
  <c r="Q734" i="1"/>
  <c r="Q747" i="1"/>
  <c r="Q736" i="1"/>
  <c r="Q737" i="1"/>
  <c r="Q649" i="1"/>
  <c r="Q1034" i="1"/>
  <c r="Q367" i="1"/>
  <c r="Q741" i="1"/>
  <c r="Q742" i="1"/>
  <c r="Q743" i="1"/>
  <c r="Q744" i="1"/>
  <c r="Q201" i="1"/>
  <c r="Q456" i="1"/>
  <c r="Q764" i="1"/>
  <c r="Q748" i="1"/>
  <c r="Q677" i="1"/>
  <c r="Q74" i="1"/>
  <c r="Q633" i="1"/>
  <c r="Q752" i="1"/>
  <c r="Q753" i="1"/>
  <c r="Q901" i="1"/>
  <c r="Q755" i="1"/>
  <c r="Q1090" i="1"/>
  <c r="Q757" i="1"/>
  <c r="Q1132" i="1"/>
  <c r="Q1003" i="1"/>
  <c r="Q760" i="1"/>
  <c r="Q1151" i="1"/>
  <c r="Q712" i="1"/>
  <c r="Q161" i="1"/>
  <c r="Q781" i="1"/>
  <c r="Q108" i="1"/>
  <c r="Q766" i="1"/>
  <c r="Q767" i="1"/>
  <c r="Q768" i="1"/>
  <c r="Q769" i="1"/>
  <c r="Q770" i="1"/>
  <c r="Q858" i="1"/>
  <c r="Q772" i="1"/>
  <c r="Q10" i="1"/>
  <c r="Q819" i="1"/>
  <c r="Q775" i="1"/>
  <c r="Q1031" i="1"/>
  <c r="Q777" i="1"/>
  <c r="Q778" i="1"/>
  <c r="Q779" i="1"/>
  <c r="Q780" i="1"/>
  <c r="Q657" i="1"/>
  <c r="Q222" i="1"/>
  <c r="Q302" i="1"/>
  <c r="Q784" i="1"/>
  <c r="Q569" i="1"/>
  <c r="Q535" i="1"/>
  <c r="Q787" i="1"/>
  <c r="Q788" i="1"/>
  <c r="Q789" i="1"/>
  <c r="Q790" i="1"/>
  <c r="Q791" i="1"/>
  <c r="Q792" i="1"/>
  <c r="Q793" i="1"/>
  <c r="Q794" i="1"/>
  <c r="Q651" i="1"/>
  <c r="Q1004" i="1"/>
  <c r="Q797" i="1"/>
  <c r="Q325" i="1"/>
  <c r="Q920" i="1"/>
  <c r="Q800" i="1"/>
  <c r="Q801" i="1"/>
  <c r="Q802" i="1"/>
  <c r="Q803" i="1"/>
  <c r="Q804" i="1"/>
  <c r="Q221" i="1"/>
  <c r="Q806" i="1"/>
  <c r="Q807" i="1"/>
  <c r="Q808" i="1"/>
  <c r="Q809" i="1"/>
  <c r="Q381" i="1"/>
  <c r="Q811" i="1"/>
  <c r="Q968" i="1"/>
  <c r="Q813" i="1"/>
  <c r="Q814" i="1"/>
  <c r="Q815" i="1"/>
  <c r="Q557" i="1"/>
  <c r="Q525" i="1"/>
  <c r="Q349" i="1"/>
  <c r="Q457" i="1"/>
  <c r="Q24" i="1"/>
  <c r="Q821" i="1"/>
  <c r="Q822" i="1"/>
  <c r="Q823" i="1"/>
  <c r="Q824" i="1"/>
  <c r="Q825" i="1"/>
  <c r="Q67" i="1"/>
  <c r="Q997" i="1"/>
  <c r="Q828" i="1"/>
  <c r="Q1072" i="1"/>
  <c r="Q830" i="1"/>
  <c r="Q831" i="1"/>
  <c r="Q832" i="1"/>
  <c r="Q833" i="1"/>
  <c r="Q761" i="1"/>
  <c r="Q835" i="1"/>
  <c r="Q836" i="1"/>
  <c r="Q915" i="1"/>
  <c r="Q838" i="1"/>
  <c r="Q839" i="1"/>
  <c r="Q351" i="1"/>
  <c r="Q660" i="1"/>
  <c r="Q842" i="1"/>
  <c r="Q843" i="1"/>
  <c r="Q490" i="1"/>
  <c r="Q845" i="1"/>
  <c r="Q846" i="1"/>
  <c r="Q756" i="1"/>
  <c r="Q501" i="1"/>
  <c r="Q849" i="1"/>
  <c r="Q1073" i="1"/>
  <c r="Q851" i="1"/>
  <c r="Q852" i="1"/>
  <c r="Q853" i="1"/>
  <c r="Q854" i="1"/>
  <c r="Q214" i="1"/>
  <c r="Q503" i="1"/>
  <c r="Q857" i="1"/>
  <c r="Q735" i="1"/>
  <c r="Q859" i="1"/>
  <c r="Q860" i="1"/>
  <c r="Q861" i="1"/>
  <c r="Q740" i="1"/>
  <c r="Q692" i="1"/>
  <c r="Q864" i="1"/>
  <c r="Q1058" i="1"/>
  <c r="Q663" i="1"/>
  <c r="Q867" i="1"/>
  <c r="Q763" i="1"/>
  <c r="Q818" i="1"/>
  <c r="Q273" i="1"/>
  <c r="Q586" i="1"/>
  <c r="Q91" i="1"/>
  <c r="Q873" i="1"/>
  <c r="Q874" i="1"/>
  <c r="Q875" i="1"/>
  <c r="Q1105" i="1"/>
  <c r="Q558" i="1"/>
  <c r="Q995" i="1"/>
  <c r="Q15" i="1"/>
  <c r="Q880" i="1"/>
  <c r="Q881" i="1"/>
  <c r="Q882" i="1"/>
  <c r="Q883" i="1"/>
  <c r="Q884" i="1"/>
  <c r="Q113" i="1"/>
  <c r="Q886" i="1"/>
  <c r="Q1005" i="1"/>
  <c r="Q888" i="1"/>
  <c r="Q505" i="1"/>
  <c r="Q890" i="1"/>
  <c r="Q891" i="1"/>
  <c r="Q892" i="1"/>
  <c r="Q893" i="1"/>
  <c r="Q935" i="1"/>
  <c r="Q895" i="1"/>
  <c r="Q896" i="1"/>
  <c r="Q897" i="1"/>
  <c r="Q898" i="1"/>
  <c r="Q899" i="1"/>
  <c r="Q900" i="1"/>
  <c r="Q442" i="1"/>
  <c r="Q902" i="1"/>
  <c r="Q765" i="1"/>
  <c r="Q866" i="1"/>
  <c r="Q905" i="1"/>
  <c r="Q906" i="1"/>
  <c r="Q700" i="1"/>
  <c r="Q908" i="1"/>
  <c r="Q909" i="1"/>
  <c r="Q910" i="1"/>
  <c r="Q911" i="1"/>
  <c r="Q587" i="1"/>
  <c r="Q523" i="1"/>
  <c r="Q348" i="1"/>
  <c r="Q805" i="1"/>
  <c r="Q453" i="1"/>
  <c r="Q917" i="1"/>
  <c r="Q918" i="1"/>
  <c r="Q919" i="1"/>
  <c r="Q1193" i="1"/>
  <c r="Q921" i="1"/>
  <c r="Q922" i="1"/>
  <c r="Q1011" i="1"/>
  <c r="Q1060" i="1"/>
  <c r="Q548" i="1"/>
  <c r="Q926" i="1"/>
  <c r="Q927" i="1"/>
  <c r="Q928" i="1"/>
  <c r="Q738" i="1"/>
  <c r="Q1145" i="1"/>
  <c r="Q60" i="1"/>
  <c r="Q750" i="1"/>
  <c r="Q687" i="1"/>
  <c r="Q934" i="1"/>
  <c r="Q400" i="1"/>
  <c r="Q690" i="1"/>
  <c r="Q270" i="1"/>
  <c r="Q17" i="1"/>
  <c r="Q1104" i="1"/>
  <c r="Q940" i="1"/>
  <c r="Q941" i="1"/>
  <c r="Q942" i="1"/>
  <c r="Q943" i="1"/>
  <c r="Q1046" i="1"/>
  <c r="Q945" i="1"/>
  <c r="Q946" i="1"/>
  <c r="Q993" i="1"/>
  <c r="Q948" i="1"/>
  <c r="Q51" i="1"/>
  <c r="Q950" i="1"/>
  <c r="Q1183" i="1"/>
  <c r="Q952" i="1"/>
  <c r="Q953" i="1"/>
  <c r="Q954" i="1"/>
  <c r="Q955" i="1"/>
  <c r="Q795" i="1"/>
  <c r="Q957" i="1"/>
  <c r="Q574" i="1"/>
  <c r="Q959" i="1"/>
  <c r="Q960" i="1"/>
  <c r="Q961" i="1"/>
  <c r="Q136" i="1"/>
  <c r="Q963" i="1"/>
  <c r="Q258" i="1"/>
  <c r="Q965" i="1"/>
  <c r="Q83" i="1"/>
  <c r="Q632" i="1"/>
  <c r="Q362" i="1"/>
  <c r="Q969" i="1"/>
  <c r="Q970" i="1"/>
  <c r="Q352" i="1"/>
  <c r="Q972" i="1"/>
  <c r="Q973" i="1"/>
  <c r="Q675" i="1"/>
  <c r="Q975" i="1"/>
  <c r="Q976" i="1"/>
  <c r="Q977" i="1"/>
  <c r="Q235" i="1"/>
  <c r="Q979" i="1"/>
  <c r="Q980" i="1"/>
  <c r="Q981" i="1"/>
  <c r="Q481" i="1"/>
  <c r="Q983" i="1"/>
  <c r="Q984" i="1"/>
  <c r="Q985" i="1"/>
  <c r="Q135" i="1"/>
  <c r="Q987" i="1"/>
  <c r="Q988" i="1"/>
  <c r="Q989" i="1"/>
  <c r="Q990" i="1"/>
  <c r="Q1163" i="1"/>
  <c r="Q119" i="1"/>
  <c r="Q308" i="1"/>
  <c r="Q1177" i="1"/>
  <c r="Q120" i="1"/>
  <c r="Q612" i="1"/>
  <c r="Q389" i="1"/>
  <c r="Q998" i="1"/>
  <c r="Q118" i="1"/>
  <c r="Q1000" i="1"/>
  <c r="Q355" i="1"/>
  <c r="Q1002" i="1"/>
  <c r="Q145" i="1"/>
  <c r="Q785" i="1"/>
  <c r="Q370" i="1"/>
  <c r="Q447" i="1"/>
  <c r="Q1138" i="1"/>
  <c r="Q1008" i="1"/>
  <c r="Q1009" i="1"/>
  <c r="Q127" i="1"/>
  <c r="Q759" i="1"/>
  <c r="Q1012" i="1"/>
  <c r="Q1013" i="1"/>
  <c r="Q420" i="1"/>
  <c r="Q1015" i="1"/>
  <c r="Q1016" i="1"/>
  <c r="Q1048" i="1"/>
  <c r="Q1018" i="1"/>
  <c r="Q1165" i="1"/>
  <c r="Q1020" i="1"/>
  <c r="Q1021" i="1"/>
  <c r="Q1022" i="1"/>
  <c r="Q1023" i="1"/>
  <c r="Q1024" i="1"/>
  <c r="Q1025" i="1"/>
  <c r="Q1026" i="1"/>
  <c r="Q1027" i="1"/>
  <c r="Q1028" i="1"/>
  <c r="Q847" i="1"/>
  <c r="Q1030" i="1"/>
  <c r="Q368" i="1"/>
  <c r="Q1032" i="1"/>
  <c r="Q257" i="1"/>
  <c r="Q1178" i="1"/>
  <c r="Q1035" i="1"/>
  <c r="Q1036" i="1"/>
  <c r="Q30" i="1"/>
  <c r="Q1038" i="1"/>
  <c r="Q1039" i="1"/>
  <c r="Q655" i="1"/>
  <c r="Q1041" i="1"/>
  <c r="Q88" i="1"/>
  <c r="Q1001" i="1"/>
  <c r="Q749" i="1"/>
  <c r="Q1045" i="1"/>
  <c r="Q870" i="1"/>
  <c r="Q1047" i="1"/>
  <c r="Q9" i="1"/>
  <c r="Q1049" i="1"/>
  <c r="Q1050" i="1"/>
  <c r="Q1051" i="1"/>
  <c r="Q306" i="1"/>
  <c r="Q1053" i="1"/>
  <c r="Q1201" i="1"/>
  <c r="Q1055" i="1"/>
  <c r="Q947" i="1"/>
  <c r="Q1057" i="1"/>
  <c r="Q1119" i="1"/>
  <c r="Q912" i="1"/>
  <c r="Q468" i="1"/>
  <c r="Q844" i="1"/>
  <c r="Q1062" i="1"/>
  <c r="Q315" i="1"/>
  <c r="Q1064" i="1"/>
  <c r="Q1065" i="1"/>
  <c r="Q1066" i="1"/>
  <c r="Q1067" i="1"/>
  <c r="Q1059" i="1"/>
  <c r="Q1069" i="1"/>
  <c r="Q1070" i="1"/>
  <c r="Q1071" i="1"/>
  <c r="Q531" i="1"/>
  <c r="Q714" i="1"/>
  <c r="Q1074" i="1"/>
  <c r="Q949" i="1"/>
  <c r="Q1076" i="1"/>
  <c r="Q226" i="1"/>
  <c r="Q1148" i="1"/>
  <c r="Q1079" i="1"/>
  <c r="Q1080" i="1"/>
  <c r="Q593" i="1"/>
  <c r="Q407" i="1"/>
  <c r="Q885" i="1"/>
  <c r="Q123" i="1"/>
  <c r="Q14" i="1"/>
  <c r="Q1086" i="1"/>
  <c r="Q1087" i="1"/>
  <c r="Q1088" i="1"/>
  <c r="Q1089" i="1"/>
  <c r="Q1082" i="1"/>
  <c r="Q1091" i="1"/>
  <c r="Q872" i="1"/>
  <c r="Q1093" i="1"/>
  <c r="Q1094" i="1"/>
  <c r="Q1095" i="1"/>
  <c r="Q1096" i="1"/>
  <c r="Q219" i="1"/>
  <c r="Q1098" i="1"/>
  <c r="Q1099" i="1"/>
  <c r="Q1100" i="1"/>
  <c r="Q850" i="1"/>
  <c r="Q1102" i="1"/>
  <c r="Q674" i="1"/>
  <c r="Q521" i="1"/>
  <c r="Q509" i="1"/>
  <c r="Q903" i="1"/>
  <c r="Q1107" i="1"/>
  <c r="Q1108" i="1"/>
  <c r="Q1109" i="1"/>
  <c r="Q1110" i="1"/>
  <c r="Q1111" i="1"/>
  <c r="Q1112" i="1"/>
  <c r="Q1113" i="1"/>
  <c r="Q817" i="1"/>
  <c r="Q1115" i="1"/>
  <c r="Q1116" i="1"/>
  <c r="Q1117" i="1"/>
  <c r="Q1118" i="1"/>
  <c r="Q876" i="1"/>
  <c r="Q1120" i="1"/>
  <c r="Q1121" i="1"/>
  <c r="Q1122" i="1"/>
  <c r="Q848" i="1"/>
  <c r="Q1124" i="1"/>
  <c r="Q996" i="1"/>
  <c r="Q1126" i="1"/>
  <c r="Q1127" i="1"/>
  <c r="Q837" i="1"/>
  <c r="Q1129" i="1"/>
  <c r="Q232" i="1"/>
  <c r="Q1131" i="1"/>
  <c r="Q555" i="1"/>
  <c r="Q600" i="1"/>
  <c r="Q1134" i="1"/>
  <c r="Q597" i="1"/>
  <c r="Q85" i="1"/>
  <c r="Q1103" i="1"/>
  <c r="Q1172" i="1"/>
  <c r="Q463" i="1"/>
  <c r="Q1140" i="1"/>
  <c r="Q253" i="1"/>
  <c r="Q1142" i="1"/>
  <c r="Q1143" i="1"/>
  <c r="Q1144" i="1"/>
  <c r="Q856" i="1"/>
  <c r="Q1146" i="1"/>
  <c r="Q1147" i="1"/>
  <c r="Q1006" i="1"/>
  <c r="Q1149" i="1"/>
  <c r="Q1150" i="1"/>
  <c r="Q412" i="1"/>
  <c r="Q1152" i="1"/>
  <c r="Q925" i="1"/>
  <c r="Q1154" i="1"/>
  <c r="Q1155" i="1"/>
  <c r="Q1156" i="1"/>
  <c r="Q95" i="1"/>
  <c r="Q607" i="1"/>
  <c r="Q1159" i="1"/>
  <c r="Q1160" i="1"/>
  <c r="Q1161" i="1"/>
  <c r="Q1162" i="1"/>
  <c r="Q820" i="1"/>
  <c r="Q1164" i="1"/>
  <c r="Q195" i="1"/>
  <c r="Q1166" i="1"/>
  <c r="Q877" i="1"/>
  <c r="Q931" i="1"/>
  <c r="Q1169" i="1"/>
  <c r="Q1170" i="1"/>
  <c r="Q1171" i="1"/>
  <c r="Q878" i="1"/>
  <c r="Q1173" i="1"/>
  <c r="Q1174" i="1"/>
  <c r="Q1175" i="1"/>
  <c r="Q1176" i="1"/>
  <c r="Q29" i="1"/>
  <c r="Q263" i="1"/>
  <c r="Q1179" i="1"/>
  <c r="Q363" i="1"/>
  <c r="Q268" i="1"/>
  <c r="Q1182" i="1"/>
  <c r="Q840" i="1"/>
  <c r="Q1184" i="1"/>
  <c r="Q1185" i="1"/>
  <c r="Q862" i="1"/>
  <c r="Q466" i="1"/>
  <c r="Q1188" i="1"/>
  <c r="Q726" i="1"/>
  <c r="Q398" i="1"/>
  <c r="Q1191" i="1"/>
  <c r="Q1192" i="1"/>
  <c r="Q395" i="1"/>
  <c r="Q1194" i="1"/>
  <c r="Q1195" i="1"/>
  <c r="Q841" i="1"/>
  <c r="Q215" i="1"/>
  <c r="Q1198" i="1"/>
  <c r="Q1199" i="1"/>
  <c r="Q1200" i="1"/>
  <c r="Q560" i="1"/>
  <c r="P2" i="1"/>
  <c r="P967" i="1"/>
  <c r="P240" i="1"/>
  <c r="P5" i="1"/>
  <c r="P6" i="1"/>
  <c r="P7" i="1"/>
  <c r="P8" i="1"/>
  <c r="P296" i="1"/>
  <c r="P41" i="1"/>
  <c r="P745" i="1"/>
  <c r="P12" i="1"/>
  <c r="P358" i="1"/>
  <c r="P907" i="1"/>
  <c r="P202" i="1"/>
  <c r="P16" i="1"/>
  <c r="P446" i="1"/>
  <c r="P18" i="1"/>
  <c r="P110" i="1"/>
  <c r="P20" i="1"/>
  <c r="P21" i="1"/>
  <c r="P22" i="1"/>
  <c r="P23" i="1"/>
  <c r="P982" i="1"/>
  <c r="P280" i="1"/>
  <c r="P26" i="1"/>
  <c r="P662" i="1"/>
  <c r="P28" i="1"/>
  <c r="P1135" i="1"/>
  <c r="P708" i="1"/>
  <c r="P31" i="1"/>
  <c r="P32" i="1"/>
  <c r="P33" i="1"/>
  <c r="P34" i="1"/>
  <c r="P35" i="1"/>
  <c r="P36" i="1"/>
  <c r="P37" i="1"/>
  <c r="P38" i="1"/>
  <c r="P39" i="1"/>
  <c r="P417" i="1"/>
  <c r="P739" i="1"/>
  <c r="P42" i="1"/>
  <c r="P316" i="1"/>
  <c r="P44" i="1"/>
  <c r="P45" i="1"/>
  <c r="P46" i="1"/>
  <c r="P47" i="1"/>
  <c r="P48" i="1"/>
  <c r="P812" i="1"/>
  <c r="P50" i="1"/>
  <c r="P90" i="1"/>
  <c r="P52" i="1"/>
  <c r="P53" i="1"/>
  <c r="P73" i="1"/>
  <c r="P261" i="1"/>
  <c r="P492" i="1"/>
  <c r="P103" i="1"/>
  <c r="P58" i="1"/>
  <c r="P458" i="1"/>
  <c r="P774" i="1"/>
  <c r="P282" i="1"/>
  <c r="P62" i="1"/>
  <c r="P63" i="1"/>
  <c r="P171" i="1"/>
  <c r="P613" i="1"/>
  <c r="P66" i="1"/>
  <c r="P563" i="1"/>
  <c r="P68" i="1"/>
  <c r="P69" i="1"/>
  <c r="P70" i="1"/>
  <c r="P532" i="1"/>
  <c r="P72" i="1"/>
  <c r="P1092" i="1"/>
  <c r="P146" i="1"/>
  <c r="P75" i="1"/>
  <c r="P76" i="1"/>
  <c r="P77" i="1"/>
  <c r="P78" i="1"/>
  <c r="P79" i="1"/>
  <c r="P80" i="1"/>
  <c r="P81" i="1"/>
  <c r="P82" i="1"/>
  <c r="P711" i="1"/>
  <c r="P84" i="1"/>
  <c r="P250" i="1"/>
  <c r="P437" i="1"/>
  <c r="P87" i="1"/>
  <c r="P1063" i="1"/>
  <c r="P89" i="1"/>
  <c r="P506" i="1"/>
  <c r="P951" i="1"/>
  <c r="P92" i="1"/>
  <c r="P93" i="1"/>
  <c r="P659" i="1"/>
  <c r="P669" i="1"/>
  <c r="P96" i="1"/>
  <c r="P599" i="1"/>
  <c r="P628" i="1"/>
  <c r="P99" i="1"/>
  <c r="P994" i="1"/>
  <c r="P65" i="1"/>
  <c r="P102" i="1"/>
  <c r="P1167" i="1"/>
  <c r="P104" i="1"/>
  <c r="P105" i="1"/>
  <c r="P106" i="1"/>
  <c r="P107" i="1"/>
  <c r="P19" i="1"/>
  <c r="P916" i="1"/>
  <c r="P342" i="1"/>
  <c r="P616" i="1"/>
  <c r="P637" i="1"/>
  <c r="P544" i="1"/>
  <c r="P114" i="1"/>
  <c r="P13" i="1"/>
  <c r="P116" i="1"/>
  <c r="P117" i="1"/>
  <c r="P944" i="1"/>
  <c r="P543" i="1"/>
  <c r="P1189" i="1"/>
  <c r="P121" i="1"/>
  <c r="P576" i="1"/>
  <c r="P939" i="1"/>
  <c r="P124" i="1"/>
  <c r="P125" i="1"/>
  <c r="P311" i="1"/>
  <c r="P460" i="1"/>
  <c r="P299" i="1"/>
  <c r="P129" i="1"/>
  <c r="P130" i="1"/>
  <c r="P131" i="1"/>
  <c r="P186" i="1"/>
  <c r="P133" i="1"/>
  <c r="P672" i="1"/>
  <c r="P799" i="1"/>
  <c r="P335" i="1"/>
  <c r="P137" i="1"/>
  <c r="P286" i="1"/>
  <c r="P139" i="1"/>
  <c r="P140" i="1"/>
  <c r="P141" i="1"/>
  <c r="P142" i="1"/>
  <c r="P143" i="1"/>
  <c r="P112" i="1"/>
  <c r="P385" i="1"/>
  <c r="P164" i="1"/>
  <c r="P147" i="1"/>
  <c r="P148" i="1"/>
  <c r="P149" i="1"/>
  <c r="P150" i="1"/>
  <c r="P719" i="1"/>
  <c r="P152" i="1"/>
  <c r="P153" i="1"/>
  <c r="P154" i="1"/>
  <c r="P213" i="1"/>
  <c r="P156" i="1"/>
  <c r="P157" i="1"/>
  <c r="P564" i="1"/>
  <c r="P159" i="1"/>
  <c r="P620" i="1"/>
  <c r="P464" i="1"/>
  <c r="P992" i="1"/>
  <c r="P97" i="1"/>
  <c r="P652" i="1"/>
  <c r="P165" i="1"/>
  <c r="P166" i="1"/>
  <c r="P162" i="1"/>
  <c r="P168" i="1"/>
  <c r="P169" i="1"/>
  <c r="P170" i="1"/>
  <c r="P247" i="1"/>
  <c r="P172" i="1"/>
  <c r="P173" i="1"/>
  <c r="P773" i="1"/>
  <c r="P318" i="1"/>
  <c r="P365" i="1"/>
  <c r="P696" i="1"/>
  <c r="P178" i="1"/>
  <c r="P571" i="1"/>
  <c r="P180" i="1"/>
  <c r="P181" i="1"/>
  <c r="P182" i="1"/>
  <c r="P183" i="1"/>
  <c r="P184" i="1"/>
  <c r="P176" i="1"/>
  <c r="P691" i="1"/>
  <c r="P187" i="1"/>
  <c r="P185" i="1"/>
  <c r="P189" i="1"/>
  <c r="P190" i="1"/>
  <c r="P562" i="1"/>
  <c r="P476" i="1"/>
  <c r="P193" i="1"/>
  <c r="P194" i="1"/>
  <c r="P111" i="1"/>
  <c r="P196" i="1"/>
  <c r="P386" i="1"/>
  <c r="P198" i="1"/>
  <c r="P827" i="1"/>
  <c r="P101" i="1"/>
  <c r="P1128" i="1"/>
  <c r="P1033" i="1"/>
  <c r="P203" i="1"/>
  <c r="P204" i="1"/>
  <c r="P205" i="1"/>
  <c r="P206" i="1"/>
  <c r="P207" i="1"/>
  <c r="P208" i="1"/>
  <c r="P209" i="1"/>
  <c r="P210" i="1"/>
  <c r="P211" i="1"/>
  <c r="P212" i="1"/>
  <c r="P122" i="1"/>
  <c r="P94" i="1"/>
  <c r="P889" i="1"/>
  <c r="P216" i="1"/>
  <c r="P217" i="1"/>
  <c r="P816" i="1"/>
  <c r="P1097" i="1"/>
  <c r="P220" i="1"/>
  <c r="P693" i="1"/>
  <c r="P1052" i="1"/>
  <c r="P223" i="1"/>
  <c r="P224" i="1"/>
  <c r="P225" i="1"/>
  <c r="P536" i="1"/>
  <c r="P227" i="1"/>
  <c r="P228" i="1"/>
  <c r="P229" i="1"/>
  <c r="P230" i="1"/>
  <c r="P158" i="1"/>
  <c r="P936" i="1"/>
  <c r="P233" i="1"/>
  <c r="P234" i="1"/>
  <c r="P1157" i="1"/>
  <c r="P236" i="1"/>
  <c r="P237" i="1"/>
  <c r="P238" i="1"/>
  <c r="P239" i="1"/>
  <c r="P618" i="1"/>
  <c r="P241" i="1"/>
  <c r="P242" i="1"/>
  <c r="P243" i="1"/>
  <c r="P244" i="1"/>
  <c r="P245" i="1"/>
  <c r="P246" i="1"/>
  <c r="P1061" i="1"/>
  <c r="P248" i="1"/>
  <c r="P249" i="1"/>
  <c r="P86" i="1"/>
  <c r="P631" i="1"/>
  <c r="P188" i="1"/>
  <c r="P489" i="1"/>
  <c r="P1078" i="1"/>
  <c r="P255" i="1"/>
  <c r="P260" i="1"/>
  <c r="P56" i="1"/>
  <c r="P559" i="1"/>
  <c r="P871" i="1"/>
  <c r="P71" i="1"/>
  <c r="P958" i="1"/>
  <c r="P262" i="1"/>
  <c r="P431" i="1"/>
  <c r="P191" i="1"/>
  <c r="P966" i="1"/>
  <c r="P266" i="1"/>
  <c r="P267" i="1"/>
  <c r="P986" i="1"/>
  <c r="P295" i="1"/>
  <c r="P727" i="1"/>
  <c r="P271" i="1"/>
  <c r="P1139" i="1"/>
  <c r="P199" i="1"/>
  <c r="P758" i="1"/>
  <c r="P275" i="1"/>
  <c r="P276" i="1"/>
  <c r="P277" i="1"/>
  <c r="P278" i="1"/>
  <c r="P279" i="1"/>
  <c r="P410" i="1"/>
  <c r="P754" i="1"/>
  <c r="P671" i="1"/>
  <c r="P283" i="1"/>
  <c r="P284" i="1"/>
  <c r="P285" i="1"/>
  <c r="P427" i="1"/>
  <c r="P287" i="1"/>
  <c r="P288" i="1"/>
  <c r="P289" i="1"/>
  <c r="P290" i="1"/>
  <c r="P291" i="1"/>
  <c r="P292" i="1"/>
  <c r="P293" i="1"/>
  <c r="P294" i="1"/>
  <c r="P414" i="1"/>
  <c r="P1043" i="1"/>
  <c r="P297" i="1"/>
  <c r="P298" i="1"/>
  <c r="P272" i="1"/>
  <c r="P300" i="1"/>
  <c r="P301" i="1"/>
  <c r="P192" i="1"/>
  <c r="P303" i="1"/>
  <c r="P304" i="1"/>
  <c r="P3" i="1"/>
  <c r="P218" i="1"/>
  <c r="P307" i="1"/>
  <c r="P314" i="1"/>
  <c r="P309" i="1"/>
  <c r="P310" i="1"/>
  <c r="P538" i="1"/>
  <c r="P312" i="1"/>
  <c r="P313" i="1"/>
  <c r="P689" i="1"/>
  <c r="P264" i="1"/>
  <c r="P527" i="1"/>
  <c r="P317" i="1"/>
  <c r="P938" i="1"/>
  <c r="P319" i="1"/>
  <c r="P865" i="1"/>
  <c r="P321" i="1"/>
  <c r="P879" i="1"/>
  <c r="P723" i="1"/>
  <c r="P324" i="1"/>
  <c r="P664" i="1"/>
  <c r="P326" i="1"/>
  <c r="P512" i="1"/>
  <c r="P328" i="1"/>
  <c r="P61" i="1"/>
  <c r="P863" i="1"/>
  <c r="P331" i="1"/>
  <c r="P332" i="1"/>
  <c r="P333" i="1"/>
  <c r="P334" i="1"/>
  <c r="P602" i="1"/>
  <c r="P336" i="1"/>
  <c r="P337" i="1"/>
  <c r="P338" i="1"/>
  <c r="P339" i="1"/>
  <c r="P725" i="1"/>
  <c r="P341" i="1"/>
  <c r="P1007" i="1"/>
  <c r="P343" i="1"/>
  <c r="P134" i="1"/>
  <c r="P345" i="1"/>
  <c r="P346" i="1"/>
  <c r="P347" i="1"/>
  <c r="P614" i="1"/>
  <c r="P320" i="1"/>
  <c r="P350" i="1"/>
  <c r="P635" i="1"/>
  <c r="P930" i="1"/>
  <c r="P1130" i="1"/>
  <c r="P354" i="1"/>
  <c r="P1044" i="1"/>
  <c r="P356" i="1"/>
  <c r="P357" i="1"/>
  <c r="P932" i="1"/>
  <c r="P359" i="1"/>
  <c r="P1190" i="1"/>
  <c r="P361" i="1"/>
  <c r="P534" i="1"/>
  <c r="P834" i="1"/>
  <c r="P364" i="1"/>
  <c r="P109" i="1"/>
  <c r="P366" i="1"/>
  <c r="P177" i="1"/>
  <c r="P829" i="1"/>
  <c r="P369" i="1"/>
  <c r="P174" i="1"/>
  <c r="P371" i="1"/>
  <c r="P372" i="1"/>
  <c r="P373" i="1"/>
  <c r="P374" i="1"/>
  <c r="P375" i="1"/>
  <c r="P376" i="1"/>
  <c r="P518" i="1"/>
  <c r="P378" i="1"/>
  <c r="P379" i="1"/>
  <c r="P380" i="1"/>
  <c r="P478" i="1"/>
  <c r="P382" i="1"/>
  <c r="P383" i="1"/>
  <c r="P384" i="1"/>
  <c r="P566" i="1"/>
  <c r="P1114" i="1"/>
  <c r="P486" i="1"/>
  <c r="P388" i="1"/>
  <c r="P256" i="1"/>
  <c r="P390" i="1"/>
  <c r="P391" i="1"/>
  <c r="P392" i="1"/>
  <c r="P393" i="1"/>
  <c r="P394" i="1"/>
  <c r="P962" i="1"/>
  <c r="P396" i="1"/>
  <c r="P397" i="1"/>
  <c r="P1056" i="1"/>
  <c r="P1196" i="1"/>
  <c r="P684" i="1"/>
  <c r="P401" i="1"/>
  <c r="P402" i="1"/>
  <c r="P1075" i="1"/>
  <c r="P27" i="1"/>
  <c r="P1123" i="1"/>
  <c r="P406" i="1"/>
  <c r="P163" i="1"/>
  <c r="P408" i="1"/>
  <c r="P409" i="1"/>
  <c r="P344" i="1"/>
  <c r="P411" i="1"/>
  <c r="P914" i="1"/>
  <c r="P413" i="1"/>
  <c r="P1136" i="1"/>
  <c r="P415" i="1"/>
  <c r="P416" i="1"/>
  <c r="P606" i="1"/>
  <c r="P418" i="1"/>
  <c r="P269" i="1"/>
  <c r="P1106" i="1"/>
  <c r="P421" i="1"/>
  <c r="P422" i="1"/>
  <c r="P423" i="1"/>
  <c r="P377" i="1"/>
  <c r="P425" i="1"/>
  <c r="P426" i="1"/>
  <c r="P904" i="1"/>
  <c r="P428" i="1"/>
  <c r="P429" i="1"/>
  <c r="P430" i="1"/>
  <c r="P974" i="1"/>
  <c r="P432" i="1"/>
  <c r="P433" i="1"/>
  <c r="P1037" i="1"/>
  <c r="P471" i="1"/>
  <c r="P436" i="1"/>
  <c r="P497" i="1"/>
  <c r="P98" i="1"/>
  <c r="P703" i="1"/>
  <c r="P440" i="1"/>
  <c r="P441" i="1"/>
  <c r="P43" i="1"/>
  <c r="P443" i="1"/>
  <c r="P444" i="1"/>
  <c r="P964" i="1"/>
  <c r="P796" i="1"/>
  <c r="P473" i="1"/>
  <c r="P438" i="1"/>
  <c r="P449" i="1"/>
  <c r="P450" i="1"/>
  <c r="P553" i="1"/>
  <c r="P452" i="1"/>
  <c r="P1054" i="1"/>
  <c r="P454" i="1"/>
  <c r="P329" i="1"/>
  <c r="P340" i="1"/>
  <c r="P956" i="1"/>
  <c r="P626" i="1"/>
  <c r="P459" i="1"/>
  <c r="P798" i="1"/>
  <c r="P540" i="1"/>
  <c r="P462" i="1"/>
  <c r="P144" i="1"/>
  <c r="P771" i="1"/>
  <c r="P465" i="1"/>
  <c r="P327" i="1"/>
  <c r="P231" i="1"/>
  <c r="P403" i="1"/>
  <c r="P469" i="1"/>
  <c r="P470" i="1"/>
  <c r="P1085" i="1"/>
  <c r="P472" i="1"/>
  <c r="P1077" i="1"/>
  <c r="P474" i="1"/>
  <c r="P733" i="1"/>
  <c r="P646" i="1"/>
  <c r="P615" i="1"/>
  <c r="P923" i="1"/>
  <c r="P479" i="1"/>
  <c r="P480" i="1"/>
  <c r="P1068" i="1"/>
  <c r="P482" i="1"/>
  <c r="P483" i="1"/>
  <c r="P484" i="1"/>
  <c r="P485" i="1"/>
  <c r="P265" i="1"/>
  <c r="P868" i="1"/>
  <c r="P488" i="1"/>
  <c r="P1019" i="1"/>
  <c r="P1010" i="1"/>
  <c r="P491" i="1"/>
  <c r="P810" i="1"/>
  <c r="P493" i="1"/>
  <c r="P494" i="1"/>
  <c r="P495" i="1"/>
  <c r="P496" i="1"/>
  <c r="P126" i="1"/>
  <c r="P498" i="1"/>
  <c r="P499" i="1"/>
  <c r="P500" i="1"/>
  <c r="P971" i="1"/>
  <c r="P668" i="1"/>
  <c r="P1197" i="1"/>
  <c r="P504" i="1"/>
  <c r="P1084" i="1"/>
  <c r="P200" i="1"/>
  <c r="P507" i="1"/>
  <c r="P508" i="1"/>
  <c r="P1081" i="1"/>
  <c r="P510" i="1"/>
  <c r="P511" i="1"/>
  <c r="P387" i="1"/>
  <c r="P513" i="1"/>
  <c r="P514" i="1"/>
  <c r="P515" i="1"/>
  <c r="P516" i="1"/>
  <c r="P517" i="1"/>
  <c r="P528" i="1"/>
  <c r="P519" i="1"/>
  <c r="P520" i="1"/>
  <c r="P1187" i="1"/>
  <c r="P522" i="1"/>
  <c r="P252" i="1"/>
  <c r="P524" i="1"/>
  <c r="P783" i="1"/>
  <c r="P526" i="1"/>
  <c r="P698" i="1"/>
  <c r="P929" i="1"/>
  <c r="P529" i="1"/>
  <c r="P530" i="1"/>
  <c r="P467" i="1"/>
  <c r="P933" i="1"/>
  <c r="P533" i="1"/>
  <c r="P251" i="1"/>
  <c r="P1158" i="1"/>
  <c r="P330" i="1"/>
  <c r="P537" i="1"/>
  <c r="P786" i="1"/>
  <c r="P539" i="1"/>
  <c r="P424" i="1"/>
  <c r="P887" i="1"/>
  <c r="P542" i="1"/>
  <c r="P160" i="1"/>
  <c r="P115" i="1"/>
  <c r="P545" i="1"/>
  <c r="P546" i="1"/>
  <c r="P547" i="1"/>
  <c r="P151" i="1"/>
  <c r="P549" i="1"/>
  <c r="P550" i="1"/>
  <c r="P551" i="1"/>
  <c r="P552" i="1"/>
  <c r="P913" i="1"/>
  <c r="P554" i="1"/>
  <c r="P132" i="1"/>
  <c r="P556" i="1"/>
  <c r="P1040" i="1"/>
  <c r="P991" i="1"/>
  <c r="P502" i="1"/>
  <c r="P1137" i="1"/>
  <c r="P561" i="1"/>
  <c r="P1141" i="1"/>
  <c r="P776" i="1"/>
  <c r="P1042" i="1"/>
  <c r="P565" i="1"/>
  <c r="P487" i="1"/>
  <c r="P567" i="1"/>
  <c r="P568" i="1"/>
  <c r="P49" i="1"/>
  <c r="P570" i="1"/>
  <c r="P11" i="1"/>
  <c r="P572" i="1"/>
  <c r="P680" i="1"/>
  <c r="P434" i="1"/>
  <c r="P575" i="1"/>
  <c r="P475" i="1"/>
  <c r="P577" i="1"/>
  <c r="P578" i="1"/>
  <c r="P579" i="1"/>
  <c r="P580" i="1"/>
  <c r="P581" i="1"/>
  <c r="P582" i="1"/>
  <c r="P583" i="1"/>
  <c r="P584" i="1"/>
  <c r="P585" i="1"/>
  <c r="P1083" i="1"/>
  <c r="P4" i="1"/>
  <c r="P588" i="1"/>
  <c r="P589" i="1"/>
  <c r="P869" i="1"/>
  <c r="P591" i="1"/>
  <c r="P592" i="1"/>
  <c r="P1029" i="1"/>
  <c r="P594" i="1"/>
  <c r="P595" i="1"/>
  <c r="P596" i="1"/>
  <c r="P399" i="1"/>
  <c r="P598" i="1"/>
  <c r="P728" i="1"/>
  <c r="P175" i="1"/>
  <c r="P601" i="1"/>
  <c r="P1017" i="1"/>
  <c r="P603" i="1"/>
  <c r="P604" i="1"/>
  <c r="P782" i="1"/>
  <c r="P419" i="1"/>
  <c r="P894" i="1"/>
  <c r="P608" i="1"/>
  <c r="P609" i="1"/>
  <c r="P610" i="1"/>
  <c r="P611" i="1"/>
  <c r="P1180" i="1"/>
  <c r="P64" i="1"/>
  <c r="P686" i="1"/>
  <c r="P710" i="1"/>
  <c r="P455" i="1"/>
  <c r="P617" i="1"/>
  <c r="P128" i="1"/>
  <c r="P619" i="1"/>
  <c r="P353" i="1"/>
  <c r="P621" i="1"/>
  <c r="P155" i="1"/>
  <c r="P623" i="1"/>
  <c r="P624" i="1"/>
  <c r="P625" i="1"/>
  <c r="P541" i="1"/>
  <c r="P1133" i="1"/>
  <c r="P254" i="1"/>
  <c r="P629" i="1"/>
  <c r="P630" i="1"/>
  <c r="P445" i="1"/>
  <c r="P197" i="1"/>
  <c r="P1101" i="1"/>
  <c r="P634" i="1"/>
  <c r="P644" i="1"/>
  <c r="P636" i="1"/>
  <c r="P1186" i="1"/>
  <c r="P638" i="1"/>
  <c r="P639" i="1"/>
  <c r="P640" i="1"/>
  <c r="P641" i="1"/>
  <c r="P642" i="1"/>
  <c r="P643" i="1"/>
  <c r="P1168" i="1"/>
  <c r="P645" i="1"/>
  <c r="P573" i="1"/>
  <c r="P647" i="1"/>
  <c r="P648" i="1"/>
  <c r="P924" i="1"/>
  <c r="P650" i="1"/>
  <c r="P405" i="1"/>
  <c r="P1181" i="1"/>
  <c r="P653" i="1"/>
  <c r="P654" i="1"/>
  <c r="P999" i="1"/>
  <c r="P656" i="1"/>
  <c r="P167" i="1"/>
  <c r="P658" i="1"/>
  <c r="P322" i="1"/>
  <c r="P179" i="1"/>
  <c r="P661" i="1"/>
  <c r="P274" i="1"/>
  <c r="P1153" i="1"/>
  <c r="P404" i="1"/>
  <c r="P665" i="1"/>
  <c r="P666" i="1"/>
  <c r="P667" i="1"/>
  <c r="P855" i="1"/>
  <c r="P937" i="1"/>
  <c r="P670" i="1"/>
  <c r="P305" i="1"/>
  <c r="P439" i="1"/>
  <c r="P673" i="1"/>
  <c r="P448" i="1"/>
  <c r="P1014" i="1"/>
  <c r="P676" i="1"/>
  <c r="P590" i="1"/>
  <c r="P678" i="1"/>
  <c r="P679" i="1"/>
  <c r="P451" i="1"/>
  <c r="P681" i="1"/>
  <c r="P682" i="1"/>
  <c r="P683" i="1"/>
  <c r="P138" i="1"/>
  <c r="P685" i="1"/>
  <c r="P1125" i="1"/>
  <c r="P435" i="1"/>
  <c r="P688" i="1"/>
  <c r="P57" i="1"/>
  <c r="P978" i="1"/>
  <c r="P605" i="1"/>
  <c r="P461" i="1"/>
  <c r="P477" i="1"/>
  <c r="P694" i="1"/>
  <c r="P695" i="1"/>
  <c r="P259" i="1"/>
  <c r="P697" i="1"/>
  <c r="P323" i="1"/>
  <c r="P699" i="1"/>
  <c r="P746" i="1"/>
  <c r="P701" i="1"/>
  <c r="P702" i="1"/>
  <c r="P40" i="1"/>
  <c r="P704" i="1"/>
  <c r="P705" i="1"/>
  <c r="P706" i="1"/>
  <c r="P707" i="1"/>
  <c r="P54" i="1"/>
  <c r="P709" i="1"/>
  <c r="P59" i="1"/>
  <c r="P55" i="1"/>
  <c r="P762" i="1"/>
  <c r="P713" i="1"/>
  <c r="P627" i="1"/>
  <c r="P715" i="1"/>
  <c r="P716" i="1"/>
  <c r="P717" i="1"/>
  <c r="P718" i="1"/>
  <c r="P281" i="1"/>
  <c r="P720" i="1"/>
  <c r="P721" i="1"/>
  <c r="P722" i="1"/>
  <c r="P826" i="1"/>
  <c r="P724" i="1"/>
  <c r="P622" i="1"/>
  <c r="P751" i="1"/>
  <c r="P25" i="1"/>
  <c r="P100" i="1"/>
  <c r="P729" i="1"/>
  <c r="P730" i="1"/>
  <c r="P731" i="1"/>
  <c r="P732" i="1"/>
  <c r="P360" i="1"/>
  <c r="P734" i="1"/>
  <c r="P747" i="1"/>
  <c r="P736" i="1"/>
  <c r="P737" i="1"/>
  <c r="P649" i="1"/>
  <c r="P1034" i="1"/>
  <c r="P367" i="1"/>
  <c r="P741" i="1"/>
  <c r="P742" i="1"/>
  <c r="P743" i="1"/>
  <c r="P744" i="1"/>
  <c r="P201" i="1"/>
  <c r="P456" i="1"/>
  <c r="P764" i="1"/>
  <c r="P748" i="1"/>
  <c r="P677" i="1"/>
  <c r="P74" i="1"/>
  <c r="P633" i="1"/>
  <c r="P752" i="1"/>
  <c r="P753" i="1"/>
  <c r="P901" i="1"/>
  <c r="P755" i="1"/>
  <c r="P1090" i="1"/>
  <c r="P757" i="1"/>
  <c r="P1132" i="1"/>
  <c r="P1003" i="1"/>
  <c r="P760" i="1"/>
  <c r="P1151" i="1"/>
  <c r="P712" i="1"/>
  <c r="P161" i="1"/>
  <c r="P781" i="1"/>
  <c r="P108" i="1"/>
  <c r="P766" i="1"/>
  <c r="P767" i="1"/>
  <c r="P768" i="1"/>
  <c r="P769" i="1"/>
  <c r="P770" i="1"/>
  <c r="P858" i="1"/>
  <c r="P772" i="1"/>
  <c r="P10" i="1"/>
  <c r="P819" i="1"/>
  <c r="P775" i="1"/>
  <c r="P1031" i="1"/>
  <c r="P777" i="1"/>
  <c r="P778" i="1"/>
  <c r="P779" i="1"/>
  <c r="P780" i="1"/>
  <c r="P657" i="1"/>
  <c r="P222" i="1"/>
  <c r="P302" i="1"/>
  <c r="P784" i="1"/>
  <c r="P569" i="1"/>
  <c r="P535" i="1"/>
  <c r="P787" i="1"/>
  <c r="P788" i="1"/>
  <c r="P789" i="1"/>
  <c r="P790" i="1"/>
  <c r="P791" i="1"/>
  <c r="P792" i="1"/>
  <c r="P793" i="1"/>
  <c r="P794" i="1"/>
  <c r="P651" i="1"/>
  <c r="P1004" i="1"/>
  <c r="P797" i="1"/>
  <c r="P325" i="1"/>
  <c r="P920" i="1"/>
  <c r="P800" i="1"/>
  <c r="P801" i="1"/>
  <c r="P802" i="1"/>
  <c r="P803" i="1"/>
  <c r="P804" i="1"/>
  <c r="P221" i="1"/>
  <c r="P806" i="1"/>
  <c r="P807" i="1"/>
  <c r="P808" i="1"/>
  <c r="P809" i="1"/>
  <c r="P381" i="1"/>
  <c r="P811" i="1"/>
  <c r="P968" i="1"/>
  <c r="P813" i="1"/>
  <c r="P814" i="1"/>
  <c r="P815" i="1"/>
  <c r="P557" i="1"/>
  <c r="P525" i="1"/>
  <c r="P349" i="1"/>
  <c r="P457" i="1"/>
  <c r="P24" i="1"/>
  <c r="P821" i="1"/>
  <c r="P822" i="1"/>
  <c r="P823" i="1"/>
  <c r="P824" i="1"/>
  <c r="P825" i="1"/>
  <c r="P67" i="1"/>
  <c r="P997" i="1"/>
  <c r="P828" i="1"/>
  <c r="P1072" i="1"/>
  <c r="P830" i="1"/>
  <c r="P831" i="1"/>
  <c r="P832" i="1"/>
  <c r="P833" i="1"/>
  <c r="P761" i="1"/>
  <c r="P835" i="1"/>
  <c r="P836" i="1"/>
  <c r="P915" i="1"/>
  <c r="P838" i="1"/>
  <c r="P839" i="1"/>
  <c r="P351" i="1"/>
  <c r="P660" i="1"/>
  <c r="P842" i="1"/>
  <c r="P843" i="1"/>
  <c r="P490" i="1"/>
  <c r="P845" i="1"/>
  <c r="P846" i="1"/>
  <c r="P756" i="1"/>
  <c r="P501" i="1"/>
  <c r="P849" i="1"/>
  <c r="P1073" i="1"/>
  <c r="P851" i="1"/>
  <c r="P852" i="1"/>
  <c r="P853" i="1"/>
  <c r="P854" i="1"/>
  <c r="P214" i="1"/>
  <c r="P503" i="1"/>
  <c r="P857" i="1"/>
  <c r="P735" i="1"/>
  <c r="P859" i="1"/>
  <c r="P860" i="1"/>
  <c r="P861" i="1"/>
  <c r="P740" i="1"/>
  <c r="P692" i="1"/>
  <c r="P864" i="1"/>
  <c r="P1058" i="1"/>
  <c r="P663" i="1"/>
  <c r="P867" i="1"/>
  <c r="P763" i="1"/>
  <c r="P818" i="1"/>
  <c r="P273" i="1"/>
  <c r="P586" i="1"/>
  <c r="P91" i="1"/>
  <c r="P873" i="1"/>
  <c r="P874" i="1"/>
  <c r="P875" i="1"/>
  <c r="P1105" i="1"/>
  <c r="P558" i="1"/>
  <c r="P995" i="1"/>
  <c r="P15" i="1"/>
  <c r="P880" i="1"/>
  <c r="P881" i="1"/>
  <c r="P882" i="1"/>
  <c r="P883" i="1"/>
  <c r="P884" i="1"/>
  <c r="P113" i="1"/>
  <c r="P886" i="1"/>
  <c r="P1005" i="1"/>
  <c r="P888" i="1"/>
  <c r="P505" i="1"/>
  <c r="P890" i="1"/>
  <c r="P891" i="1"/>
  <c r="P892" i="1"/>
  <c r="P893" i="1"/>
  <c r="P935" i="1"/>
  <c r="P895" i="1"/>
  <c r="P896" i="1"/>
  <c r="P897" i="1"/>
  <c r="P898" i="1"/>
  <c r="P899" i="1"/>
  <c r="P900" i="1"/>
  <c r="P442" i="1"/>
  <c r="P902" i="1"/>
  <c r="P765" i="1"/>
  <c r="P866" i="1"/>
  <c r="P905" i="1"/>
  <c r="P906" i="1"/>
  <c r="P700" i="1"/>
  <c r="P908" i="1"/>
  <c r="P909" i="1"/>
  <c r="P910" i="1"/>
  <c r="P911" i="1"/>
  <c r="P587" i="1"/>
  <c r="P523" i="1"/>
  <c r="P348" i="1"/>
  <c r="P805" i="1"/>
  <c r="P453" i="1"/>
  <c r="P917" i="1"/>
  <c r="P918" i="1"/>
  <c r="P919" i="1"/>
  <c r="P1193" i="1"/>
  <c r="P921" i="1"/>
  <c r="P922" i="1"/>
  <c r="P1011" i="1"/>
  <c r="P1060" i="1"/>
  <c r="P548" i="1"/>
  <c r="P926" i="1"/>
  <c r="P927" i="1"/>
  <c r="P928" i="1"/>
  <c r="P738" i="1"/>
  <c r="P1145" i="1"/>
  <c r="P60" i="1"/>
  <c r="P750" i="1"/>
  <c r="P687" i="1"/>
  <c r="P934" i="1"/>
  <c r="P400" i="1"/>
  <c r="P690" i="1"/>
  <c r="P270" i="1"/>
  <c r="P17" i="1"/>
  <c r="P1104" i="1"/>
  <c r="P940" i="1"/>
  <c r="P941" i="1"/>
  <c r="P942" i="1"/>
  <c r="P943" i="1"/>
  <c r="P1046" i="1"/>
  <c r="P945" i="1"/>
  <c r="P946" i="1"/>
  <c r="P993" i="1"/>
  <c r="P948" i="1"/>
  <c r="P51" i="1"/>
  <c r="P950" i="1"/>
  <c r="P1183" i="1"/>
  <c r="P952" i="1"/>
  <c r="P953" i="1"/>
  <c r="P954" i="1"/>
  <c r="P955" i="1"/>
  <c r="P795" i="1"/>
  <c r="P957" i="1"/>
  <c r="P574" i="1"/>
  <c r="P959" i="1"/>
  <c r="P960" i="1"/>
  <c r="P961" i="1"/>
  <c r="P136" i="1"/>
  <c r="P963" i="1"/>
  <c r="P258" i="1"/>
  <c r="P965" i="1"/>
  <c r="P83" i="1"/>
  <c r="P632" i="1"/>
  <c r="P362" i="1"/>
  <c r="P969" i="1"/>
  <c r="P970" i="1"/>
  <c r="P352" i="1"/>
  <c r="P972" i="1"/>
  <c r="P973" i="1"/>
  <c r="P675" i="1"/>
  <c r="P975" i="1"/>
  <c r="P976" i="1"/>
  <c r="P977" i="1"/>
  <c r="P235" i="1"/>
  <c r="P979" i="1"/>
  <c r="P980" i="1"/>
  <c r="P981" i="1"/>
  <c r="P481" i="1"/>
  <c r="P983" i="1"/>
  <c r="P984" i="1"/>
  <c r="P985" i="1"/>
  <c r="P135" i="1"/>
  <c r="P987" i="1"/>
  <c r="P988" i="1"/>
  <c r="P989" i="1"/>
  <c r="P990" i="1"/>
  <c r="P1163" i="1"/>
  <c r="P119" i="1"/>
  <c r="P308" i="1"/>
  <c r="P1177" i="1"/>
  <c r="P120" i="1"/>
  <c r="P612" i="1"/>
  <c r="P389" i="1"/>
  <c r="P998" i="1"/>
  <c r="P118" i="1"/>
  <c r="P1000" i="1"/>
  <c r="P355" i="1"/>
  <c r="P1002" i="1"/>
  <c r="P145" i="1"/>
  <c r="P785" i="1"/>
  <c r="P370" i="1"/>
  <c r="P447" i="1"/>
  <c r="P1138" i="1"/>
  <c r="P1008" i="1"/>
  <c r="P1009" i="1"/>
  <c r="P127" i="1"/>
  <c r="P759" i="1"/>
  <c r="P1012" i="1"/>
  <c r="P1013" i="1"/>
  <c r="P420" i="1"/>
  <c r="P1015" i="1"/>
  <c r="P1016" i="1"/>
  <c r="P1048" i="1"/>
  <c r="P1018" i="1"/>
  <c r="P1165" i="1"/>
  <c r="P1020" i="1"/>
  <c r="P1021" i="1"/>
  <c r="P1022" i="1"/>
  <c r="P1023" i="1"/>
  <c r="P1024" i="1"/>
  <c r="P1025" i="1"/>
  <c r="P1026" i="1"/>
  <c r="P1027" i="1"/>
  <c r="P1028" i="1"/>
  <c r="P847" i="1"/>
  <c r="P1030" i="1"/>
  <c r="P368" i="1"/>
  <c r="P1032" i="1"/>
  <c r="P257" i="1"/>
  <c r="P1178" i="1"/>
  <c r="P1035" i="1"/>
  <c r="P1036" i="1"/>
  <c r="P30" i="1"/>
  <c r="P1038" i="1"/>
  <c r="P1039" i="1"/>
  <c r="P655" i="1"/>
  <c r="P1041" i="1"/>
  <c r="P88" i="1"/>
  <c r="P1001" i="1"/>
  <c r="P749" i="1"/>
  <c r="P1045" i="1"/>
  <c r="P870" i="1"/>
  <c r="P1047" i="1"/>
  <c r="P9" i="1"/>
  <c r="P1049" i="1"/>
  <c r="P1050" i="1"/>
  <c r="P1051" i="1"/>
  <c r="P306" i="1"/>
  <c r="P1053" i="1"/>
  <c r="P1201" i="1"/>
  <c r="P1055" i="1"/>
  <c r="P947" i="1"/>
  <c r="P1057" i="1"/>
  <c r="P1119" i="1"/>
  <c r="P912" i="1"/>
  <c r="P468" i="1"/>
  <c r="P844" i="1"/>
  <c r="P1062" i="1"/>
  <c r="P315" i="1"/>
  <c r="P1064" i="1"/>
  <c r="P1065" i="1"/>
  <c r="P1066" i="1"/>
  <c r="P1067" i="1"/>
  <c r="P1059" i="1"/>
  <c r="P1069" i="1"/>
  <c r="P1070" i="1"/>
  <c r="P1071" i="1"/>
  <c r="P531" i="1"/>
  <c r="P714" i="1"/>
  <c r="P1074" i="1"/>
  <c r="P949" i="1"/>
  <c r="P1076" i="1"/>
  <c r="P226" i="1"/>
  <c r="P1148" i="1"/>
  <c r="P1079" i="1"/>
  <c r="P1080" i="1"/>
  <c r="P593" i="1"/>
  <c r="P407" i="1"/>
  <c r="P885" i="1"/>
  <c r="P123" i="1"/>
  <c r="P14" i="1"/>
  <c r="P1086" i="1"/>
  <c r="P1087" i="1"/>
  <c r="P1088" i="1"/>
  <c r="P1089" i="1"/>
  <c r="P1082" i="1"/>
  <c r="P1091" i="1"/>
  <c r="P872" i="1"/>
  <c r="P1093" i="1"/>
  <c r="P1094" i="1"/>
  <c r="P1095" i="1"/>
  <c r="P1096" i="1"/>
  <c r="P219" i="1"/>
  <c r="P1098" i="1"/>
  <c r="P1099" i="1"/>
  <c r="P1100" i="1"/>
  <c r="P850" i="1"/>
  <c r="P1102" i="1"/>
  <c r="P674" i="1"/>
  <c r="P521" i="1"/>
  <c r="P509" i="1"/>
  <c r="P903" i="1"/>
  <c r="P1107" i="1"/>
  <c r="P1108" i="1"/>
  <c r="P1109" i="1"/>
  <c r="P1110" i="1"/>
  <c r="P1111" i="1"/>
  <c r="P1112" i="1"/>
  <c r="P1113" i="1"/>
  <c r="P817" i="1"/>
  <c r="P1115" i="1"/>
  <c r="P1116" i="1"/>
  <c r="P1117" i="1"/>
  <c r="P1118" i="1"/>
  <c r="P876" i="1"/>
  <c r="P1120" i="1"/>
  <c r="P1121" i="1"/>
  <c r="P1122" i="1"/>
  <c r="P848" i="1"/>
  <c r="P1124" i="1"/>
  <c r="P996" i="1"/>
  <c r="P1126" i="1"/>
  <c r="P1127" i="1"/>
  <c r="P837" i="1"/>
  <c r="P1129" i="1"/>
  <c r="P232" i="1"/>
  <c r="P1131" i="1"/>
  <c r="P555" i="1"/>
  <c r="P600" i="1"/>
  <c r="P1134" i="1"/>
  <c r="P597" i="1"/>
  <c r="P85" i="1"/>
  <c r="P1103" i="1"/>
  <c r="P1172" i="1"/>
  <c r="P463" i="1"/>
  <c r="P1140" i="1"/>
  <c r="P253" i="1"/>
  <c r="P1142" i="1"/>
  <c r="P1143" i="1"/>
  <c r="P1144" i="1"/>
  <c r="P856" i="1"/>
  <c r="P1146" i="1"/>
  <c r="P1147" i="1"/>
  <c r="P1006" i="1"/>
  <c r="P1149" i="1"/>
  <c r="P1150" i="1"/>
  <c r="P412" i="1"/>
  <c r="P1152" i="1"/>
  <c r="P925" i="1"/>
  <c r="P1154" i="1"/>
  <c r="P1155" i="1"/>
  <c r="P1156" i="1"/>
  <c r="P95" i="1"/>
  <c r="P607" i="1"/>
  <c r="P1159" i="1"/>
  <c r="P1160" i="1"/>
  <c r="P1161" i="1"/>
  <c r="P1162" i="1"/>
  <c r="P820" i="1"/>
  <c r="P1164" i="1"/>
  <c r="P195" i="1"/>
  <c r="P1166" i="1"/>
  <c r="P877" i="1"/>
  <c r="P931" i="1"/>
  <c r="P1169" i="1"/>
  <c r="P1170" i="1"/>
  <c r="P1171" i="1"/>
  <c r="P878" i="1"/>
  <c r="P1173" i="1"/>
  <c r="P1174" i="1"/>
  <c r="P1175" i="1"/>
  <c r="P1176" i="1"/>
  <c r="P29" i="1"/>
  <c r="P263" i="1"/>
  <c r="P1179" i="1"/>
  <c r="P363" i="1"/>
  <c r="P268" i="1"/>
  <c r="P1182" i="1"/>
  <c r="P840" i="1"/>
  <c r="P1184" i="1"/>
  <c r="P1185" i="1"/>
  <c r="P862" i="1"/>
  <c r="P466" i="1"/>
  <c r="P1188" i="1"/>
  <c r="P726" i="1"/>
  <c r="P398" i="1"/>
  <c r="P1191" i="1"/>
  <c r="P1192" i="1"/>
  <c r="P395" i="1"/>
  <c r="P1194" i="1"/>
  <c r="P1195" i="1"/>
  <c r="P841" i="1"/>
  <c r="P215" i="1"/>
  <c r="P1198" i="1"/>
  <c r="P1199" i="1"/>
  <c r="P1200" i="1"/>
  <c r="P560" i="1"/>
  <c r="O2" i="1"/>
  <c r="S2" i="1" s="1"/>
  <c r="O967" i="1"/>
  <c r="S967" i="1" s="1"/>
  <c r="O240" i="1"/>
  <c r="S240" i="1" s="1"/>
  <c r="O5" i="1"/>
  <c r="S5" i="1" s="1"/>
  <c r="O6" i="1"/>
  <c r="S6" i="1" s="1"/>
  <c r="O7" i="1"/>
  <c r="S7" i="1" s="1"/>
  <c r="O8" i="1"/>
  <c r="S8" i="1" s="1"/>
  <c r="O296" i="1"/>
  <c r="S296" i="1" s="1"/>
  <c r="O41" i="1"/>
  <c r="S41" i="1" s="1"/>
  <c r="O745" i="1"/>
  <c r="S745" i="1" s="1"/>
  <c r="O12" i="1"/>
  <c r="S12" i="1" s="1"/>
  <c r="O358" i="1"/>
  <c r="S358" i="1" s="1"/>
  <c r="O907" i="1"/>
  <c r="S907" i="1" s="1"/>
  <c r="O202" i="1"/>
  <c r="S202" i="1" s="1"/>
  <c r="O16" i="1"/>
  <c r="S16" i="1" s="1"/>
  <c r="O446" i="1"/>
  <c r="S446" i="1" s="1"/>
  <c r="O18" i="1"/>
  <c r="S18" i="1" s="1"/>
  <c r="O110" i="1"/>
  <c r="S110" i="1" s="1"/>
  <c r="O20" i="1"/>
  <c r="S20" i="1" s="1"/>
  <c r="O21" i="1"/>
  <c r="S21" i="1" s="1"/>
  <c r="O22" i="1"/>
  <c r="S22" i="1" s="1"/>
  <c r="O23" i="1"/>
  <c r="S23" i="1" s="1"/>
  <c r="O982" i="1"/>
  <c r="S982" i="1" s="1"/>
  <c r="O280" i="1"/>
  <c r="S280" i="1" s="1"/>
  <c r="O26" i="1"/>
  <c r="S26" i="1" s="1"/>
  <c r="O662" i="1"/>
  <c r="S662" i="1" s="1"/>
  <c r="O28" i="1"/>
  <c r="S28" i="1" s="1"/>
  <c r="O1135" i="1"/>
  <c r="S1135" i="1" s="1"/>
  <c r="O708" i="1"/>
  <c r="S708" i="1" s="1"/>
  <c r="O31" i="1"/>
  <c r="S31" i="1" s="1"/>
  <c r="O32" i="1"/>
  <c r="S32" i="1" s="1"/>
  <c r="O33" i="1"/>
  <c r="S33" i="1" s="1"/>
  <c r="O34" i="1"/>
  <c r="S34" i="1" s="1"/>
  <c r="O35" i="1"/>
  <c r="S35" i="1" s="1"/>
  <c r="O36" i="1"/>
  <c r="S36" i="1" s="1"/>
  <c r="O37" i="1"/>
  <c r="S37" i="1" s="1"/>
  <c r="O38" i="1"/>
  <c r="S38" i="1" s="1"/>
  <c r="O39" i="1"/>
  <c r="S39" i="1" s="1"/>
  <c r="O417" i="1"/>
  <c r="S417" i="1" s="1"/>
  <c r="O739" i="1"/>
  <c r="S739" i="1" s="1"/>
  <c r="O42" i="1"/>
  <c r="S42" i="1" s="1"/>
  <c r="O316" i="1"/>
  <c r="S316" i="1" s="1"/>
  <c r="O44" i="1"/>
  <c r="S44" i="1" s="1"/>
  <c r="O45" i="1"/>
  <c r="S45" i="1" s="1"/>
  <c r="O46" i="1"/>
  <c r="S46" i="1" s="1"/>
  <c r="O47" i="1"/>
  <c r="S47" i="1" s="1"/>
  <c r="O48" i="1"/>
  <c r="S48" i="1" s="1"/>
  <c r="O812" i="1"/>
  <c r="S812" i="1" s="1"/>
  <c r="O50" i="1"/>
  <c r="S50" i="1" s="1"/>
  <c r="O90" i="1"/>
  <c r="S90" i="1" s="1"/>
  <c r="O52" i="1"/>
  <c r="S52" i="1" s="1"/>
  <c r="O53" i="1"/>
  <c r="S53" i="1" s="1"/>
  <c r="O73" i="1"/>
  <c r="S73" i="1" s="1"/>
  <c r="O261" i="1"/>
  <c r="S261" i="1" s="1"/>
  <c r="O492" i="1"/>
  <c r="S492" i="1" s="1"/>
  <c r="O103" i="1"/>
  <c r="S103" i="1" s="1"/>
  <c r="O58" i="1"/>
  <c r="S58" i="1" s="1"/>
  <c r="O458" i="1"/>
  <c r="S458" i="1" s="1"/>
  <c r="O774" i="1"/>
  <c r="S774" i="1" s="1"/>
  <c r="O282" i="1"/>
  <c r="S282" i="1" s="1"/>
  <c r="O62" i="1"/>
  <c r="S62" i="1" s="1"/>
  <c r="O63" i="1"/>
  <c r="S63" i="1" s="1"/>
  <c r="O171" i="1"/>
  <c r="S171" i="1" s="1"/>
  <c r="O613" i="1"/>
  <c r="S613" i="1" s="1"/>
  <c r="O66" i="1"/>
  <c r="S66" i="1" s="1"/>
  <c r="O563" i="1"/>
  <c r="S563" i="1" s="1"/>
  <c r="O68" i="1"/>
  <c r="S68" i="1" s="1"/>
  <c r="O69" i="1"/>
  <c r="S69" i="1" s="1"/>
  <c r="O70" i="1"/>
  <c r="S70" i="1" s="1"/>
  <c r="O532" i="1"/>
  <c r="S532" i="1" s="1"/>
  <c r="O72" i="1"/>
  <c r="S72" i="1" s="1"/>
  <c r="O1092" i="1"/>
  <c r="S1092" i="1" s="1"/>
  <c r="O146" i="1"/>
  <c r="S146" i="1" s="1"/>
  <c r="O75" i="1"/>
  <c r="S75" i="1" s="1"/>
  <c r="O76" i="1"/>
  <c r="S76" i="1" s="1"/>
  <c r="O77" i="1"/>
  <c r="S77" i="1" s="1"/>
  <c r="O78" i="1"/>
  <c r="S78" i="1" s="1"/>
  <c r="O79" i="1"/>
  <c r="S79" i="1" s="1"/>
  <c r="O80" i="1"/>
  <c r="S80" i="1" s="1"/>
  <c r="O81" i="1"/>
  <c r="S81" i="1" s="1"/>
  <c r="O82" i="1"/>
  <c r="S82" i="1" s="1"/>
  <c r="O711" i="1"/>
  <c r="S711" i="1" s="1"/>
  <c r="O84" i="1"/>
  <c r="S84" i="1" s="1"/>
  <c r="O250" i="1"/>
  <c r="S250" i="1" s="1"/>
  <c r="O437" i="1"/>
  <c r="S437" i="1" s="1"/>
  <c r="O87" i="1"/>
  <c r="S87" i="1" s="1"/>
  <c r="O1063" i="1"/>
  <c r="S1063" i="1" s="1"/>
  <c r="O89" i="1"/>
  <c r="S89" i="1" s="1"/>
  <c r="O506" i="1"/>
  <c r="S506" i="1" s="1"/>
  <c r="O951" i="1"/>
  <c r="S951" i="1" s="1"/>
  <c r="O92" i="1"/>
  <c r="S92" i="1" s="1"/>
  <c r="O93" i="1"/>
  <c r="S93" i="1" s="1"/>
  <c r="O659" i="1"/>
  <c r="S659" i="1" s="1"/>
  <c r="O669" i="1"/>
  <c r="S669" i="1" s="1"/>
  <c r="O96" i="1"/>
  <c r="S96" i="1" s="1"/>
  <c r="O599" i="1"/>
  <c r="S599" i="1" s="1"/>
  <c r="O628" i="1"/>
  <c r="S628" i="1" s="1"/>
  <c r="O99" i="1"/>
  <c r="S99" i="1" s="1"/>
  <c r="O994" i="1"/>
  <c r="S994" i="1" s="1"/>
  <c r="O65" i="1"/>
  <c r="S65" i="1" s="1"/>
  <c r="O102" i="1"/>
  <c r="S102" i="1" s="1"/>
  <c r="O1167" i="1"/>
  <c r="S1167" i="1" s="1"/>
  <c r="O104" i="1"/>
  <c r="S104" i="1" s="1"/>
  <c r="O105" i="1"/>
  <c r="S105" i="1" s="1"/>
  <c r="O106" i="1"/>
  <c r="S106" i="1" s="1"/>
  <c r="O107" i="1"/>
  <c r="S107" i="1" s="1"/>
  <c r="O19" i="1"/>
  <c r="S19" i="1" s="1"/>
  <c r="O916" i="1"/>
  <c r="S916" i="1" s="1"/>
  <c r="O342" i="1"/>
  <c r="S342" i="1" s="1"/>
  <c r="O616" i="1"/>
  <c r="S616" i="1" s="1"/>
  <c r="O637" i="1"/>
  <c r="S637" i="1" s="1"/>
  <c r="O544" i="1"/>
  <c r="S544" i="1" s="1"/>
  <c r="O114" i="1"/>
  <c r="S114" i="1" s="1"/>
  <c r="O13" i="1"/>
  <c r="S13" i="1" s="1"/>
  <c r="O116" i="1"/>
  <c r="S116" i="1" s="1"/>
  <c r="O117" i="1"/>
  <c r="S117" i="1" s="1"/>
  <c r="O944" i="1"/>
  <c r="S944" i="1" s="1"/>
  <c r="O543" i="1"/>
  <c r="S543" i="1" s="1"/>
  <c r="O1189" i="1"/>
  <c r="S1189" i="1" s="1"/>
  <c r="O121" i="1"/>
  <c r="S121" i="1" s="1"/>
  <c r="O576" i="1"/>
  <c r="S576" i="1" s="1"/>
  <c r="O939" i="1"/>
  <c r="S939" i="1" s="1"/>
  <c r="O124" i="1"/>
  <c r="S124" i="1" s="1"/>
  <c r="O125" i="1"/>
  <c r="S125" i="1" s="1"/>
  <c r="O311" i="1"/>
  <c r="S311" i="1" s="1"/>
  <c r="O460" i="1"/>
  <c r="S460" i="1" s="1"/>
  <c r="O299" i="1"/>
  <c r="S299" i="1" s="1"/>
  <c r="O129" i="1"/>
  <c r="S129" i="1" s="1"/>
  <c r="O130" i="1"/>
  <c r="S130" i="1" s="1"/>
  <c r="O131" i="1"/>
  <c r="S131" i="1" s="1"/>
  <c r="O186" i="1"/>
  <c r="S186" i="1" s="1"/>
  <c r="O133" i="1"/>
  <c r="S133" i="1" s="1"/>
  <c r="O672" i="1"/>
  <c r="S672" i="1" s="1"/>
  <c r="O799" i="1"/>
  <c r="S799" i="1" s="1"/>
  <c r="O335" i="1"/>
  <c r="S335" i="1" s="1"/>
  <c r="O137" i="1"/>
  <c r="S137" i="1" s="1"/>
  <c r="O286" i="1"/>
  <c r="S286" i="1" s="1"/>
  <c r="O139" i="1"/>
  <c r="S139" i="1" s="1"/>
  <c r="O140" i="1"/>
  <c r="S140" i="1" s="1"/>
  <c r="O141" i="1"/>
  <c r="S141" i="1" s="1"/>
  <c r="O142" i="1"/>
  <c r="S142" i="1" s="1"/>
  <c r="O143" i="1"/>
  <c r="S143" i="1" s="1"/>
  <c r="O112" i="1"/>
  <c r="S112" i="1" s="1"/>
  <c r="O385" i="1"/>
  <c r="S385" i="1" s="1"/>
  <c r="O164" i="1"/>
  <c r="S164" i="1" s="1"/>
  <c r="O147" i="1"/>
  <c r="S147" i="1" s="1"/>
  <c r="O148" i="1"/>
  <c r="S148" i="1" s="1"/>
  <c r="O149" i="1"/>
  <c r="S149" i="1" s="1"/>
  <c r="O150" i="1"/>
  <c r="S150" i="1" s="1"/>
  <c r="O719" i="1"/>
  <c r="S719" i="1" s="1"/>
  <c r="O152" i="1"/>
  <c r="S152" i="1" s="1"/>
  <c r="O153" i="1"/>
  <c r="S153" i="1" s="1"/>
  <c r="O154" i="1"/>
  <c r="S154" i="1" s="1"/>
  <c r="O213" i="1"/>
  <c r="S213" i="1" s="1"/>
  <c r="O156" i="1"/>
  <c r="S156" i="1" s="1"/>
  <c r="O157" i="1"/>
  <c r="S157" i="1" s="1"/>
  <c r="O564" i="1"/>
  <c r="S564" i="1" s="1"/>
  <c r="O159" i="1"/>
  <c r="S159" i="1" s="1"/>
  <c r="O620" i="1"/>
  <c r="S620" i="1" s="1"/>
  <c r="O464" i="1"/>
  <c r="S464" i="1" s="1"/>
  <c r="O992" i="1"/>
  <c r="S992" i="1" s="1"/>
  <c r="O97" i="1"/>
  <c r="S97" i="1" s="1"/>
  <c r="O652" i="1"/>
  <c r="S652" i="1" s="1"/>
  <c r="O165" i="1"/>
  <c r="S165" i="1" s="1"/>
  <c r="O166" i="1"/>
  <c r="S166" i="1" s="1"/>
  <c r="O162" i="1"/>
  <c r="S162" i="1" s="1"/>
  <c r="O168" i="1"/>
  <c r="S168" i="1" s="1"/>
  <c r="O169" i="1"/>
  <c r="S169" i="1" s="1"/>
  <c r="O170" i="1"/>
  <c r="S170" i="1" s="1"/>
  <c r="O247" i="1"/>
  <c r="S247" i="1" s="1"/>
  <c r="O172" i="1"/>
  <c r="S172" i="1" s="1"/>
  <c r="O173" i="1"/>
  <c r="S173" i="1" s="1"/>
  <c r="O773" i="1"/>
  <c r="S773" i="1" s="1"/>
  <c r="O318" i="1"/>
  <c r="S318" i="1" s="1"/>
  <c r="O365" i="1"/>
  <c r="S365" i="1" s="1"/>
  <c r="O696" i="1"/>
  <c r="S696" i="1" s="1"/>
  <c r="O178" i="1"/>
  <c r="S178" i="1" s="1"/>
  <c r="O571" i="1"/>
  <c r="S571" i="1" s="1"/>
  <c r="O180" i="1"/>
  <c r="S180" i="1" s="1"/>
  <c r="O181" i="1"/>
  <c r="S181" i="1" s="1"/>
  <c r="O182" i="1"/>
  <c r="S182" i="1" s="1"/>
  <c r="O183" i="1"/>
  <c r="S183" i="1" s="1"/>
  <c r="O184" i="1"/>
  <c r="S184" i="1" s="1"/>
  <c r="O176" i="1"/>
  <c r="S176" i="1" s="1"/>
  <c r="O691" i="1"/>
  <c r="S691" i="1" s="1"/>
  <c r="O187" i="1"/>
  <c r="S187" i="1" s="1"/>
  <c r="O185" i="1"/>
  <c r="S185" i="1" s="1"/>
  <c r="O189" i="1"/>
  <c r="S189" i="1" s="1"/>
  <c r="O190" i="1"/>
  <c r="S190" i="1" s="1"/>
  <c r="O562" i="1"/>
  <c r="S562" i="1" s="1"/>
  <c r="O476" i="1"/>
  <c r="S476" i="1" s="1"/>
  <c r="O193" i="1"/>
  <c r="S193" i="1" s="1"/>
  <c r="O194" i="1"/>
  <c r="S194" i="1" s="1"/>
  <c r="O111" i="1"/>
  <c r="S111" i="1" s="1"/>
  <c r="O196" i="1"/>
  <c r="S196" i="1" s="1"/>
  <c r="O386" i="1"/>
  <c r="S386" i="1" s="1"/>
  <c r="O198" i="1"/>
  <c r="S198" i="1" s="1"/>
  <c r="O827" i="1"/>
  <c r="S827" i="1" s="1"/>
  <c r="O101" i="1"/>
  <c r="S101" i="1" s="1"/>
  <c r="O1128" i="1"/>
  <c r="S1128" i="1" s="1"/>
  <c r="O1033" i="1"/>
  <c r="S1033" i="1" s="1"/>
  <c r="O203" i="1"/>
  <c r="S203" i="1" s="1"/>
  <c r="O204" i="1"/>
  <c r="S204" i="1" s="1"/>
  <c r="O205" i="1"/>
  <c r="S205" i="1" s="1"/>
  <c r="O206" i="1"/>
  <c r="S206" i="1" s="1"/>
  <c r="O207" i="1"/>
  <c r="S207" i="1" s="1"/>
  <c r="O208" i="1"/>
  <c r="S208" i="1" s="1"/>
  <c r="O209" i="1"/>
  <c r="S209" i="1" s="1"/>
  <c r="O210" i="1"/>
  <c r="S210" i="1" s="1"/>
  <c r="O211" i="1"/>
  <c r="S211" i="1" s="1"/>
  <c r="O212" i="1"/>
  <c r="S212" i="1" s="1"/>
  <c r="O122" i="1"/>
  <c r="S122" i="1" s="1"/>
  <c r="O94" i="1"/>
  <c r="S94" i="1" s="1"/>
  <c r="O889" i="1"/>
  <c r="S889" i="1" s="1"/>
  <c r="O216" i="1"/>
  <c r="S216" i="1" s="1"/>
  <c r="O217" i="1"/>
  <c r="S217" i="1" s="1"/>
  <c r="O816" i="1"/>
  <c r="S816" i="1" s="1"/>
  <c r="O1097" i="1"/>
  <c r="S1097" i="1" s="1"/>
  <c r="O220" i="1"/>
  <c r="S220" i="1" s="1"/>
  <c r="O693" i="1"/>
  <c r="S693" i="1" s="1"/>
  <c r="O1052" i="1"/>
  <c r="S1052" i="1" s="1"/>
  <c r="O223" i="1"/>
  <c r="S223" i="1" s="1"/>
  <c r="O224" i="1"/>
  <c r="S224" i="1" s="1"/>
  <c r="O225" i="1"/>
  <c r="S225" i="1" s="1"/>
  <c r="O536" i="1"/>
  <c r="S536" i="1" s="1"/>
  <c r="O227" i="1"/>
  <c r="S227" i="1" s="1"/>
  <c r="O228" i="1"/>
  <c r="S228" i="1" s="1"/>
  <c r="O229" i="1"/>
  <c r="S229" i="1" s="1"/>
  <c r="O230" i="1"/>
  <c r="S230" i="1" s="1"/>
  <c r="O158" i="1"/>
  <c r="S158" i="1" s="1"/>
  <c r="O936" i="1"/>
  <c r="S936" i="1" s="1"/>
  <c r="O233" i="1"/>
  <c r="S233" i="1" s="1"/>
  <c r="O234" i="1"/>
  <c r="S234" i="1" s="1"/>
  <c r="O1157" i="1"/>
  <c r="S1157" i="1" s="1"/>
  <c r="O236" i="1"/>
  <c r="S236" i="1" s="1"/>
  <c r="O237" i="1"/>
  <c r="S237" i="1" s="1"/>
  <c r="O238" i="1"/>
  <c r="S238" i="1" s="1"/>
  <c r="O239" i="1"/>
  <c r="S239" i="1" s="1"/>
  <c r="O618" i="1"/>
  <c r="S618" i="1" s="1"/>
  <c r="O241" i="1"/>
  <c r="S241" i="1" s="1"/>
  <c r="O242" i="1"/>
  <c r="S242" i="1" s="1"/>
  <c r="O243" i="1"/>
  <c r="S243" i="1" s="1"/>
  <c r="O244" i="1"/>
  <c r="S244" i="1" s="1"/>
  <c r="O245" i="1"/>
  <c r="S245" i="1" s="1"/>
  <c r="O246" i="1"/>
  <c r="S246" i="1" s="1"/>
  <c r="O1061" i="1"/>
  <c r="S1061" i="1" s="1"/>
  <c r="O248" i="1"/>
  <c r="S248" i="1" s="1"/>
  <c r="O249" i="1"/>
  <c r="S249" i="1" s="1"/>
  <c r="O86" i="1"/>
  <c r="S86" i="1" s="1"/>
  <c r="O631" i="1"/>
  <c r="S631" i="1" s="1"/>
  <c r="O188" i="1"/>
  <c r="S188" i="1" s="1"/>
  <c r="O489" i="1"/>
  <c r="S489" i="1" s="1"/>
  <c r="O1078" i="1"/>
  <c r="S1078" i="1" s="1"/>
  <c r="O255" i="1"/>
  <c r="S255" i="1" s="1"/>
  <c r="O260" i="1"/>
  <c r="S260" i="1" s="1"/>
  <c r="O56" i="1"/>
  <c r="S56" i="1" s="1"/>
  <c r="O559" i="1"/>
  <c r="S559" i="1" s="1"/>
  <c r="O871" i="1"/>
  <c r="S871" i="1" s="1"/>
  <c r="O71" i="1"/>
  <c r="S71" i="1" s="1"/>
  <c r="O958" i="1"/>
  <c r="S958" i="1" s="1"/>
  <c r="O262" i="1"/>
  <c r="S262" i="1" s="1"/>
  <c r="O431" i="1"/>
  <c r="S431" i="1" s="1"/>
  <c r="O191" i="1"/>
  <c r="S191" i="1" s="1"/>
  <c r="O966" i="1"/>
  <c r="S966" i="1" s="1"/>
  <c r="O266" i="1"/>
  <c r="S266" i="1" s="1"/>
  <c r="O267" i="1"/>
  <c r="S267" i="1" s="1"/>
  <c r="O986" i="1"/>
  <c r="S986" i="1" s="1"/>
  <c r="O295" i="1"/>
  <c r="S295" i="1" s="1"/>
  <c r="O727" i="1"/>
  <c r="S727" i="1" s="1"/>
  <c r="O271" i="1"/>
  <c r="S271" i="1" s="1"/>
  <c r="O1139" i="1"/>
  <c r="S1139" i="1" s="1"/>
  <c r="O199" i="1"/>
  <c r="S199" i="1" s="1"/>
  <c r="O758" i="1"/>
  <c r="S758" i="1" s="1"/>
  <c r="O275" i="1"/>
  <c r="S275" i="1" s="1"/>
  <c r="O276" i="1"/>
  <c r="S276" i="1" s="1"/>
  <c r="O277" i="1"/>
  <c r="S277" i="1" s="1"/>
  <c r="O278" i="1"/>
  <c r="S278" i="1" s="1"/>
  <c r="O279" i="1"/>
  <c r="S279" i="1" s="1"/>
  <c r="O410" i="1"/>
  <c r="S410" i="1" s="1"/>
  <c r="O754" i="1"/>
  <c r="S754" i="1" s="1"/>
  <c r="O671" i="1"/>
  <c r="S671" i="1" s="1"/>
  <c r="O283" i="1"/>
  <c r="S283" i="1" s="1"/>
  <c r="O284" i="1"/>
  <c r="S284" i="1" s="1"/>
  <c r="O285" i="1"/>
  <c r="S285" i="1" s="1"/>
  <c r="O427" i="1"/>
  <c r="S427" i="1" s="1"/>
  <c r="O287" i="1"/>
  <c r="S287" i="1" s="1"/>
  <c r="O288" i="1"/>
  <c r="S288" i="1" s="1"/>
  <c r="O289" i="1"/>
  <c r="S289" i="1" s="1"/>
  <c r="O290" i="1"/>
  <c r="S290" i="1" s="1"/>
  <c r="O291" i="1"/>
  <c r="S291" i="1" s="1"/>
  <c r="O292" i="1"/>
  <c r="S292" i="1" s="1"/>
  <c r="O293" i="1"/>
  <c r="S293" i="1" s="1"/>
  <c r="O294" i="1"/>
  <c r="S294" i="1" s="1"/>
  <c r="O414" i="1"/>
  <c r="S414" i="1" s="1"/>
  <c r="O1043" i="1"/>
  <c r="S1043" i="1" s="1"/>
  <c r="O297" i="1"/>
  <c r="S297" i="1" s="1"/>
  <c r="O298" i="1"/>
  <c r="S298" i="1" s="1"/>
  <c r="O272" i="1"/>
  <c r="S272" i="1" s="1"/>
  <c r="O300" i="1"/>
  <c r="S300" i="1" s="1"/>
  <c r="O301" i="1"/>
  <c r="S301" i="1" s="1"/>
  <c r="O192" i="1"/>
  <c r="S192" i="1" s="1"/>
  <c r="O303" i="1"/>
  <c r="S303" i="1" s="1"/>
  <c r="O304" i="1"/>
  <c r="S304" i="1" s="1"/>
  <c r="O3" i="1"/>
  <c r="S3" i="1" s="1"/>
  <c r="O218" i="1"/>
  <c r="S218" i="1" s="1"/>
  <c r="O307" i="1"/>
  <c r="S307" i="1" s="1"/>
  <c r="O314" i="1"/>
  <c r="S314" i="1" s="1"/>
  <c r="O309" i="1"/>
  <c r="S309" i="1" s="1"/>
  <c r="O310" i="1"/>
  <c r="S310" i="1" s="1"/>
  <c r="O538" i="1"/>
  <c r="S538" i="1" s="1"/>
  <c r="O312" i="1"/>
  <c r="S312" i="1" s="1"/>
  <c r="O313" i="1"/>
  <c r="S313" i="1" s="1"/>
  <c r="O689" i="1"/>
  <c r="S689" i="1" s="1"/>
  <c r="O264" i="1"/>
  <c r="S264" i="1" s="1"/>
  <c r="O527" i="1"/>
  <c r="S527" i="1" s="1"/>
  <c r="O317" i="1"/>
  <c r="S317" i="1" s="1"/>
  <c r="O938" i="1"/>
  <c r="S938" i="1" s="1"/>
  <c r="O319" i="1"/>
  <c r="S319" i="1" s="1"/>
  <c r="O865" i="1"/>
  <c r="S865" i="1" s="1"/>
  <c r="O321" i="1"/>
  <c r="S321" i="1" s="1"/>
  <c r="O879" i="1"/>
  <c r="S879" i="1" s="1"/>
  <c r="O723" i="1"/>
  <c r="S723" i="1" s="1"/>
  <c r="O324" i="1"/>
  <c r="S324" i="1" s="1"/>
  <c r="O664" i="1"/>
  <c r="S664" i="1" s="1"/>
  <c r="O326" i="1"/>
  <c r="S326" i="1" s="1"/>
  <c r="O512" i="1"/>
  <c r="S512" i="1" s="1"/>
  <c r="O328" i="1"/>
  <c r="S328" i="1" s="1"/>
  <c r="O61" i="1"/>
  <c r="S61" i="1" s="1"/>
  <c r="O863" i="1"/>
  <c r="S863" i="1" s="1"/>
  <c r="O331" i="1"/>
  <c r="S331" i="1" s="1"/>
  <c r="O332" i="1"/>
  <c r="S332" i="1" s="1"/>
  <c r="O333" i="1"/>
  <c r="S333" i="1" s="1"/>
  <c r="O334" i="1"/>
  <c r="S334" i="1" s="1"/>
  <c r="O602" i="1"/>
  <c r="S602" i="1" s="1"/>
  <c r="O336" i="1"/>
  <c r="S336" i="1" s="1"/>
  <c r="O337" i="1"/>
  <c r="S337" i="1" s="1"/>
  <c r="O338" i="1"/>
  <c r="S338" i="1" s="1"/>
  <c r="O339" i="1"/>
  <c r="S339" i="1" s="1"/>
  <c r="O725" i="1"/>
  <c r="S725" i="1" s="1"/>
  <c r="O341" i="1"/>
  <c r="S341" i="1" s="1"/>
  <c r="O1007" i="1"/>
  <c r="S1007" i="1" s="1"/>
  <c r="O343" i="1"/>
  <c r="S343" i="1" s="1"/>
  <c r="O134" i="1"/>
  <c r="S134" i="1" s="1"/>
  <c r="O345" i="1"/>
  <c r="S345" i="1" s="1"/>
  <c r="O346" i="1"/>
  <c r="S346" i="1" s="1"/>
  <c r="O347" i="1"/>
  <c r="S347" i="1" s="1"/>
  <c r="O614" i="1"/>
  <c r="S614" i="1" s="1"/>
  <c r="O320" i="1"/>
  <c r="S320" i="1" s="1"/>
  <c r="O350" i="1"/>
  <c r="S350" i="1" s="1"/>
  <c r="O635" i="1"/>
  <c r="S635" i="1" s="1"/>
  <c r="O930" i="1"/>
  <c r="S930" i="1" s="1"/>
  <c r="O1130" i="1"/>
  <c r="S1130" i="1" s="1"/>
  <c r="O354" i="1"/>
  <c r="S354" i="1" s="1"/>
  <c r="O1044" i="1"/>
  <c r="S1044" i="1" s="1"/>
  <c r="O356" i="1"/>
  <c r="S356" i="1" s="1"/>
  <c r="O357" i="1"/>
  <c r="S357" i="1" s="1"/>
  <c r="O932" i="1"/>
  <c r="S932" i="1" s="1"/>
  <c r="O359" i="1"/>
  <c r="S359" i="1" s="1"/>
  <c r="O1190" i="1"/>
  <c r="S1190" i="1" s="1"/>
  <c r="O361" i="1"/>
  <c r="S361" i="1" s="1"/>
  <c r="O534" i="1"/>
  <c r="S534" i="1" s="1"/>
  <c r="O834" i="1"/>
  <c r="S834" i="1" s="1"/>
  <c r="O364" i="1"/>
  <c r="S364" i="1" s="1"/>
  <c r="O109" i="1"/>
  <c r="S109" i="1" s="1"/>
  <c r="O366" i="1"/>
  <c r="S366" i="1" s="1"/>
  <c r="O177" i="1"/>
  <c r="S177" i="1" s="1"/>
  <c r="O829" i="1"/>
  <c r="S829" i="1" s="1"/>
  <c r="O369" i="1"/>
  <c r="S369" i="1" s="1"/>
  <c r="O174" i="1"/>
  <c r="S174" i="1" s="1"/>
  <c r="O371" i="1"/>
  <c r="S371" i="1" s="1"/>
  <c r="O372" i="1"/>
  <c r="S372" i="1" s="1"/>
  <c r="O373" i="1"/>
  <c r="S373" i="1" s="1"/>
  <c r="O374" i="1"/>
  <c r="S374" i="1" s="1"/>
  <c r="O375" i="1"/>
  <c r="S375" i="1" s="1"/>
  <c r="O376" i="1"/>
  <c r="S376" i="1" s="1"/>
  <c r="O518" i="1"/>
  <c r="S518" i="1" s="1"/>
  <c r="O378" i="1"/>
  <c r="S378" i="1" s="1"/>
  <c r="O379" i="1"/>
  <c r="S379" i="1" s="1"/>
  <c r="O380" i="1"/>
  <c r="S380" i="1" s="1"/>
  <c r="O478" i="1"/>
  <c r="S478" i="1" s="1"/>
  <c r="O382" i="1"/>
  <c r="S382" i="1" s="1"/>
  <c r="O383" i="1"/>
  <c r="S383" i="1" s="1"/>
  <c r="O384" i="1"/>
  <c r="S384" i="1" s="1"/>
  <c r="O566" i="1"/>
  <c r="S566" i="1" s="1"/>
  <c r="O1114" i="1"/>
  <c r="S1114" i="1" s="1"/>
  <c r="O486" i="1"/>
  <c r="S486" i="1" s="1"/>
  <c r="O388" i="1"/>
  <c r="S388" i="1" s="1"/>
  <c r="O256" i="1"/>
  <c r="S256" i="1" s="1"/>
  <c r="O390" i="1"/>
  <c r="S390" i="1" s="1"/>
  <c r="O391" i="1"/>
  <c r="S391" i="1" s="1"/>
  <c r="O392" i="1"/>
  <c r="S392" i="1" s="1"/>
  <c r="O393" i="1"/>
  <c r="S393" i="1" s="1"/>
  <c r="O394" i="1"/>
  <c r="S394" i="1" s="1"/>
  <c r="O962" i="1"/>
  <c r="S962" i="1" s="1"/>
  <c r="O396" i="1"/>
  <c r="S396" i="1" s="1"/>
  <c r="O397" i="1"/>
  <c r="S397" i="1" s="1"/>
  <c r="O1056" i="1"/>
  <c r="S1056" i="1" s="1"/>
  <c r="O1196" i="1"/>
  <c r="S1196" i="1" s="1"/>
  <c r="O684" i="1"/>
  <c r="S684" i="1" s="1"/>
  <c r="O401" i="1"/>
  <c r="S401" i="1" s="1"/>
  <c r="O402" i="1"/>
  <c r="S402" i="1" s="1"/>
  <c r="O1075" i="1"/>
  <c r="S1075" i="1" s="1"/>
  <c r="O27" i="1"/>
  <c r="S27" i="1" s="1"/>
  <c r="O1123" i="1"/>
  <c r="S1123" i="1" s="1"/>
  <c r="O406" i="1"/>
  <c r="S406" i="1" s="1"/>
  <c r="O163" i="1"/>
  <c r="S163" i="1" s="1"/>
  <c r="O408" i="1"/>
  <c r="S408" i="1" s="1"/>
  <c r="O409" i="1"/>
  <c r="S409" i="1" s="1"/>
  <c r="O344" i="1"/>
  <c r="S344" i="1" s="1"/>
  <c r="O411" i="1"/>
  <c r="S411" i="1" s="1"/>
  <c r="O914" i="1"/>
  <c r="S914" i="1" s="1"/>
  <c r="O413" i="1"/>
  <c r="S413" i="1" s="1"/>
  <c r="O1136" i="1"/>
  <c r="S1136" i="1" s="1"/>
  <c r="O415" i="1"/>
  <c r="S415" i="1" s="1"/>
  <c r="O416" i="1"/>
  <c r="S416" i="1" s="1"/>
  <c r="O606" i="1"/>
  <c r="S606" i="1" s="1"/>
  <c r="O418" i="1"/>
  <c r="S418" i="1" s="1"/>
  <c r="O269" i="1"/>
  <c r="S269" i="1" s="1"/>
  <c r="O1106" i="1"/>
  <c r="S1106" i="1" s="1"/>
  <c r="O421" i="1"/>
  <c r="S421" i="1" s="1"/>
  <c r="O422" i="1"/>
  <c r="S422" i="1" s="1"/>
  <c r="O423" i="1"/>
  <c r="S423" i="1" s="1"/>
  <c r="O377" i="1"/>
  <c r="S377" i="1" s="1"/>
  <c r="O425" i="1"/>
  <c r="S425" i="1" s="1"/>
  <c r="O426" i="1"/>
  <c r="S426" i="1" s="1"/>
  <c r="O904" i="1"/>
  <c r="S904" i="1" s="1"/>
  <c r="O428" i="1"/>
  <c r="S428" i="1" s="1"/>
  <c r="O429" i="1"/>
  <c r="S429" i="1" s="1"/>
  <c r="O430" i="1"/>
  <c r="S430" i="1" s="1"/>
  <c r="O974" i="1"/>
  <c r="S974" i="1" s="1"/>
  <c r="O432" i="1"/>
  <c r="S432" i="1" s="1"/>
  <c r="O433" i="1"/>
  <c r="S433" i="1" s="1"/>
  <c r="O1037" i="1"/>
  <c r="S1037" i="1" s="1"/>
  <c r="O471" i="1"/>
  <c r="S471" i="1" s="1"/>
  <c r="O436" i="1"/>
  <c r="S436" i="1" s="1"/>
  <c r="O497" i="1"/>
  <c r="S497" i="1" s="1"/>
  <c r="O98" i="1"/>
  <c r="S98" i="1" s="1"/>
  <c r="O703" i="1"/>
  <c r="S703" i="1" s="1"/>
  <c r="O440" i="1"/>
  <c r="S440" i="1" s="1"/>
  <c r="O441" i="1"/>
  <c r="S441" i="1" s="1"/>
  <c r="O43" i="1"/>
  <c r="S43" i="1" s="1"/>
  <c r="O443" i="1"/>
  <c r="S443" i="1" s="1"/>
  <c r="O444" i="1"/>
  <c r="S444" i="1" s="1"/>
  <c r="O964" i="1"/>
  <c r="S964" i="1" s="1"/>
  <c r="O796" i="1"/>
  <c r="S796" i="1" s="1"/>
  <c r="O473" i="1"/>
  <c r="S473" i="1" s="1"/>
  <c r="O438" i="1"/>
  <c r="S438" i="1" s="1"/>
  <c r="O449" i="1"/>
  <c r="S449" i="1" s="1"/>
  <c r="O450" i="1"/>
  <c r="S450" i="1" s="1"/>
  <c r="O553" i="1"/>
  <c r="S553" i="1" s="1"/>
  <c r="O452" i="1"/>
  <c r="S452" i="1" s="1"/>
  <c r="O1054" i="1"/>
  <c r="S1054" i="1" s="1"/>
  <c r="O454" i="1"/>
  <c r="S454" i="1" s="1"/>
  <c r="O329" i="1"/>
  <c r="S329" i="1" s="1"/>
  <c r="O340" i="1"/>
  <c r="S340" i="1" s="1"/>
  <c r="O956" i="1"/>
  <c r="S956" i="1" s="1"/>
  <c r="O626" i="1"/>
  <c r="S626" i="1" s="1"/>
  <c r="O459" i="1"/>
  <c r="S459" i="1" s="1"/>
  <c r="O798" i="1"/>
  <c r="S798" i="1" s="1"/>
  <c r="O540" i="1"/>
  <c r="S540" i="1" s="1"/>
  <c r="O462" i="1"/>
  <c r="S462" i="1" s="1"/>
  <c r="O144" i="1"/>
  <c r="S144" i="1" s="1"/>
  <c r="O771" i="1"/>
  <c r="S771" i="1" s="1"/>
  <c r="O465" i="1"/>
  <c r="S465" i="1" s="1"/>
  <c r="O327" i="1"/>
  <c r="S327" i="1" s="1"/>
  <c r="O231" i="1"/>
  <c r="S231" i="1" s="1"/>
  <c r="O403" i="1"/>
  <c r="S403" i="1" s="1"/>
  <c r="O469" i="1"/>
  <c r="S469" i="1" s="1"/>
  <c r="O470" i="1"/>
  <c r="S470" i="1" s="1"/>
  <c r="O1085" i="1"/>
  <c r="S1085" i="1" s="1"/>
  <c r="O472" i="1"/>
  <c r="S472" i="1" s="1"/>
  <c r="O1077" i="1"/>
  <c r="S1077" i="1" s="1"/>
  <c r="O474" i="1"/>
  <c r="S474" i="1" s="1"/>
  <c r="O733" i="1"/>
  <c r="S733" i="1" s="1"/>
  <c r="O646" i="1"/>
  <c r="S646" i="1" s="1"/>
  <c r="O615" i="1"/>
  <c r="S615" i="1" s="1"/>
  <c r="O923" i="1"/>
  <c r="S923" i="1" s="1"/>
  <c r="O479" i="1"/>
  <c r="S479" i="1" s="1"/>
  <c r="O480" i="1"/>
  <c r="S480" i="1" s="1"/>
  <c r="O1068" i="1"/>
  <c r="S1068" i="1" s="1"/>
  <c r="O482" i="1"/>
  <c r="S482" i="1" s="1"/>
  <c r="O483" i="1"/>
  <c r="S483" i="1" s="1"/>
  <c r="O484" i="1"/>
  <c r="S484" i="1" s="1"/>
  <c r="O485" i="1"/>
  <c r="S485" i="1" s="1"/>
  <c r="O265" i="1"/>
  <c r="S265" i="1" s="1"/>
  <c r="O868" i="1"/>
  <c r="S868" i="1" s="1"/>
  <c r="O488" i="1"/>
  <c r="S488" i="1" s="1"/>
  <c r="O1019" i="1"/>
  <c r="S1019" i="1" s="1"/>
  <c r="O1010" i="1"/>
  <c r="S1010" i="1" s="1"/>
  <c r="O491" i="1"/>
  <c r="S491" i="1" s="1"/>
  <c r="O810" i="1"/>
  <c r="S810" i="1" s="1"/>
  <c r="O493" i="1"/>
  <c r="S493" i="1" s="1"/>
  <c r="O494" i="1"/>
  <c r="S494" i="1" s="1"/>
  <c r="O495" i="1"/>
  <c r="S495" i="1" s="1"/>
  <c r="O496" i="1"/>
  <c r="S496" i="1" s="1"/>
  <c r="O126" i="1"/>
  <c r="S126" i="1" s="1"/>
  <c r="O498" i="1"/>
  <c r="S498" i="1" s="1"/>
  <c r="O499" i="1"/>
  <c r="S499" i="1" s="1"/>
  <c r="O500" i="1"/>
  <c r="S500" i="1" s="1"/>
  <c r="O971" i="1"/>
  <c r="S971" i="1" s="1"/>
  <c r="O668" i="1"/>
  <c r="S668" i="1" s="1"/>
  <c r="O1197" i="1"/>
  <c r="S1197" i="1" s="1"/>
  <c r="O504" i="1"/>
  <c r="S504" i="1" s="1"/>
  <c r="O1084" i="1"/>
  <c r="S1084" i="1" s="1"/>
  <c r="O200" i="1"/>
  <c r="S200" i="1" s="1"/>
  <c r="O507" i="1"/>
  <c r="S507" i="1" s="1"/>
  <c r="O508" i="1"/>
  <c r="S508" i="1" s="1"/>
  <c r="O1081" i="1"/>
  <c r="S1081" i="1" s="1"/>
  <c r="O510" i="1"/>
  <c r="S510" i="1" s="1"/>
  <c r="O511" i="1"/>
  <c r="S511" i="1" s="1"/>
  <c r="O387" i="1"/>
  <c r="S387" i="1" s="1"/>
  <c r="O513" i="1"/>
  <c r="S513" i="1" s="1"/>
  <c r="O514" i="1"/>
  <c r="S514" i="1" s="1"/>
  <c r="O515" i="1"/>
  <c r="S515" i="1" s="1"/>
  <c r="O516" i="1"/>
  <c r="S516" i="1" s="1"/>
  <c r="O517" i="1"/>
  <c r="S517" i="1" s="1"/>
  <c r="O528" i="1"/>
  <c r="S528" i="1" s="1"/>
  <c r="O519" i="1"/>
  <c r="S519" i="1" s="1"/>
  <c r="O520" i="1"/>
  <c r="S520" i="1" s="1"/>
  <c r="O1187" i="1"/>
  <c r="S1187" i="1" s="1"/>
  <c r="O522" i="1"/>
  <c r="S522" i="1" s="1"/>
  <c r="O252" i="1"/>
  <c r="S252" i="1" s="1"/>
  <c r="O524" i="1"/>
  <c r="S524" i="1" s="1"/>
  <c r="O783" i="1"/>
  <c r="S783" i="1" s="1"/>
  <c r="O526" i="1"/>
  <c r="S526" i="1" s="1"/>
  <c r="O698" i="1"/>
  <c r="S698" i="1" s="1"/>
  <c r="O929" i="1"/>
  <c r="S929" i="1" s="1"/>
  <c r="O529" i="1"/>
  <c r="S529" i="1" s="1"/>
  <c r="O530" i="1"/>
  <c r="S530" i="1" s="1"/>
  <c r="O467" i="1"/>
  <c r="S467" i="1" s="1"/>
  <c r="O933" i="1"/>
  <c r="S933" i="1" s="1"/>
  <c r="O533" i="1"/>
  <c r="S533" i="1" s="1"/>
  <c r="O251" i="1"/>
  <c r="S251" i="1" s="1"/>
  <c r="O1158" i="1"/>
  <c r="S1158" i="1" s="1"/>
  <c r="O330" i="1"/>
  <c r="S330" i="1" s="1"/>
  <c r="O537" i="1"/>
  <c r="S537" i="1" s="1"/>
  <c r="O786" i="1"/>
  <c r="S786" i="1" s="1"/>
  <c r="O539" i="1"/>
  <c r="S539" i="1" s="1"/>
  <c r="O424" i="1"/>
  <c r="S424" i="1" s="1"/>
  <c r="O887" i="1"/>
  <c r="S887" i="1" s="1"/>
  <c r="O542" i="1"/>
  <c r="S542" i="1" s="1"/>
  <c r="O160" i="1"/>
  <c r="S160" i="1" s="1"/>
  <c r="O115" i="1"/>
  <c r="S115" i="1" s="1"/>
  <c r="O545" i="1"/>
  <c r="S545" i="1" s="1"/>
  <c r="O546" i="1"/>
  <c r="S546" i="1" s="1"/>
  <c r="O547" i="1"/>
  <c r="S547" i="1" s="1"/>
  <c r="O151" i="1"/>
  <c r="S151" i="1" s="1"/>
  <c r="O549" i="1"/>
  <c r="S549" i="1" s="1"/>
  <c r="O550" i="1"/>
  <c r="S550" i="1" s="1"/>
  <c r="O551" i="1"/>
  <c r="S551" i="1" s="1"/>
  <c r="O552" i="1"/>
  <c r="S552" i="1" s="1"/>
  <c r="O913" i="1"/>
  <c r="S913" i="1" s="1"/>
  <c r="O554" i="1"/>
  <c r="S554" i="1" s="1"/>
  <c r="O132" i="1"/>
  <c r="S132" i="1" s="1"/>
  <c r="O556" i="1"/>
  <c r="S556" i="1" s="1"/>
  <c r="O1040" i="1"/>
  <c r="S1040" i="1" s="1"/>
  <c r="O991" i="1"/>
  <c r="S991" i="1" s="1"/>
  <c r="O502" i="1"/>
  <c r="S502" i="1" s="1"/>
  <c r="O1137" i="1"/>
  <c r="S1137" i="1" s="1"/>
  <c r="O561" i="1"/>
  <c r="S561" i="1" s="1"/>
  <c r="O1141" i="1"/>
  <c r="S1141" i="1" s="1"/>
  <c r="O776" i="1"/>
  <c r="S776" i="1" s="1"/>
  <c r="O1042" i="1"/>
  <c r="S1042" i="1" s="1"/>
  <c r="O565" i="1"/>
  <c r="S565" i="1" s="1"/>
  <c r="O487" i="1"/>
  <c r="S487" i="1" s="1"/>
  <c r="O567" i="1"/>
  <c r="S567" i="1" s="1"/>
  <c r="O568" i="1"/>
  <c r="S568" i="1" s="1"/>
  <c r="O49" i="1"/>
  <c r="S49" i="1" s="1"/>
  <c r="O570" i="1"/>
  <c r="S570" i="1" s="1"/>
  <c r="O11" i="1"/>
  <c r="S11" i="1" s="1"/>
  <c r="O572" i="1"/>
  <c r="S572" i="1" s="1"/>
  <c r="O680" i="1"/>
  <c r="S680" i="1" s="1"/>
  <c r="O434" i="1"/>
  <c r="S434" i="1" s="1"/>
  <c r="O575" i="1"/>
  <c r="S575" i="1" s="1"/>
  <c r="O475" i="1"/>
  <c r="S475" i="1" s="1"/>
  <c r="O577" i="1"/>
  <c r="S577" i="1" s="1"/>
  <c r="O578" i="1"/>
  <c r="S578" i="1" s="1"/>
  <c r="O579" i="1"/>
  <c r="S579" i="1" s="1"/>
  <c r="O580" i="1"/>
  <c r="S580" i="1" s="1"/>
  <c r="O581" i="1"/>
  <c r="S581" i="1" s="1"/>
  <c r="O582" i="1"/>
  <c r="S582" i="1" s="1"/>
  <c r="O583" i="1"/>
  <c r="S583" i="1" s="1"/>
  <c r="O584" i="1"/>
  <c r="S584" i="1" s="1"/>
  <c r="O585" i="1"/>
  <c r="S585" i="1" s="1"/>
  <c r="O1083" i="1"/>
  <c r="S1083" i="1" s="1"/>
  <c r="O4" i="1"/>
  <c r="S4" i="1" s="1"/>
  <c r="O588" i="1"/>
  <c r="S588" i="1" s="1"/>
  <c r="O589" i="1"/>
  <c r="S589" i="1" s="1"/>
  <c r="O869" i="1"/>
  <c r="S869" i="1" s="1"/>
  <c r="O591" i="1"/>
  <c r="S591" i="1" s="1"/>
  <c r="O592" i="1"/>
  <c r="S592" i="1" s="1"/>
  <c r="O1029" i="1"/>
  <c r="S1029" i="1" s="1"/>
  <c r="O594" i="1"/>
  <c r="S594" i="1" s="1"/>
  <c r="O595" i="1"/>
  <c r="S595" i="1" s="1"/>
  <c r="O596" i="1"/>
  <c r="S596" i="1" s="1"/>
  <c r="O399" i="1"/>
  <c r="S399" i="1" s="1"/>
  <c r="O598" i="1"/>
  <c r="S598" i="1" s="1"/>
  <c r="O728" i="1"/>
  <c r="S728" i="1" s="1"/>
  <c r="O175" i="1"/>
  <c r="S175" i="1" s="1"/>
  <c r="O601" i="1"/>
  <c r="S601" i="1" s="1"/>
  <c r="O1017" i="1"/>
  <c r="S1017" i="1" s="1"/>
  <c r="O603" i="1"/>
  <c r="S603" i="1" s="1"/>
  <c r="O604" i="1"/>
  <c r="S604" i="1" s="1"/>
  <c r="O782" i="1"/>
  <c r="S782" i="1" s="1"/>
  <c r="O419" i="1"/>
  <c r="S419" i="1" s="1"/>
  <c r="O894" i="1"/>
  <c r="S894" i="1" s="1"/>
  <c r="O608" i="1"/>
  <c r="S608" i="1" s="1"/>
  <c r="O609" i="1"/>
  <c r="S609" i="1" s="1"/>
  <c r="O610" i="1"/>
  <c r="S610" i="1" s="1"/>
  <c r="O611" i="1"/>
  <c r="S611" i="1" s="1"/>
  <c r="O1180" i="1"/>
  <c r="S1180" i="1" s="1"/>
  <c r="O64" i="1"/>
  <c r="S64" i="1" s="1"/>
  <c r="O686" i="1"/>
  <c r="S686" i="1" s="1"/>
  <c r="O710" i="1"/>
  <c r="S710" i="1" s="1"/>
  <c r="O455" i="1"/>
  <c r="S455" i="1" s="1"/>
  <c r="O617" i="1"/>
  <c r="S617" i="1" s="1"/>
  <c r="O128" i="1"/>
  <c r="S128" i="1" s="1"/>
  <c r="O619" i="1"/>
  <c r="S619" i="1" s="1"/>
  <c r="O353" i="1"/>
  <c r="S353" i="1" s="1"/>
  <c r="O621" i="1"/>
  <c r="S621" i="1" s="1"/>
  <c r="O155" i="1"/>
  <c r="S155" i="1" s="1"/>
  <c r="O623" i="1"/>
  <c r="S623" i="1" s="1"/>
  <c r="O624" i="1"/>
  <c r="S624" i="1" s="1"/>
  <c r="O625" i="1"/>
  <c r="S625" i="1" s="1"/>
  <c r="O541" i="1"/>
  <c r="S541" i="1" s="1"/>
  <c r="O1133" i="1"/>
  <c r="S1133" i="1" s="1"/>
  <c r="O254" i="1"/>
  <c r="S254" i="1" s="1"/>
  <c r="O629" i="1"/>
  <c r="S629" i="1" s="1"/>
  <c r="O630" i="1"/>
  <c r="S630" i="1" s="1"/>
  <c r="O445" i="1"/>
  <c r="S445" i="1" s="1"/>
  <c r="O197" i="1"/>
  <c r="S197" i="1" s="1"/>
  <c r="O1101" i="1"/>
  <c r="S1101" i="1" s="1"/>
  <c r="O634" i="1"/>
  <c r="S634" i="1" s="1"/>
  <c r="O644" i="1"/>
  <c r="S644" i="1" s="1"/>
  <c r="O636" i="1"/>
  <c r="S636" i="1" s="1"/>
  <c r="O1186" i="1"/>
  <c r="S1186" i="1" s="1"/>
  <c r="O638" i="1"/>
  <c r="S638" i="1" s="1"/>
  <c r="O639" i="1"/>
  <c r="S639" i="1" s="1"/>
  <c r="O640" i="1"/>
  <c r="S640" i="1" s="1"/>
  <c r="O641" i="1"/>
  <c r="S641" i="1" s="1"/>
  <c r="O642" i="1"/>
  <c r="S642" i="1" s="1"/>
  <c r="O643" i="1"/>
  <c r="S643" i="1" s="1"/>
  <c r="O1168" i="1"/>
  <c r="S1168" i="1" s="1"/>
  <c r="O645" i="1"/>
  <c r="S645" i="1" s="1"/>
  <c r="O573" i="1"/>
  <c r="S573" i="1" s="1"/>
  <c r="O647" i="1"/>
  <c r="S647" i="1" s="1"/>
  <c r="O648" i="1"/>
  <c r="S648" i="1" s="1"/>
  <c r="O924" i="1"/>
  <c r="S924" i="1" s="1"/>
  <c r="O650" i="1"/>
  <c r="S650" i="1" s="1"/>
  <c r="O405" i="1"/>
  <c r="S405" i="1" s="1"/>
  <c r="O1181" i="1"/>
  <c r="S1181" i="1" s="1"/>
  <c r="O653" i="1"/>
  <c r="S653" i="1" s="1"/>
  <c r="O654" i="1"/>
  <c r="S654" i="1" s="1"/>
  <c r="O999" i="1"/>
  <c r="S999" i="1" s="1"/>
  <c r="O656" i="1"/>
  <c r="S656" i="1" s="1"/>
  <c r="O167" i="1"/>
  <c r="S167" i="1" s="1"/>
  <c r="O658" i="1"/>
  <c r="S658" i="1" s="1"/>
  <c r="O322" i="1"/>
  <c r="S322" i="1" s="1"/>
  <c r="O179" i="1"/>
  <c r="S179" i="1" s="1"/>
  <c r="O661" i="1"/>
  <c r="S661" i="1" s="1"/>
  <c r="O274" i="1"/>
  <c r="S274" i="1" s="1"/>
  <c r="O1153" i="1"/>
  <c r="S1153" i="1" s="1"/>
  <c r="O404" i="1"/>
  <c r="S404" i="1" s="1"/>
  <c r="O665" i="1"/>
  <c r="S665" i="1" s="1"/>
  <c r="O666" i="1"/>
  <c r="S666" i="1" s="1"/>
  <c r="O667" i="1"/>
  <c r="S667" i="1" s="1"/>
  <c r="O855" i="1"/>
  <c r="S855" i="1" s="1"/>
  <c r="O937" i="1"/>
  <c r="S937" i="1" s="1"/>
  <c r="O670" i="1"/>
  <c r="S670" i="1" s="1"/>
  <c r="O305" i="1"/>
  <c r="S305" i="1" s="1"/>
  <c r="O439" i="1"/>
  <c r="S439" i="1" s="1"/>
  <c r="O673" i="1"/>
  <c r="S673" i="1" s="1"/>
  <c r="O448" i="1"/>
  <c r="S448" i="1" s="1"/>
  <c r="O1014" i="1"/>
  <c r="S1014" i="1" s="1"/>
  <c r="O676" i="1"/>
  <c r="S676" i="1" s="1"/>
  <c r="O590" i="1"/>
  <c r="S590" i="1" s="1"/>
  <c r="O678" i="1"/>
  <c r="S678" i="1" s="1"/>
  <c r="O679" i="1"/>
  <c r="S679" i="1" s="1"/>
  <c r="O451" i="1"/>
  <c r="S451" i="1" s="1"/>
  <c r="O681" i="1"/>
  <c r="S681" i="1" s="1"/>
  <c r="O682" i="1"/>
  <c r="S682" i="1" s="1"/>
  <c r="O683" i="1"/>
  <c r="S683" i="1" s="1"/>
  <c r="O138" i="1"/>
  <c r="S138" i="1" s="1"/>
  <c r="O685" i="1"/>
  <c r="S685" i="1" s="1"/>
  <c r="O1125" i="1"/>
  <c r="S1125" i="1" s="1"/>
  <c r="O435" i="1"/>
  <c r="S435" i="1" s="1"/>
  <c r="O688" i="1"/>
  <c r="S688" i="1" s="1"/>
  <c r="O57" i="1"/>
  <c r="S57" i="1" s="1"/>
  <c r="O978" i="1"/>
  <c r="S978" i="1" s="1"/>
  <c r="O605" i="1"/>
  <c r="S605" i="1" s="1"/>
  <c r="O461" i="1"/>
  <c r="S461" i="1" s="1"/>
  <c r="O477" i="1"/>
  <c r="S477" i="1" s="1"/>
  <c r="O694" i="1"/>
  <c r="S694" i="1" s="1"/>
  <c r="O695" i="1"/>
  <c r="S695" i="1" s="1"/>
  <c r="O259" i="1"/>
  <c r="S259" i="1" s="1"/>
  <c r="O697" i="1"/>
  <c r="S697" i="1" s="1"/>
  <c r="O323" i="1"/>
  <c r="S323" i="1" s="1"/>
  <c r="O699" i="1"/>
  <c r="S699" i="1" s="1"/>
  <c r="O746" i="1"/>
  <c r="S746" i="1" s="1"/>
  <c r="O701" i="1"/>
  <c r="S701" i="1" s="1"/>
  <c r="O702" i="1"/>
  <c r="S702" i="1" s="1"/>
  <c r="O40" i="1"/>
  <c r="S40" i="1" s="1"/>
  <c r="O704" i="1"/>
  <c r="S704" i="1" s="1"/>
  <c r="O705" i="1"/>
  <c r="S705" i="1" s="1"/>
  <c r="O706" i="1"/>
  <c r="S706" i="1" s="1"/>
  <c r="O707" i="1"/>
  <c r="S707" i="1" s="1"/>
  <c r="O54" i="1"/>
  <c r="S54" i="1" s="1"/>
  <c r="O709" i="1"/>
  <c r="S709" i="1" s="1"/>
  <c r="O59" i="1"/>
  <c r="S59" i="1" s="1"/>
  <c r="O55" i="1"/>
  <c r="S55" i="1" s="1"/>
  <c r="O762" i="1"/>
  <c r="S762" i="1" s="1"/>
  <c r="O713" i="1"/>
  <c r="S713" i="1" s="1"/>
  <c r="O627" i="1"/>
  <c r="S627" i="1" s="1"/>
  <c r="O715" i="1"/>
  <c r="S715" i="1" s="1"/>
  <c r="O716" i="1"/>
  <c r="S716" i="1" s="1"/>
  <c r="O717" i="1"/>
  <c r="S717" i="1" s="1"/>
  <c r="O718" i="1"/>
  <c r="S718" i="1" s="1"/>
  <c r="O281" i="1"/>
  <c r="S281" i="1" s="1"/>
  <c r="O720" i="1"/>
  <c r="S720" i="1" s="1"/>
  <c r="O721" i="1"/>
  <c r="S721" i="1" s="1"/>
  <c r="O722" i="1"/>
  <c r="S722" i="1" s="1"/>
  <c r="O826" i="1"/>
  <c r="S826" i="1" s="1"/>
  <c r="O724" i="1"/>
  <c r="S724" i="1" s="1"/>
  <c r="O622" i="1"/>
  <c r="S622" i="1" s="1"/>
  <c r="O751" i="1"/>
  <c r="S751" i="1" s="1"/>
  <c r="O25" i="1"/>
  <c r="S25" i="1" s="1"/>
  <c r="O100" i="1"/>
  <c r="S100" i="1" s="1"/>
  <c r="O729" i="1"/>
  <c r="S729" i="1" s="1"/>
  <c r="O730" i="1"/>
  <c r="S730" i="1" s="1"/>
  <c r="O731" i="1"/>
  <c r="S731" i="1" s="1"/>
  <c r="O732" i="1"/>
  <c r="S732" i="1" s="1"/>
  <c r="O360" i="1"/>
  <c r="S360" i="1" s="1"/>
  <c r="O734" i="1"/>
  <c r="S734" i="1" s="1"/>
  <c r="O747" i="1"/>
  <c r="S747" i="1" s="1"/>
  <c r="O736" i="1"/>
  <c r="S736" i="1" s="1"/>
  <c r="O737" i="1"/>
  <c r="S737" i="1" s="1"/>
  <c r="O649" i="1"/>
  <c r="S649" i="1" s="1"/>
  <c r="O1034" i="1"/>
  <c r="S1034" i="1" s="1"/>
  <c r="O367" i="1"/>
  <c r="S367" i="1" s="1"/>
  <c r="O741" i="1"/>
  <c r="S741" i="1" s="1"/>
  <c r="O742" i="1"/>
  <c r="S742" i="1" s="1"/>
  <c r="O743" i="1"/>
  <c r="S743" i="1" s="1"/>
  <c r="O744" i="1"/>
  <c r="S744" i="1" s="1"/>
  <c r="O201" i="1"/>
  <c r="S201" i="1" s="1"/>
  <c r="O456" i="1"/>
  <c r="S456" i="1" s="1"/>
  <c r="O764" i="1"/>
  <c r="S764" i="1" s="1"/>
  <c r="O748" i="1"/>
  <c r="S748" i="1" s="1"/>
  <c r="O677" i="1"/>
  <c r="S677" i="1" s="1"/>
  <c r="O74" i="1"/>
  <c r="S74" i="1" s="1"/>
  <c r="O633" i="1"/>
  <c r="S633" i="1" s="1"/>
  <c r="O752" i="1"/>
  <c r="S752" i="1" s="1"/>
  <c r="O753" i="1"/>
  <c r="S753" i="1" s="1"/>
  <c r="O901" i="1"/>
  <c r="S901" i="1" s="1"/>
  <c r="O755" i="1"/>
  <c r="S755" i="1" s="1"/>
  <c r="O1090" i="1"/>
  <c r="S1090" i="1" s="1"/>
  <c r="O757" i="1"/>
  <c r="S757" i="1" s="1"/>
  <c r="O1132" i="1"/>
  <c r="S1132" i="1" s="1"/>
  <c r="O1003" i="1"/>
  <c r="S1003" i="1" s="1"/>
  <c r="O760" i="1"/>
  <c r="S760" i="1" s="1"/>
  <c r="O1151" i="1"/>
  <c r="S1151" i="1" s="1"/>
  <c r="O712" i="1"/>
  <c r="S712" i="1" s="1"/>
  <c r="O161" i="1"/>
  <c r="S161" i="1" s="1"/>
  <c r="O781" i="1"/>
  <c r="S781" i="1" s="1"/>
  <c r="O108" i="1"/>
  <c r="S108" i="1" s="1"/>
  <c r="O766" i="1"/>
  <c r="S766" i="1" s="1"/>
  <c r="O767" i="1"/>
  <c r="S767" i="1" s="1"/>
  <c r="O768" i="1"/>
  <c r="S768" i="1" s="1"/>
  <c r="O769" i="1"/>
  <c r="S769" i="1" s="1"/>
  <c r="O770" i="1"/>
  <c r="S770" i="1" s="1"/>
  <c r="O858" i="1"/>
  <c r="S858" i="1" s="1"/>
  <c r="O772" i="1"/>
  <c r="S772" i="1" s="1"/>
  <c r="O10" i="1"/>
  <c r="S10" i="1" s="1"/>
  <c r="O819" i="1"/>
  <c r="S819" i="1" s="1"/>
  <c r="O775" i="1"/>
  <c r="S775" i="1" s="1"/>
  <c r="O1031" i="1"/>
  <c r="S1031" i="1" s="1"/>
  <c r="O777" i="1"/>
  <c r="S777" i="1" s="1"/>
  <c r="O778" i="1"/>
  <c r="S778" i="1" s="1"/>
  <c r="O779" i="1"/>
  <c r="S779" i="1" s="1"/>
  <c r="O780" i="1"/>
  <c r="S780" i="1" s="1"/>
  <c r="O657" i="1"/>
  <c r="S657" i="1" s="1"/>
  <c r="O222" i="1"/>
  <c r="S222" i="1" s="1"/>
  <c r="O302" i="1"/>
  <c r="S302" i="1" s="1"/>
  <c r="O784" i="1"/>
  <c r="S784" i="1" s="1"/>
  <c r="O569" i="1"/>
  <c r="S569" i="1" s="1"/>
  <c r="O535" i="1"/>
  <c r="S535" i="1" s="1"/>
  <c r="O787" i="1"/>
  <c r="S787" i="1" s="1"/>
  <c r="O788" i="1"/>
  <c r="S788" i="1" s="1"/>
  <c r="O789" i="1"/>
  <c r="S789" i="1" s="1"/>
  <c r="O790" i="1"/>
  <c r="S790" i="1" s="1"/>
  <c r="O791" i="1"/>
  <c r="S791" i="1" s="1"/>
  <c r="O792" i="1"/>
  <c r="S792" i="1" s="1"/>
  <c r="O793" i="1"/>
  <c r="S793" i="1" s="1"/>
  <c r="O794" i="1"/>
  <c r="S794" i="1" s="1"/>
  <c r="O651" i="1"/>
  <c r="S651" i="1" s="1"/>
  <c r="O1004" i="1"/>
  <c r="S1004" i="1" s="1"/>
  <c r="O797" i="1"/>
  <c r="S797" i="1" s="1"/>
  <c r="O325" i="1"/>
  <c r="S325" i="1" s="1"/>
  <c r="O920" i="1"/>
  <c r="S920" i="1" s="1"/>
  <c r="O800" i="1"/>
  <c r="S800" i="1" s="1"/>
  <c r="O801" i="1"/>
  <c r="S801" i="1" s="1"/>
  <c r="O802" i="1"/>
  <c r="S802" i="1" s="1"/>
  <c r="O803" i="1"/>
  <c r="S803" i="1" s="1"/>
  <c r="O804" i="1"/>
  <c r="S804" i="1" s="1"/>
  <c r="O221" i="1"/>
  <c r="S221" i="1" s="1"/>
  <c r="O806" i="1"/>
  <c r="S806" i="1" s="1"/>
  <c r="O807" i="1"/>
  <c r="S807" i="1" s="1"/>
  <c r="O808" i="1"/>
  <c r="S808" i="1" s="1"/>
  <c r="O809" i="1"/>
  <c r="S809" i="1" s="1"/>
  <c r="O381" i="1"/>
  <c r="S381" i="1" s="1"/>
  <c r="O811" i="1"/>
  <c r="S811" i="1" s="1"/>
  <c r="O968" i="1"/>
  <c r="S968" i="1" s="1"/>
  <c r="O813" i="1"/>
  <c r="S813" i="1" s="1"/>
  <c r="O814" i="1"/>
  <c r="S814" i="1" s="1"/>
  <c r="O815" i="1"/>
  <c r="S815" i="1" s="1"/>
  <c r="O557" i="1"/>
  <c r="S557" i="1" s="1"/>
  <c r="O525" i="1"/>
  <c r="S525" i="1" s="1"/>
  <c r="O349" i="1"/>
  <c r="S349" i="1" s="1"/>
  <c r="O457" i="1"/>
  <c r="S457" i="1" s="1"/>
  <c r="O24" i="1"/>
  <c r="S24" i="1" s="1"/>
  <c r="O821" i="1"/>
  <c r="S821" i="1" s="1"/>
  <c r="O822" i="1"/>
  <c r="S822" i="1" s="1"/>
  <c r="O823" i="1"/>
  <c r="S823" i="1" s="1"/>
  <c r="O824" i="1"/>
  <c r="S824" i="1" s="1"/>
  <c r="O825" i="1"/>
  <c r="S825" i="1" s="1"/>
  <c r="O67" i="1"/>
  <c r="S67" i="1" s="1"/>
  <c r="O997" i="1"/>
  <c r="S997" i="1" s="1"/>
  <c r="O828" i="1"/>
  <c r="S828" i="1" s="1"/>
  <c r="O1072" i="1"/>
  <c r="S1072" i="1" s="1"/>
  <c r="O830" i="1"/>
  <c r="S830" i="1" s="1"/>
  <c r="O831" i="1"/>
  <c r="S831" i="1" s="1"/>
  <c r="O832" i="1"/>
  <c r="S832" i="1" s="1"/>
  <c r="O833" i="1"/>
  <c r="S833" i="1" s="1"/>
  <c r="O761" i="1"/>
  <c r="S761" i="1" s="1"/>
  <c r="O835" i="1"/>
  <c r="S835" i="1" s="1"/>
  <c r="O836" i="1"/>
  <c r="S836" i="1" s="1"/>
  <c r="O915" i="1"/>
  <c r="S915" i="1" s="1"/>
  <c r="O838" i="1"/>
  <c r="S838" i="1" s="1"/>
  <c r="O839" i="1"/>
  <c r="S839" i="1" s="1"/>
  <c r="O351" i="1"/>
  <c r="S351" i="1" s="1"/>
  <c r="O660" i="1"/>
  <c r="S660" i="1" s="1"/>
  <c r="O842" i="1"/>
  <c r="S842" i="1" s="1"/>
  <c r="O843" i="1"/>
  <c r="S843" i="1" s="1"/>
  <c r="O490" i="1"/>
  <c r="S490" i="1" s="1"/>
  <c r="O845" i="1"/>
  <c r="S845" i="1" s="1"/>
  <c r="O846" i="1"/>
  <c r="S846" i="1" s="1"/>
  <c r="O756" i="1"/>
  <c r="S756" i="1" s="1"/>
  <c r="O501" i="1"/>
  <c r="S501" i="1" s="1"/>
  <c r="O849" i="1"/>
  <c r="S849" i="1" s="1"/>
  <c r="O1073" i="1"/>
  <c r="S1073" i="1" s="1"/>
  <c r="O851" i="1"/>
  <c r="S851" i="1" s="1"/>
  <c r="O852" i="1"/>
  <c r="S852" i="1" s="1"/>
  <c r="O853" i="1"/>
  <c r="S853" i="1" s="1"/>
  <c r="O854" i="1"/>
  <c r="S854" i="1" s="1"/>
  <c r="O214" i="1"/>
  <c r="S214" i="1" s="1"/>
  <c r="O503" i="1"/>
  <c r="S503" i="1" s="1"/>
  <c r="O857" i="1"/>
  <c r="S857" i="1" s="1"/>
  <c r="O735" i="1"/>
  <c r="S735" i="1" s="1"/>
  <c r="O859" i="1"/>
  <c r="S859" i="1" s="1"/>
  <c r="O860" i="1"/>
  <c r="S860" i="1" s="1"/>
  <c r="O861" i="1"/>
  <c r="S861" i="1" s="1"/>
  <c r="O740" i="1"/>
  <c r="S740" i="1" s="1"/>
  <c r="O692" i="1"/>
  <c r="S692" i="1" s="1"/>
  <c r="O864" i="1"/>
  <c r="S864" i="1" s="1"/>
  <c r="O1058" i="1"/>
  <c r="S1058" i="1" s="1"/>
  <c r="O663" i="1"/>
  <c r="S663" i="1" s="1"/>
  <c r="O867" i="1"/>
  <c r="S867" i="1" s="1"/>
  <c r="O763" i="1"/>
  <c r="S763" i="1" s="1"/>
  <c r="O818" i="1"/>
  <c r="S818" i="1" s="1"/>
  <c r="O273" i="1"/>
  <c r="S273" i="1" s="1"/>
  <c r="O586" i="1"/>
  <c r="S586" i="1" s="1"/>
  <c r="O91" i="1"/>
  <c r="S91" i="1" s="1"/>
  <c r="O873" i="1"/>
  <c r="S873" i="1" s="1"/>
  <c r="O874" i="1"/>
  <c r="S874" i="1" s="1"/>
  <c r="O875" i="1"/>
  <c r="S875" i="1" s="1"/>
  <c r="O1105" i="1"/>
  <c r="S1105" i="1" s="1"/>
  <c r="O558" i="1"/>
  <c r="S558" i="1" s="1"/>
  <c r="O995" i="1"/>
  <c r="S995" i="1" s="1"/>
  <c r="O15" i="1"/>
  <c r="S15" i="1" s="1"/>
  <c r="O880" i="1"/>
  <c r="S880" i="1" s="1"/>
  <c r="O881" i="1"/>
  <c r="S881" i="1" s="1"/>
  <c r="O882" i="1"/>
  <c r="S882" i="1" s="1"/>
  <c r="O883" i="1"/>
  <c r="S883" i="1" s="1"/>
  <c r="O884" i="1"/>
  <c r="S884" i="1" s="1"/>
  <c r="O113" i="1"/>
  <c r="S113" i="1" s="1"/>
  <c r="O886" i="1"/>
  <c r="S886" i="1" s="1"/>
  <c r="O1005" i="1"/>
  <c r="S1005" i="1" s="1"/>
  <c r="O888" i="1"/>
  <c r="S888" i="1" s="1"/>
  <c r="O505" i="1"/>
  <c r="S505" i="1" s="1"/>
  <c r="O890" i="1"/>
  <c r="S890" i="1" s="1"/>
  <c r="O891" i="1"/>
  <c r="S891" i="1" s="1"/>
  <c r="O892" i="1"/>
  <c r="S892" i="1" s="1"/>
  <c r="O893" i="1"/>
  <c r="S893" i="1" s="1"/>
  <c r="O935" i="1"/>
  <c r="S935" i="1" s="1"/>
  <c r="O895" i="1"/>
  <c r="S895" i="1" s="1"/>
  <c r="O896" i="1"/>
  <c r="S896" i="1" s="1"/>
  <c r="O897" i="1"/>
  <c r="S897" i="1" s="1"/>
  <c r="O898" i="1"/>
  <c r="S898" i="1" s="1"/>
  <c r="O899" i="1"/>
  <c r="S899" i="1" s="1"/>
  <c r="O900" i="1"/>
  <c r="S900" i="1" s="1"/>
  <c r="O442" i="1"/>
  <c r="S442" i="1" s="1"/>
  <c r="O902" i="1"/>
  <c r="S902" i="1" s="1"/>
  <c r="O765" i="1"/>
  <c r="S765" i="1" s="1"/>
  <c r="O866" i="1"/>
  <c r="S866" i="1" s="1"/>
  <c r="O905" i="1"/>
  <c r="S905" i="1" s="1"/>
  <c r="O906" i="1"/>
  <c r="S906" i="1" s="1"/>
  <c r="O700" i="1"/>
  <c r="S700" i="1" s="1"/>
  <c r="O908" i="1"/>
  <c r="S908" i="1" s="1"/>
  <c r="O909" i="1"/>
  <c r="S909" i="1" s="1"/>
  <c r="O910" i="1"/>
  <c r="S910" i="1" s="1"/>
  <c r="O911" i="1"/>
  <c r="S911" i="1" s="1"/>
  <c r="O587" i="1"/>
  <c r="S587" i="1" s="1"/>
  <c r="O523" i="1"/>
  <c r="S523" i="1" s="1"/>
  <c r="O348" i="1"/>
  <c r="S348" i="1" s="1"/>
  <c r="O805" i="1"/>
  <c r="S805" i="1" s="1"/>
  <c r="O453" i="1"/>
  <c r="S453" i="1" s="1"/>
  <c r="O917" i="1"/>
  <c r="S917" i="1" s="1"/>
  <c r="O918" i="1"/>
  <c r="S918" i="1" s="1"/>
  <c r="O919" i="1"/>
  <c r="S919" i="1" s="1"/>
  <c r="O1193" i="1"/>
  <c r="S1193" i="1" s="1"/>
  <c r="O921" i="1"/>
  <c r="S921" i="1" s="1"/>
  <c r="O922" i="1"/>
  <c r="S922" i="1" s="1"/>
  <c r="O1011" i="1"/>
  <c r="S1011" i="1" s="1"/>
  <c r="O1060" i="1"/>
  <c r="S1060" i="1" s="1"/>
  <c r="O548" i="1"/>
  <c r="S548" i="1" s="1"/>
  <c r="O926" i="1"/>
  <c r="S926" i="1" s="1"/>
  <c r="O927" i="1"/>
  <c r="S927" i="1" s="1"/>
  <c r="O928" i="1"/>
  <c r="S928" i="1" s="1"/>
  <c r="O738" i="1"/>
  <c r="S738" i="1" s="1"/>
  <c r="O1145" i="1"/>
  <c r="S1145" i="1" s="1"/>
  <c r="O60" i="1"/>
  <c r="S60" i="1" s="1"/>
  <c r="O750" i="1"/>
  <c r="S750" i="1" s="1"/>
  <c r="O687" i="1"/>
  <c r="S687" i="1" s="1"/>
  <c r="O934" i="1"/>
  <c r="S934" i="1" s="1"/>
  <c r="O400" i="1"/>
  <c r="S400" i="1" s="1"/>
  <c r="O690" i="1"/>
  <c r="S690" i="1" s="1"/>
  <c r="O270" i="1"/>
  <c r="S270" i="1" s="1"/>
  <c r="O17" i="1"/>
  <c r="S17" i="1" s="1"/>
  <c r="O1104" i="1"/>
  <c r="S1104" i="1" s="1"/>
  <c r="O940" i="1"/>
  <c r="S940" i="1" s="1"/>
  <c r="O941" i="1"/>
  <c r="S941" i="1" s="1"/>
  <c r="O942" i="1"/>
  <c r="S942" i="1" s="1"/>
  <c r="O943" i="1"/>
  <c r="S943" i="1" s="1"/>
  <c r="O1046" i="1"/>
  <c r="S1046" i="1" s="1"/>
  <c r="O945" i="1"/>
  <c r="S945" i="1" s="1"/>
  <c r="O946" i="1"/>
  <c r="S946" i="1" s="1"/>
  <c r="O993" i="1"/>
  <c r="S993" i="1" s="1"/>
  <c r="O948" i="1"/>
  <c r="S948" i="1" s="1"/>
  <c r="O51" i="1"/>
  <c r="S51" i="1" s="1"/>
  <c r="O950" i="1"/>
  <c r="S950" i="1" s="1"/>
  <c r="O1183" i="1"/>
  <c r="S1183" i="1" s="1"/>
  <c r="O952" i="1"/>
  <c r="S952" i="1" s="1"/>
  <c r="O953" i="1"/>
  <c r="S953" i="1" s="1"/>
  <c r="O954" i="1"/>
  <c r="S954" i="1" s="1"/>
  <c r="O955" i="1"/>
  <c r="S955" i="1" s="1"/>
  <c r="O795" i="1"/>
  <c r="S795" i="1" s="1"/>
  <c r="O957" i="1"/>
  <c r="S957" i="1" s="1"/>
  <c r="O574" i="1"/>
  <c r="S574" i="1" s="1"/>
  <c r="O959" i="1"/>
  <c r="S959" i="1" s="1"/>
  <c r="O960" i="1"/>
  <c r="S960" i="1" s="1"/>
  <c r="O961" i="1"/>
  <c r="S961" i="1" s="1"/>
  <c r="O136" i="1"/>
  <c r="S136" i="1" s="1"/>
  <c r="O963" i="1"/>
  <c r="S963" i="1" s="1"/>
  <c r="O258" i="1"/>
  <c r="S258" i="1" s="1"/>
  <c r="O965" i="1"/>
  <c r="S965" i="1" s="1"/>
  <c r="O83" i="1"/>
  <c r="S83" i="1" s="1"/>
  <c r="O632" i="1"/>
  <c r="S632" i="1" s="1"/>
  <c r="O362" i="1"/>
  <c r="S362" i="1" s="1"/>
  <c r="O969" i="1"/>
  <c r="S969" i="1" s="1"/>
  <c r="O970" i="1"/>
  <c r="S970" i="1" s="1"/>
  <c r="O352" i="1"/>
  <c r="S352" i="1" s="1"/>
  <c r="O972" i="1"/>
  <c r="S972" i="1" s="1"/>
  <c r="O973" i="1"/>
  <c r="S973" i="1" s="1"/>
  <c r="O675" i="1"/>
  <c r="S675" i="1" s="1"/>
  <c r="O975" i="1"/>
  <c r="S975" i="1" s="1"/>
  <c r="O976" i="1"/>
  <c r="S976" i="1" s="1"/>
  <c r="O977" i="1"/>
  <c r="S977" i="1" s="1"/>
  <c r="O235" i="1"/>
  <c r="S235" i="1" s="1"/>
  <c r="O979" i="1"/>
  <c r="S979" i="1" s="1"/>
  <c r="O980" i="1"/>
  <c r="S980" i="1" s="1"/>
  <c r="O981" i="1"/>
  <c r="S981" i="1" s="1"/>
  <c r="O481" i="1"/>
  <c r="S481" i="1" s="1"/>
  <c r="O983" i="1"/>
  <c r="S983" i="1" s="1"/>
  <c r="O984" i="1"/>
  <c r="S984" i="1" s="1"/>
  <c r="O985" i="1"/>
  <c r="S985" i="1" s="1"/>
  <c r="O135" i="1"/>
  <c r="S135" i="1" s="1"/>
  <c r="O987" i="1"/>
  <c r="S987" i="1" s="1"/>
  <c r="O988" i="1"/>
  <c r="S988" i="1" s="1"/>
  <c r="O989" i="1"/>
  <c r="S989" i="1" s="1"/>
  <c r="O990" i="1"/>
  <c r="S990" i="1" s="1"/>
  <c r="O1163" i="1"/>
  <c r="S1163" i="1" s="1"/>
  <c r="O119" i="1"/>
  <c r="S119" i="1" s="1"/>
  <c r="O308" i="1"/>
  <c r="S308" i="1" s="1"/>
  <c r="O1177" i="1"/>
  <c r="S1177" i="1" s="1"/>
  <c r="O120" i="1"/>
  <c r="S120" i="1" s="1"/>
  <c r="O612" i="1"/>
  <c r="S612" i="1" s="1"/>
  <c r="O389" i="1"/>
  <c r="S389" i="1" s="1"/>
  <c r="O998" i="1"/>
  <c r="S998" i="1" s="1"/>
  <c r="O118" i="1"/>
  <c r="S118" i="1" s="1"/>
  <c r="O1000" i="1"/>
  <c r="S1000" i="1" s="1"/>
  <c r="O355" i="1"/>
  <c r="S355" i="1" s="1"/>
  <c r="O1002" i="1"/>
  <c r="S1002" i="1" s="1"/>
  <c r="O145" i="1"/>
  <c r="S145" i="1" s="1"/>
  <c r="O785" i="1"/>
  <c r="S785" i="1" s="1"/>
  <c r="O370" i="1"/>
  <c r="S370" i="1" s="1"/>
  <c r="O447" i="1"/>
  <c r="S447" i="1" s="1"/>
  <c r="O1138" i="1"/>
  <c r="S1138" i="1" s="1"/>
  <c r="O1008" i="1"/>
  <c r="S1008" i="1" s="1"/>
  <c r="O1009" i="1"/>
  <c r="S1009" i="1" s="1"/>
  <c r="O127" i="1"/>
  <c r="S127" i="1" s="1"/>
  <c r="O759" i="1"/>
  <c r="S759" i="1" s="1"/>
  <c r="O1012" i="1"/>
  <c r="S1012" i="1" s="1"/>
  <c r="O1013" i="1"/>
  <c r="S1013" i="1" s="1"/>
  <c r="O420" i="1"/>
  <c r="S420" i="1" s="1"/>
  <c r="O1015" i="1"/>
  <c r="S1015" i="1" s="1"/>
  <c r="O1016" i="1"/>
  <c r="S1016" i="1" s="1"/>
  <c r="O1048" i="1"/>
  <c r="S1048" i="1" s="1"/>
  <c r="O1018" i="1"/>
  <c r="S1018" i="1" s="1"/>
  <c r="O1165" i="1"/>
  <c r="S1165" i="1" s="1"/>
  <c r="O1020" i="1"/>
  <c r="S1020" i="1" s="1"/>
  <c r="O1021" i="1"/>
  <c r="S1021" i="1" s="1"/>
  <c r="O1022" i="1"/>
  <c r="S1022" i="1" s="1"/>
  <c r="O1023" i="1"/>
  <c r="S1023" i="1" s="1"/>
  <c r="O1024" i="1"/>
  <c r="S1024" i="1" s="1"/>
  <c r="O1025" i="1"/>
  <c r="S1025" i="1" s="1"/>
  <c r="O1026" i="1"/>
  <c r="S1026" i="1" s="1"/>
  <c r="O1027" i="1"/>
  <c r="S1027" i="1" s="1"/>
  <c r="O1028" i="1"/>
  <c r="S1028" i="1" s="1"/>
  <c r="O847" i="1"/>
  <c r="S847" i="1" s="1"/>
  <c r="O1030" i="1"/>
  <c r="S1030" i="1" s="1"/>
  <c r="O368" i="1"/>
  <c r="S368" i="1" s="1"/>
  <c r="O1032" i="1"/>
  <c r="S1032" i="1" s="1"/>
  <c r="O257" i="1"/>
  <c r="S257" i="1" s="1"/>
  <c r="O1178" i="1"/>
  <c r="S1178" i="1" s="1"/>
  <c r="O1035" i="1"/>
  <c r="S1035" i="1" s="1"/>
  <c r="O1036" i="1"/>
  <c r="S1036" i="1" s="1"/>
  <c r="O30" i="1"/>
  <c r="S30" i="1" s="1"/>
  <c r="O1038" i="1"/>
  <c r="S1038" i="1" s="1"/>
  <c r="O1039" i="1"/>
  <c r="S1039" i="1" s="1"/>
  <c r="O655" i="1"/>
  <c r="S655" i="1" s="1"/>
  <c r="O1041" i="1"/>
  <c r="S1041" i="1" s="1"/>
  <c r="O88" i="1"/>
  <c r="S88" i="1" s="1"/>
  <c r="O1001" i="1"/>
  <c r="S1001" i="1" s="1"/>
  <c r="O749" i="1"/>
  <c r="S749" i="1" s="1"/>
  <c r="O1045" i="1"/>
  <c r="S1045" i="1" s="1"/>
  <c r="O870" i="1"/>
  <c r="S870" i="1" s="1"/>
  <c r="O1047" i="1"/>
  <c r="S1047" i="1" s="1"/>
  <c r="O9" i="1"/>
  <c r="S9" i="1" s="1"/>
  <c r="O1049" i="1"/>
  <c r="S1049" i="1" s="1"/>
  <c r="O1050" i="1"/>
  <c r="S1050" i="1" s="1"/>
  <c r="O1051" i="1"/>
  <c r="S1051" i="1" s="1"/>
  <c r="O306" i="1"/>
  <c r="S306" i="1" s="1"/>
  <c r="O1053" i="1"/>
  <c r="S1053" i="1" s="1"/>
  <c r="O1201" i="1"/>
  <c r="S1201" i="1" s="1"/>
  <c r="O1055" i="1"/>
  <c r="S1055" i="1" s="1"/>
  <c r="O947" i="1"/>
  <c r="S947" i="1" s="1"/>
  <c r="O1057" i="1"/>
  <c r="S1057" i="1" s="1"/>
  <c r="O1119" i="1"/>
  <c r="S1119" i="1" s="1"/>
  <c r="O912" i="1"/>
  <c r="S912" i="1" s="1"/>
  <c r="O468" i="1"/>
  <c r="S468" i="1" s="1"/>
  <c r="O844" i="1"/>
  <c r="S844" i="1" s="1"/>
  <c r="O1062" i="1"/>
  <c r="S1062" i="1" s="1"/>
  <c r="O315" i="1"/>
  <c r="S315" i="1" s="1"/>
  <c r="O1064" i="1"/>
  <c r="S1064" i="1" s="1"/>
  <c r="O1065" i="1"/>
  <c r="S1065" i="1" s="1"/>
  <c r="O1066" i="1"/>
  <c r="S1066" i="1" s="1"/>
  <c r="O1067" i="1"/>
  <c r="S1067" i="1" s="1"/>
  <c r="O1059" i="1"/>
  <c r="S1059" i="1" s="1"/>
  <c r="O1069" i="1"/>
  <c r="S1069" i="1" s="1"/>
  <c r="O1070" i="1"/>
  <c r="S1070" i="1" s="1"/>
  <c r="O1071" i="1"/>
  <c r="S1071" i="1" s="1"/>
  <c r="O531" i="1"/>
  <c r="S531" i="1" s="1"/>
  <c r="O714" i="1"/>
  <c r="S714" i="1" s="1"/>
  <c r="O1074" i="1"/>
  <c r="S1074" i="1" s="1"/>
  <c r="O949" i="1"/>
  <c r="S949" i="1" s="1"/>
  <c r="O1076" i="1"/>
  <c r="S1076" i="1" s="1"/>
  <c r="O226" i="1"/>
  <c r="S226" i="1" s="1"/>
  <c r="O1148" i="1"/>
  <c r="S1148" i="1" s="1"/>
  <c r="O1079" i="1"/>
  <c r="S1079" i="1" s="1"/>
  <c r="O1080" i="1"/>
  <c r="S1080" i="1" s="1"/>
  <c r="O593" i="1"/>
  <c r="S593" i="1" s="1"/>
  <c r="O407" i="1"/>
  <c r="S407" i="1" s="1"/>
  <c r="O885" i="1"/>
  <c r="S885" i="1" s="1"/>
  <c r="O123" i="1"/>
  <c r="S123" i="1" s="1"/>
  <c r="O14" i="1"/>
  <c r="S14" i="1" s="1"/>
  <c r="O1086" i="1"/>
  <c r="S1086" i="1" s="1"/>
  <c r="O1087" i="1"/>
  <c r="S1087" i="1" s="1"/>
  <c r="O1088" i="1"/>
  <c r="S1088" i="1" s="1"/>
  <c r="O1089" i="1"/>
  <c r="S1089" i="1" s="1"/>
  <c r="O1082" i="1"/>
  <c r="S1082" i="1" s="1"/>
  <c r="O1091" i="1"/>
  <c r="S1091" i="1" s="1"/>
  <c r="O872" i="1"/>
  <c r="S872" i="1" s="1"/>
  <c r="O1093" i="1"/>
  <c r="S1093" i="1" s="1"/>
  <c r="O1094" i="1"/>
  <c r="S1094" i="1" s="1"/>
  <c r="O1095" i="1"/>
  <c r="S1095" i="1" s="1"/>
  <c r="O1096" i="1"/>
  <c r="S1096" i="1" s="1"/>
  <c r="O219" i="1"/>
  <c r="S219" i="1" s="1"/>
  <c r="O1098" i="1"/>
  <c r="S1098" i="1" s="1"/>
  <c r="O1099" i="1"/>
  <c r="S1099" i="1" s="1"/>
  <c r="O1100" i="1"/>
  <c r="S1100" i="1" s="1"/>
  <c r="O850" i="1"/>
  <c r="S850" i="1" s="1"/>
  <c r="O1102" i="1"/>
  <c r="S1102" i="1" s="1"/>
  <c r="O674" i="1"/>
  <c r="S674" i="1" s="1"/>
  <c r="O521" i="1"/>
  <c r="S521" i="1" s="1"/>
  <c r="O509" i="1"/>
  <c r="S509" i="1" s="1"/>
  <c r="O903" i="1"/>
  <c r="S903" i="1" s="1"/>
  <c r="O1107" i="1"/>
  <c r="S1107" i="1" s="1"/>
  <c r="O1108" i="1"/>
  <c r="S1108" i="1" s="1"/>
  <c r="O1109" i="1"/>
  <c r="S1109" i="1" s="1"/>
  <c r="O1110" i="1"/>
  <c r="S1110" i="1" s="1"/>
  <c r="O1111" i="1"/>
  <c r="S1111" i="1" s="1"/>
  <c r="O1112" i="1"/>
  <c r="S1112" i="1" s="1"/>
  <c r="O1113" i="1"/>
  <c r="S1113" i="1" s="1"/>
  <c r="O817" i="1"/>
  <c r="S817" i="1" s="1"/>
  <c r="O1115" i="1"/>
  <c r="S1115" i="1" s="1"/>
  <c r="O1116" i="1"/>
  <c r="S1116" i="1" s="1"/>
  <c r="O1117" i="1"/>
  <c r="S1117" i="1" s="1"/>
  <c r="O1118" i="1"/>
  <c r="S1118" i="1" s="1"/>
  <c r="O876" i="1"/>
  <c r="S876" i="1" s="1"/>
  <c r="O1120" i="1"/>
  <c r="S1120" i="1" s="1"/>
  <c r="O1121" i="1"/>
  <c r="S1121" i="1" s="1"/>
  <c r="O1122" i="1"/>
  <c r="S1122" i="1" s="1"/>
  <c r="O848" i="1"/>
  <c r="S848" i="1" s="1"/>
  <c r="O1124" i="1"/>
  <c r="S1124" i="1" s="1"/>
  <c r="O996" i="1"/>
  <c r="S996" i="1" s="1"/>
  <c r="O1126" i="1"/>
  <c r="S1126" i="1" s="1"/>
  <c r="O1127" i="1"/>
  <c r="S1127" i="1" s="1"/>
  <c r="O837" i="1"/>
  <c r="S837" i="1" s="1"/>
  <c r="O1129" i="1"/>
  <c r="S1129" i="1" s="1"/>
  <c r="O232" i="1"/>
  <c r="S232" i="1" s="1"/>
  <c r="O1131" i="1"/>
  <c r="S1131" i="1" s="1"/>
  <c r="O555" i="1"/>
  <c r="S555" i="1" s="1"/>
  <c r="O600" i="1"/>
  <c r="S600" i="1" s="1"/>
  <c r="O1134" i="1"/>
  <c r="S1134" i="1" s="1"/>
  <c r="O597" i="1"/>
  <c r="S597" i="1" s="1"/>
  <c r="O85" i="1"/>
  <c r="S85" i="1" s="1"/>
  <c r="O1103" i="1"/>
  <c r="S1103" i="1" s="1"/>
  <c r="O1172" i="1"/>
  <c r="S1172" i="1" s="1"/>
  <c r="O463" i="1"/>
  <c r="S463" i="1" s="1"/>
  <c r="O1140" i="1"/>
  <c r="S1140" i="1" s="1"/>
  <c r="O253" i="1"/>
  <c r="S253" i="1" s="1"/>
  <c r="O1142" i="1"/>
  <c r="S1142" i="1" s="1"/>
  <c r="O1143" i="1"/>
  <c r="S1143" i="1" s="1"/>
  <c r="O1144" i="1"/>
  <c r="S1144" i="1" s="1"/>
  <c r="O856" i="1"/>
  <c r="S856" i="1" s="1"/>
  <c r="O1146" i="1"/>
  <c r="S1146" i="1" s="1"/>
  <c r="O1147" i="1"/>
  <c r="S1147" i="1" s="1"/>
  <c r="O1006" i="1"/>
  <c r="S1006" i="1" s="1"/>
  <c r="O1149" i="1"/>
  <c r="S1149" i="1" s="1"/>
  <c r="O1150" i="1"/>
  <c r="S1150" i="1" s="1"/>
  <c r="O412" i="1"/>
  <c r="S412" i="1" s="1"/>
  <c r="O1152" i="1"/>
  <c r="S1152" i="1" s="1"/>
  <c r="O925" i="1"/>
  <c r="S925" i="1" s="1"/>
  <c r="O1154" i="1"/>
  <c r="S1154" i="1" s="1"/>
  <c r="O1155" i="1"/>
  <c r="S1155" i="1" s="1"/>
  <c r="O1156" i="1"/>
  <c r="S1156" i="1" s="1"/>
  <c r="O95" i="1"/>
  <c r="S95" i="1" s="1"/>
  <c r="O607" i="1"/>
  <c r="S607" i="1" s="1"/>
  <c r="O1159" i="1"/>
  <c r="S1159" i="1" s="1"/>
  <c r="O1160" i="1"/>
  <c r="S1160" i="1" s="1"/>
  <c r="O1161" i="1"/>
  <c r="S1161" i="1" s="1"/>
  <c r="O1162" i="1"/>
  <c r="S1162" i="1" s="1"/>
  <c r="O820" i="1"/>
  <c r="S820" i="1" s="1"/>
  <c r="O1164" i="1"/>
  <c r="S1164" i="1" s="1"/>
  <c r="O195" i="1"/>
  <c r="S195" i="1" s="1"/>
  <c r="O1166" i="1"/>
  <c r="S1166" i="1" s="1"/>
  <c r="O877" i="1"/>
  <c r="S877" i="1" s="1"/>
  <c r="O931" i="1"/>
  <c r="S931" i="1" s="1"/>
  <c r="O1169" i="1"/>
  <c r="S1169" i="1" s="1"/>
  <c r="O1170" i="1"/>
  <c r="S1170" i="1" s="1"/>
  <c r="O1171" i="1"/>
  <c r="S1171" i="1" s="1"/>
  <c r="O878" i="1"/>
  <c r="S878" i="1" s="1"/>
  <c r="O1173" i="1"/>
  <c r="S1173" i="1" s="1"/>
  <c r="O1174" i="1"/>
  <c r="S1174" i="1" s="1"/>
  <c r="O1175" i="1"/>
  <c r="S1175" i="1" s="1"/>
  <c r="O1176" i="1"/>
  <c r="S1176" i="1" s="1"/>
  <c r="O29" i="1"/>
  <c r="S29" i="1" s="1"/>
  <c r="O263" i="1"/>
  <c r="S263" i="1" s="1"/>
  <c r="O1179" i="1"/>
  <c r="S1179" i="1" s="1"/>
  <c r="O363" i="1"/>
  <c r="S363" i="1" s="1"/>
  <c r="O268" i="1"/>
  <c r="S268" i="1" s="1"/>
  <c r="O1182" i="1"/>
  <c r="S1182" i="1" s="1"/>
  <c r="O840" i="1"/>
  <c r="S840" i="1" s="1"/>
  <c r="O1184" i="1"/>
  <c r="S1184" i="1" s="1"/>
  <c r="O1185" i="1"/>
  <c r="S1185" i="1" s="1"/>
  <c r="O862" i="1"/>
  <c r="S862" i="1" s="1"/>
  <c r="O466" i="1"/>
  <c r="S466" i="1" s="1"/>
  <c r="O1188" i="1"/>
  <c r="S1188" i="1" s="1"/>
  <c r="O726" i="1"/>
  <c r="S726" i="1" s="1"/>
  <c r="O398" i="1"/>
  <c r="S398" i="1" s="1"/>
  <c r="O1191" i="1"/>
  <c r="S1191" i="1" s="1"/>
  <c r="O1192" i="1"/>
  <c r="S1192" i="1" s="1"/>
  <c r="O395" i="1"/>
  <c r="S395" i="1" s="1"/>
  <c r="O1194" i="1"/>
  <c r="S1194" i="1" s="1"/>
  <c r="O1195" i="1"/>
  <c r="S1195" i="1" s="1"/>
  <c r="O841" i="1"/>
  <c r="S841" i="1" s="1"/>
  <c r="O215" i="1"/>
  <c r="S215" i="1" s="1"/>
  <c r="O1198" i="1"/>
  <c r="S1198" i="1" s="1"/>
  <c r="O1199" i="1"/>
  <c r="S1199" i="1" s="1"/>
  <c r="O1200" i="1"/>
  <c r="S1200" i="1" s="1"/>
  <c r="O560" i="1"/>
  <c r="S560" i="1" s="1"/>
  <c r="N2" i="1"/>
  <c r="N967" i="1"/>
  <c r="N240" i="1"/>
  <c r="N5" i="1"/>
  <c r="N6" i="1"/>
  <c r="N7" i="1"/>
  <c r="N8" i="1"/>
  <c r="N296" i="1"/>
  <c r="N41" i="1"/>
  <c r="N745" i="1"/>
  <c r="N12" i="1"/>
  <c r="N358" i="1"/>
  <c r="N907" i="1"/>
  <c r="N202" i="1"/>
  <c r="N16" i="1"/>
  <c r="N446" i="1"/>
  <c r="N18" i="1"/>
  <c r="N110" i="1"/>
  <c r="N20" i="1"/>
  <c r="N21" i="1"/>
  <c r="N22" i="1"/>
  <c r="N23" i="1"/>
  <c r="N982" i="1"/>
  <c r="N280" i="1"/>
  <c r="N26" i="1"/>
  <c r="N662" i="1"/>
  <c r="N28" i="1"/>
  <c r="N1135" i="1"/>
  <c r="N708" i="1"/>
  <c r="N31" i="1"/>
  <c r="N32" i="1"/>
  <c r="N33" i="1"/>
  <c r="N34" i="1"/>
  <c r="N35" i="1"/>
  <c r="N36" i="1"/>
  <c r="N37" i="1"/>
  <c r="N38" i="1"/>
  <c r="N39" i="1"/>
  <c r="N417" i="1"/>
  <c r="N739" i="1"/>
  <c r="N42" i="1"/>
  <c r="N316" i="1"/>
  <c r="N44" i="1"/>
  <c r="N45" i="1"/>
  <c r="N46" i="1"/>
  <c r="N47" i="1"/>
  <c r="N48" i="1"/>
  <c r="N812" i="1"/>
  <c r="N50" i="1"/>
  <c r="N90" i="1"/>
  <c r="N52" i="1"/>
  <c r="N53" i="1"/>
  <c r="N73" i="1"/>
  <c r="N261" i="1"/>
  <c r="N492" i="1"/>
  <c r="N103" i="1"/>
  <c r="N58" i="1"/>
  <c r="N458" i="1"/>
  <c r="N774" i="1"/>
  <c r="N282" i="1"/>
  <c r="N62" i="1"/>
  <c r="N63" i="1"/>
  <c r="N171" i="1"/>
  <c r="N613" i="1"/>
  <c r="N66" i="1"/>
  <c r="N563" i="1"/>
  <c r="N68" i="1"/>
  <c r="N69" i="1"/>
  <c r="N70" i="1"/>
  <c r="N532" i="1"/>
  <c r="N72" i="1"/>
  <c r="N1092" i="1"/>
  <c r="N146" i="1"/>
  <c r="N75" i="1"/>
  <c r="N76" i="1"/>
  <c r="N77" i="1"/>
  <c r="N78" i="1"/>
  <c r="N79" i="1"/>
  <c r="N80" i="1"/>
  <c r="N81" i="1"/>
  <c r="N82" i="1"/>
  <c r="N711" i="1"/>
  <c r="N84" i="1"/>
  <c r="N250" i="1"/>
  <c r="N437" i="1"/>
  <c r="N87" i="1"/>
  <c r="N1063" i="1"/>
  <c r="N89" i="1"/>
  <c r="N506" i="1"/>
  <c r="N951" i="1"/>
  <c r="N92" i="1"/>
  <c r="N93" i="1"/>
  <c r="N659" i="1"/>
  <c r="N669" i="1"/>
  <c r="N96" i="1"/>
  <c r="N599" i="1"/>
  <c r="N628" i="1"/>
  <c r="N99" i="1"/>
  <c r="N994" i="1"/>
  <c r="N65" i="1"/>
  <c r="N102" i="1"/>
  <c r="N1167" i="1"/>
  <c r="N104" i="1"/>
  <c r="N105" i="1"/>
  <c r="N106" i="1"/>
  <c r="N107" i="1"/>
  <c r="N19" i="1"/>
  <c r="N916" i="1"/>
  <c r="N342" i="1"/>
  <c r="N616" i="1"/>
  <c r="N637" i="1"/>
  <c r="N544" i="1"/>
  <c r="N114" i="1"/>
  <c r="N13" i="1"/>
  <c r="N116" i="1"/>
  <c r="N117" i="1"/>
  <c r="N944" i="1"/>
  <c r="N543" i="1"/>
  <c r="N1189" i="1"/>
  <c r="N121" i="1"/>
  <c r="N576" i="1"/>
  <c r="N939" i="1"/>
  <c r="N124" i="1"/>
  <c r="N125" i="1"/>
  <c r="N311" i="1"/>
  <c r="N460" i="1"/>
  <c r="N299" i="1"/>
  <c r="N129" i="1"/>
  <c r="N130" i="1"/>
  <c r="N131" i="1"/>
  <c r="N186" i="1"/>
  <c r="N133" i="1"/>
  <c r="N672" i="1"/>
  <c r="N799" i="1"/>
  <c r="N335" i="1"/>
  <c r="N137" i="1"/>
  <c r="N286" i="1"/>
  <c r="N139" i="1"/>
  <c r="N140" i="1"/>
  <c r="N141" i="1"/>
  <c r="N142" i="1"/>
  <c r="N143" i="1"/>
  <c r="N112" i="1"/>
  <c r="N385" i="1"/>
  <c r="N164" i="1"/>
  <c r="N147" i="1"/>
  <c r="N148" i="1"/>
  <c r="N149" i="1"/>
  <c r="N150" i="1"/>
  <c r="N719" i="1"/>
  <c r="N152" i="1"/>
  <c r="N153" i="1"/>
  <c r="N154" i="1"/>
  <c r="N213" i="1"/>
  <c r="N156" i="1"/>
  <c r="N157" i="1"/>
  <c r="N564" i="1"/>
  <c r="N159" i="1"/>
  <c r="N620" i="1"/>
  <c r="N464" i="1"/>
  <c r="N992" i="1"/>
  <c r="N97" i="1"/>
  <c r="N652" i="1"/>
  <c r="N165" i="1"/>
  <c r="N166" i="1"/>
  <c r="N162" i="1"/>
  <c r="N168" i="1"/>
  <c r="N169" i="1"/>
  <c r="N170" i="1"/>
  <c r="N247" i="1"/>
  <c r="N172" i="1"/>
  <c r="N173" i="1"/>
  <c r="N773" i="1"/>
  <c r="N318" i="1"/>
  <c r="N365" i="1"/>
  <c r="N696" i="1"/>
  <c r="N178" i="1"/>
  <c r="N571" i="1"/>
  <c r="N180" i="1"/>
  <c r="N181" i="1"/>
  <c r="N182" i="1"/>
  <c r="N183" i="1"/>
  <c r="N184" i="1"/>
  <c r="N176" i="1"/>
  <c r="N691" i="1"/>
  <c r="N187" i="1"/>
  <c r="N185" i="1"/>
  <c r="N189" i="1"/>
  <c r="N190" i="1"/>
  <c r="N562" i="1"/>
  <c r="N476" i="1"/>
  <c r="N193" i="1"/>
  <c r="N194" i="1"/>
  <c r="N111" i="1"/>
  <c r="N196" i="1"/>
  <c r="N386" i="1"/>
  <c r="N198" i="1"/>
  <c r="N827" i="1"/>
  <c r="N101" i="1"/>
  <c r="N1128" i="1"/>
  <c r="N1033" i="1"/>
  <c r="N203" i="1"/>
  <c r="N204" i="1"/>
  <c r="N205" i="1"/>
  <c r="N206" i="1"/>
  <c r="N207" i="1"/>
  <c r="N208" i="1"/>
  <c r="N209" i="1"/>
  <c r="N210" i="1"/>
  <c r="N211" i="1"/>
  <c r="N212" i="1"/>
  <c r="N122" i="1"/>
  <c r="N94" i="1"/>
  <c r="N889" i="1"/>
  <c r="N216" i="1"/>
  <c r="N217" i="1"/>
  <c r="N816" i="1"/>
  <c r="N1097" i="1"/>
  <c r="N220" i="1"/>
  <c r="N693" i="1"/>
  <c r="N1052" i="1"/>
  <c r="N223" i="1"/>
  <c r="N224" i="1"/>
  <c r="N225" i="1"/>
  <c r="N536" i="1"/>
  <c r="N227" i="1"/>
  <c r="N228" i="1"/>
  <c r="N229" i="1"/>
  <c r="N230" i="1"/>
  <c r="N158" i="1"/>
  <c r="N936" i="1"/>
  <c r="N233" i="1"/>
  <c r="N234" i="1"/>
  <c r="N1157" i="1"/>
  <c r="N236" i="1"/>
  <c r="N237" i="1"/>
  <c r="N238" i="1"/>
  <c r="N239" i="1"/>
  <c r="N618" i="1"/>
  <c r="N241" i="1"/>
  <c r="N242" i="1"/>
  <c r="N243" i="1"/>
  <c r="N244" i="1"/>
  <c r="N245" i="1"/>
  <c r="N246" i="1"/>
  <c r="N1061" i="1"/>
  <c r="N248" i="1"/>
  <c r="N249" i="1"/>
  <c r="N86" i="1"/>
  <c r="N631" i="1"/>
  <c r="N188" i="1"/>
  <c r="N489" i="1"/>
  <c r="N1078" i="1"/>
  <c r="N255" i="1"/>
  <c r="N260" i="1"/>
  <c r="N56" i="1"/>
  <c r="N559" i="1"/>
  <c r="N871" i="1"/>
  <c r="N71" i="1"/>
  <c r="N958" i="1"/>
  <c r="N262" i="1"/>
  <c r="N431" i="1"/>
  <c r="N191" i="1"/>
  <c r="N966" i="1"/>
  <c r="N266" i="1"/>
  <c r="N267" i="1"/>
  <c r="N986" i="1"/>
  <c r="N295" i="1"/>
  <c r="N727" i="1"/>
  <c r="N271" i="1"/>
  <c r="N1139" i="1"/>
  <c r="N199" i="1"/>
  <c r="N758" i="1"/>
  <c r="N275" i="1"/>
  <c r="N276" i="1"/>
  <c r="N277" i="1"/>
  <c r="N278" i="1"/>
  <c r="N279" i="1"/>
  <c r="N410" i="1"/>
  <c r="N754" i="1"/>
  <c r="N671" i="1"/>
  <c r="N283" i="1"/>
  <c r="N284" i="1"/>
  <c r="N285" i="1"/>
  <c r="N427" i="1"/>
  <c r="N287" i="1"/>
  <c r="N288" i="1"/>
  <c r="N289" i="1"/>
  <c r="N290" i="1"/>
  <c r="N291" i="1"/>
  <c r="N292" i="1"/>
  <c r="N293" i="1"/>
  <c r="N294" i="1"/>
  <c r="N414" i="1"/>
  <c r="N1043" i="1"/>
  <c r="N297" i="1"/>
  <c r="N298" i="1"/>
  <c r="N272" i="1"/>
  <c r="N300" i="1"/>
  <c r="N301" i="1"/>
  <c r="N192" i="1"/>
  <c r="N303" i="1"/>
  <c r="N304" i="1"/>
  <c r="N3" i="1"/>
  <c r="N218" i="1"/>
  <c r="N307" i="1"/>
  <c r="N314" i="1"/>
  <c r="N309" i="1"/>
  <c r="N310" i="1"/>
  <c r="N538" i="1"/>
  <c r="N312" i="1"/>
  <c r="N313" i="1"/>
  <c r="N689" i="1"/>
  <c r="N264" i="1"/>
  <c r="N527" i="1"/>
  <c r="N317" i="1"/>
  <c r="N938" i="1"/>
  <c r="N319" i="1"/>
  <c r="N865" i="1"/>
  <c r="N321" i="1"/>
  <c r="N879" i="1"/>
  <c r="N723" i="1"/>
  <c r="N324" i="1"/>
  <c r="N664" i="1"/>
  <c r="N326" i="1"/>
  <c r="N512" i="1"/>
  <c r="N328" i="1"/>
  <c r="N61" i="1"/>
  <c r="N863" i="1"/>
  <c r="N331" i="1"/>
  <c r="N332" i="1"/>
  <c r="N333" i="1"/>
  <c r="N334" i="1"/>
  <c r="N602" i="1"/>
  <c r="N336" i="1"/>
  <c r="N337" i="1"/>
  <c r="N338" i="1"/>
  <c r="N339" i="1"/>
  <c r="N725" i="1"/>
  <c r="N341" i="1"/>
  <c r="N1007" i="1"/>
  <c r="N343" i="1"/>
  <c r="N134" i="1"/>
  <c r="N345" i="1"/>
  <c r="N346" i="1"/>
  <c r="N347" i="1"/>
  <c r="N614" i="1"/>
  <c r="N320" i="1"/>
  <c r="N350" i="1"/>
  <c r="N635" i="1"/>
  <c r="N930" i="1"/>
  <c r="N1130" i="1"/>
  <c r="N354" i="1"/>
  <c r="N1044" i="1"/>
  <c r="N356" i="1"/>
  <c r="N357" i="1"/>
  <c r="N932" i="1"/>
  <c r="N359" i="1"/>
  <c r="N1190" i="1"/>
  <c r="N361" i="1"/>
  <c r="N534" i="1"/>
  <c r="N834" i="1"/>
  <c r="N364" i="1"/>
  <c r="N109" i="1"/>
  <c r="N366" i="1"/>
  <c r="N177" i="1"/>
  <c r="N829" i="1"/>
  <c r="N369" i="1"/>
  <c r="N174" i="1"/>
  <c r="N371" i="1"/>
  <c r="N372" i="1"/>
  <c r="N373" i="1"/>
  <c r="N374" i="1"/>
  <c r="N375" i="1"/>
  <c r="N376" i="1"/>
  <c r="N518" i="1"/>
  <c r="N378" i="1"/>
  <c r="N379" i="1"/>
  <c r="N380" i="1"/>
  <c r="N478" i="1"/>
  <c r="N382" i="1"/>
  <c r="N383" i="1"/>
  <c r="N384" i="1"/>
  <c r="N566" i="1"/>
  <c r="N1114" i="1"/>
  <c r="N486" i="1"/>
  <c r="N388" i="1"/>
  <c r="N256" i="1"/>
  <c r="N390" i="1"/>
  <c r="N391" i="1"/>
  <c r="N392" i="1"/>
  <c r="N393" i="1"/>
  <c r="N394" i="1"/>
  <c r="N962" i="1"/>
  <c r="N396" i="1"/>
  <c r="N397" i="1"/>
  <c r="N1056" i="1"/>
  <c r="N1196" i="1"/>
  <c r="N684" i="1"/>
  <c r="N401" i="1"/>
  <c r="N402" i="1"/>
  <c r="N1075" i="1"/>
  <c r="N27" i="1"/>
  <c r="N1123" i="1"/>
  <c r="N406" i="1"/>
  <c r="N163" i="1"/>
  <c r="N408" i="1"/>
  <c r="N409" i="1"/>
  <c r="N344" i="1"/>
  <c r="N411" i="1"/>
  <c r="N914" i="1"/>
  <c r="N413" i="1"/>
  <c r="N1136" i="1"/>
  <c r="N415" i="1"/>
  <c r="N416" i="1"/>
  <c r="N606" i="1"/>
  <c r="N418" i="1"/>
  <c r="N269" i="1"/>
  <c r="N1106" i="1"/>
  <c r="N421" i="1"/>
  <c r="N422" i="1"/>
  <c r="N423" i="1"/>
  <c r="N377" i="1"/>
  <c r="N425" i="1"/>
  <c r="N426" i="1"/>
  <c r="N904" i="1"/>
  <c r="N428" i="1"/>
  <c r="N429" i="1"/>
  <c r="N430" i="1"/>
  <c r="N974" i="1"/>
  <c r="N432" i="1"/>
  <c r="N433" i="1"/>
  <c r="N1037" i="1"/>
  <c r="N471" i="1"/>
  <c r="N436" i="1"/>
  <c r="N497" i="1"/>
  <c r="N98" i="1"/>
  <c r="N703" i="1"/>
  <c r="N440" i="1"/>
  <c r="N441" i="1"/>
  <c r="N43" i="1"/>
  <c r="N443" i="1"/>
  <c r="N444" i="1"/>
  <c r="N964" i="1"/>
  <c r="N796" i="1"/>
  <c r="N473" i="1"/>
  <c r="N438" i="1"/>
  <c r="N449" i="1"/>
  <c r="N450" i="1"/>
  <c r="N553" i="1"/>
  <c r="N452" i="1"/>
  <c r="N1054" i="1"/>
  <c r="N454" i="1"/>
  <c r="N329" i="1"/>
  <c r="N340" i="1"/>
  <c r="N956" i="1"/>
  <c r="N626" i="1"/>
  <c r="N459" i="1"/>
  <c r="N798" i="1"/>
  <c r="N540" i="1"/>
  <c r="N462" i="1"/>
  <c r="N144" i="1"/>
  <c r="N771" i="1"/>
  <c r="N465" i="1"/>
  <c r="N327" i="1"/>
  <c r="N231" i="1"/>
  <c r="N403" i="1"/>
  <c r="N469" i="1"/>
  <c r="N470" i="1"/>
  <c r="N1085" i="1"/>
  <c r="N472" i="1"/>
  <c r="N1077" i="1"/>
  <c r="N474" i="1"/>
  <c r="N733" i="1"/>
  <c r="N646" i="1"/>
  <c r="N615" i="1"/>
  <c r="N923" i="1"/>
  <c r="N479" i="1"/>
  <c r="N480" i="1"/>
  <c r="N1068" i="1"/>
  <c r="N482" i="1"/>
  <c r="N483" i="1"/>
  <c r="N484" i="1"/>
  <c r="N485" i="1"/>
  <c r="N265" i="1"/>
  <c r="N868" i="1"/>
  <c r="N488" i="1"/>
  <c r="N1019" i="1"/>
  <c r="N1010" i="1"/>
  <c r="N491" i="1"/>
  <c r="N810" i="1"/>
  <c r="N493" i="1"/>
  <c r="N494" i="1"/>
  <c r="N495" i="1"/>
  <c r="N496" i="1"/>
  <c r="N126" i="1"/>
  <c r="N498" i="1"/>
  <c r="N499" i="1"/>
  <c r="N500" i="1"/>
  <c r="N971" i="1"/>
  <c r="N668" i="1"/>
  <c r="N1197" i="1"/>
  <c r="N504" i="1"/>
  <c r="N1084" i="1"/>
  <c r="N200" i="1"/>
  <c r="N507" i="1"/>
  <c r="N508" i="1"/>
  <c r="N1081" i="1"/>
  <c r="N510" i="1"/>
  <c r="N511" i="1"/>
  <c r="N387" i="1"/>
  <c r="N513" i="1"/>
  <c r="N514" i="1"/>
  <c r="N515" i="1"/>
  <c r="N516" i="1"/>
  <c r="N517" i="1"/>
  <c r="N528" i="1"/>
  <c r="N519" i="1"/>
  <c r="N520" i="1"/>
  <c r="N1187" i="1"/>
  <c r="N522" i="1"/>
  <c r="N252" i="1"/>
  <c r="N524" i="1"/>
  <c r="N783" i="1"/>
  <c r="N526" i="1"/>
  <c r="N698" i="1"/>
  <c r="N929" i="1"/>
  <c r="N529" i="1"/>
  <c r="N530" i="1"/>
  <c r="N467" i="1"/>
  <c r="N933" i="1"/>
  <c r="N533" i="1"/>
  <c r="N251" i="1"/>
  <c r="N1158" i="1"/>
  <c r="N330" i="1"/>
  <c r="N537" i="1"/>
  <c r="N786" i="1"/>
  <c r="N539" i="1"/>
  <c r="N424" i="1"/>
  <c r="N887" i="1"/>
  <c r="N542" i="1"/>
  <c r="N160" i="1"/>
  <c r="N115" i="1"/>
  <c r="N545" i="1"/>
  <c r="N546" i="1"/>
  <c r="N547" i="1"/>
  <c r="N151" i="1"/>
  <c r="N549" i="1"/>
  <c r="N550" i="1"/>
  <c r="N551" i="1"/>
  <c r="N552" i="1"/>
  <c r="N913" i="1"/>
  <c r="N554" i="1"/>
  <c r="N132" i="1"/>
  <c r="N556" i="1"/>
  <c r="N1040" i="1"/>
  <c r="N991" i="1"/>
  <c r="N502" i="1"/>
  <c r="N1137" i="1"/>
  <c r="N561" i="1"/>
  <c r="N1141" i="1"/>
  <c r="N776" i="1"/>
  <c r="N1042" i="1"/>
  <c r="N565" i="1"/>
  <c r="N487" i="1"/>
  <c r="N567" i="1"/>
  <c r="N568" i="1"/>
  <c r="N49" i="1"/>
  <c r="N570" i="1"/>
  <c r="N11" i="1"/>
  <c r="N572" i="1"/>
  <c r="N680" i="1"/>
  <c r="N434" i="1"/>
  <c r="N575" i="1"/>
  <c r="N475" i="1"/>
  <c r="N577" i="1"/>
  <c r="N578" i="1"/>
  <c r="N579" i="1"/>
  <c r="N580" i="1"/>
  <c r="N581" i="1"/>
  <c r="N582" i="1"/>
  <c r="N583" i="1"/>
  <c r="N584" i="1"/>
  <c r="N585" i="1"/>
  <c r="N1083" i="1"/>
  <c r="N4" i="1"/>
  <c r="N588" i="1"/>
  <c r="N589" i="1"/>
  <c r="N869" i="1"/>
  <c r="N591" i="1"/>
  <c r="N592" i="1"/>
  <c r="N1029" i="1"/>
  <c r="N594" i="1"/>
  <c r="N595" i="1"/>
  <c r="N596" i="1"/>
  <c r="N399" i="1"/>
  <c r="N598" i="1"/>
  <c r="N728" i="1"/>
  <c r="N175" i="1"/>
  <c r="N601" i="1"/>
  <c r="N1017" i="1"/>
  <c r="N603" i="1"/>
  <c r="N604" i="1"/>
  <c r="N782" i="1"/>
  <c r="N419" i="1"/>
  <c r="N894" i="1"/>
  <c r="N608" i="1"/>
  <c r="N609" i="1"/>
  <c r="N610" i="1"/>
  <c r="N611" i="1"/>
  <c r="N1180" i="1"/>
  <c r="N64" i="1"/>
  <c r="N686" i="1"/>
  <c r="N710" i="1"/>
  <c r="N455" i="1"/>
  <c r="N617" i="1"/>
  <c r="N128" i="1"/>
  <c r="N619" i="1"/>
  <c r="N353" i="1"/>
  <c r="N621" i="1"/>
  <c r="N155" i="1"/>
  <c r="N623" i="1"/>
  <c r="N624" i="1"/>
  <c r="N625" i="1"/>
  <c r="N541" i="1"/>
  <c r="N1133" i="1"/>
  <c r="N254" i="1"/>
  <c r="N629" i="1"/>
  <c r="N630" i="1"/>
  <c r="N445" i="1"/>
  <c r="N197" i="1"/>
  <c r="N1101" i="1"/>
  <c r="N634" i="1"/>
  <c r="N644" i="1"/>
  <c r="N636" i="1"/>
  <c r="N1186" i="1"/>
  <c r="N638" i="1"/>
  <c r="N639" i="1"/>
  <c r="N640" i="1"/>
  <c r="N641" i="1"/>
  <c r="N642" i="1"/>
  <c r="N643" i="1"/>
  <c r="N1168" i="1"/>
  <c r="N645" i="1"/>
  <c r="N573" i="1"/>
  <c r="N647" i="1"/>
  <c r="N648" i="1"/>
  <c r="N924" i="1"/>
  <c r="N650" i="1"/>
  <c r="N405" i="1"/>
  <c r="N1181" i="1"/>
  <c r="N653" i="1"/>
  <c r="N654" i="1"/>
  <c r="N999" i="1"/>
  <c r="N656" i="1"/>
  <c r="N167" i="1"/>
  <c r="N658" i="1"/>
  <c r="N322" i="1"/>
  <c r="N179" i="1"/>
  <c r="N661" i="1"/>
  <c r="N274" i="1"/>
  <c r="N1153" i="1"/>
  <c r="N404" i="1"/>
  <c r="N665" i="1"/>
  <c r="N666" i="1"/>
  <c r="N667" i="1"/>
  <c r="N855" i="1"/>
  <c r="N937" i="1"/>
  <c r="N670" i="1"/>
  <c r="N305" i="1"/>
  <c r="N439" i="1"/>
  <c r="N673" i="1"/>
  <c r="N448" i="1"/>
  <c r="N1014" i="1"/>
  <c r="N676" i="1"/>
  <c r="N590" i="1"/>
  <c r="N678" i="1"/>
  <c r="N679" i="1"/>
  <c r="N451" i="1"/>
  <c r="N681" i="1"/>
  <c r="N682" i="1"/>
  <c r="N683" i="1"/>
  <c r="N138" i="1"/>
  <c r="N685" i="1"/>
  <c r="N1125" i="1"/>
  <c r="N435" i="1"/>
  <c r="N688" i="1"/>
  <c r="N57" i="1"/>
  <c r="N978" i="1"/>
  <c r="N605" i="1"/>
  <c r="N461" i="1"/>
  <c r="N477" i="1"/>
  <c r="N694" i="1"/>
  <c r="N695" i="1"/>
  <c r="N259" i="1"/>
  <c r="N697" i="1"/>
  <c r="N323" i="1"/>
  <c r="N699" i="1"/>
  <c r="N746" i="1"/>
  <c r="N701" i="1"/>
  <c r="N702" i="1"/>
  <c r="N40" i="1"/>
  <c r="N704" i="1"/>
  <c r="N705" i="1"/>
  <c r="N706" i="1"/>
  <c r="N707" i="1"/>
  <c r="N54" i="1"/>
  <c r="N709" i="1"/>
  <c r="N59" i="1"/>
  <c r="N55" i="1"/>
  <c r="N762" i="1"/>
  <c r="N713" i="1"/>
  <c r="N627" i="1"/>
  <c r="N715" i="1"/>
  <c r="N716" i="1"/>
  <c r="N717" i="1"/>
  <c r="N718" i="1"/>
  <c r="N281" i="1"/>
  <c r="N720" i="1"/>
  <c r="N721" i="1"/>
  <c r="N722" i="1"/>
  <c r="N826" i="1"/>
  <c r="N724" i="1"/>
  <c r="N622" i="1"/>
  <c r="N751" i="1"/>
  <c r="N25" i="1"/>
  <c r="N100" i="1"/>
  <c r="N729" i="1"/>
  <c r="N730" i="1"/>
  <c r="N731" i="1"/>
  <c r="N732" i="1"/>
  <c r="N360" i="1"/>
  <c r="N734" i="1"/>
  <c r="N747" i="1"/>
  <c r="N736" i="1"/>
  <c r="N737" i="1"/>
  <c r="N649" i="1"/>
  <c r="N1034" i="1"/>
  <c r="N367" i="1"/>
  <c r="N741" i="1"/>
  <c r="N742" i="1"/>
  <c r="N743" i="1"/>
  <c r="N744" i="1"/>
  <c r="N201" i="1"/>
  <c r="N456" i="1"/>
  <c r="N764" i="1"/>
  <c r="N748" i="1"/>
  <c r="N677" i="1"/>
  <c r="N74" i="1"/>
  <c r="N633" i="1"/>
  <c r="N752" i="1"/>
  <c r="N753" i="1"/>
  <c r="N901" i="1"/>
  <c r="N755" i="1"/>
  <c r="N1090" i="1"/>
  <c r="N757" i="1"/>
  <c r="N1132" i="1"/>
  <c r="N1003" i="1"/>
  <c r="N760" i="1"/>
  <c r="N1151" i="1"/>
  <c r="N712" i="1"/>
  <c r="N161" i="1"/>
  <c r="N781" i="1"/>
  <c r="N108" i="1"/>
  <c r="N766" i="1"/>
  <c r="N767" i="1"/>
  <c r="N768" i="1"/>
  <c r="N769" i="1"/>
  <c r="N770" i="1"/>
  <c r="N858" i="1"/>
  <c r="N772" i="1"/>
  <c r="N10" i="1"/>
  <c r="N819" i="1"/>
  <c r="N775" i="1"/>
  <c r="N1031" i="1"/>
  <c r="N777" i="1"/>
  <c r="N778" i="1"/>
  <c r="N779" i="1"/>
  <c r="N780" i="1"/>
  <c r="N657" i="1"/>
  <c r="N222" i="1"/>
  <c r="N302" i="1"/>
  <c r="N784" i="1"/>
  <c r="N569" i="1"/>
  <c r="N535" i="1"/>
  <c r="N787" i="1"/>
  <c r="N788" i="1"/>
  <c r="N789" i="1"/>
  <c r="N790" i="1"/>
  <c r="N791" i="1"/>
  <c r="N792" i="1"/>
  <c r="N793" i="1"/>
  <c r="N794" i="1"/>
  <c r="N651" i="1"/>
  <c r="N1004" i="1"/>
  <c r="N797" i="1"/>
  <c r="N325" i="1"/>
  <c r="N920" i="1"/>
  <c r="N800" i="1"/>
  <c r="N801" i="1"/>
  <c r="N802" i="1"/>
  <c r="N803" i="1"/>
  <c r="N804" i="1"/>
  <c r="N221" i="1"/>
  <c r="N806" i="1"/>
  <c r="N807" i="1"/>
  <c r="N808" i="1"/>
  <c r="N809" i="1"/>
  <c r="N381" i="1"/>
  <c r="N811" i="1"/>
  <c r="N968" i="1"/>
  <c r="N813" i="1"/>
  <c r="N814" i="1"/>
  <c r="N815" i="1"/>
  <c r="N557" i="1"/>
  <c r="N525" i="1"/>
  <c r="N349" i="1"/>
  <c r="N457" i="1"/>
  <c r="N24" i="1"/>
  <c r="N821" i="1"/>
  <c r="N822" i="1"/>
  <c r="N823" i="1"/>
  <c r="N824" i="1"/>
  <c r="N825" i="1"/>
  <c r="N67" i="1"/>
  <c r="N997" i="1"/>
  <c r="N828" i="1"/>
  <c r="N1072" i="1"/>
  <c r="N830" i="1"/>
  <c r="N831" i="1"/>
  <c r="N832" i="1"/>
  <c r="N833" i="1"/>
  <c r="N761" i="1"/>
  <c r="N835" i="1"/>
  <c r="N836" i="1"/>
  <c r="N915" i="1"/>
  <c r="N838" i="1"/>
  <c r="N839" i="1"/>
  <c r="N351" i="1"/>
  <c r="N660" i="1"/>
  <c r="N842" i="1"/>
  <c r="N843" i="1"/>
  <c r="N490" i="1"/>
  <c r="N845" i="1"/>
  <c r="N846" i="1"/>
  <c r="N756" i="1"/>
  <c r="N501" i="1"/>
  <c r="N849" i="1"/>
  <c r="N1073" i="1"/>
  <c r="N851" i="1"/>
  <c r="N852" i="1"/>
  <c r="N853" i="1"/>
  <c r="N854" i="1"/>
  <c r="N214" i="1"/>
  <c r="N503" i="1"/>
  <c r="N857" i="1"/>
  <c r="N735" i="1"/>
  <c r="N859" i="1"/>
  <c r="N860" i="1"/>
  <c r="N861" i="1"/>
  <c r="N740" i="1"/>
  <c r="N692" i="1"/>
  <c r="N864" i="1"/>
  <c r="N1058" i="1"/>
  <c r="N663" i="1"/>
  <c r="N867" i="1"/>
  <c r="N763" i="1"/>
  <c r="N818" i="1"/>
  <c r="N273" i="1"/>
  <c r="N586" i="1"/>
  <c r="N91" i="1"/>
  <c r="N873" i="1"/>
  <c r="N874" i="1"/>
  <c r="N875" i="1"/>
  <c r="N1105" i="1"/>
  <c r="N558" i="1"/>
  <c r="N995" i="1"/>
  <c r="N15" i="1"/>
  <c r="N880" i="1"/>
  <c r="N881" i="1"/>
  <c r="N882" i="1"/>
  <c r="N883" i="1"/>
  <c r="N884" i="1"/>
  <c r="N113" i="1"/>
  <c r="N886" i="1"/>
  <c r="N1005" i="1"/>
  <c r="N888" i="1"/>
  <c r="N505" i="1"/>
  <c r="N890" i="1"/>
  <c r="N891" i="1"/>
  <c r="N892" i="1"/>
  <c r="N893" i="1"/>
  <c r="N935" i="1"/>
  <c r="N895" i="1"/>
  <c r="N896" i="1"/>
  <c r="N897" i="1"/>
  <c r="N898" i="1"/>
  <c r="N899" i="1"/>
  <c r="N900" i="1"/>
  <c r="N442" i="1"/>
  <c r="N902" i="1"/>
  <c r="N765" i="1"/>
  <c r="N866" i="1"/>
  <c r="N905" i="1"/>
  <c r="N906" i="1"/>
  <c r="N700" i="1"/>
  <c r="N908" i="1"/>
  <c r="N909" i="1"/>
  <c r="N910" i="1"/>
  <c r="N911" i="1"/>
  <c r="N587" i="1"/>
  <c r="N523" i="1"/>
  <c r="N348" i="1"/>
  <c r="N805" i="1"/>
  <c r="N453" i="1"/>
  <c r="N917" i="1"/>
  <c r="N918" i="1"/>
  <c r="N919" i="1"/>
  <c r="N1193" i="1"/>
  <c r="N921" i="1"/>
  <c r="N922" i="1"/>
  <c r="N1011" i="1"/>
  <c r="N1060" i="1"/>
  <c r="N548" i="1"/>
  <c r="N926" i="1"/>
  <c r="N927" i="1"/>
  <c r="N928" i="1"/>
  <c r="N738" i="1"/>
  <c r="N1145" i="1"/>
  <c r="N60" i="1"/>
  <c r="N750" i="1"/>
  <c r="N687" i="1"/>
  <c r="N934" i="1"/>
  <c r="N400" i="1"/>
  <c r="N690" i="1"/>
  <c r="N270" i="1"/>
  <c r="N17" i="1"/>
  <c r="N1104" i="1"/>
  <c r="N940" i="1"/>
  <c r="N941" i="1"/>
  <c r="N942" i="1"/>
  <c r="N943" i="1"/>
  <c r="N1046" i="1"/>
  <c r="N945" i="1"/>
  <c r="N946" i="1"/>
  <c r="N993" i="1"/>
  <c r="N948" i="1"/>
  <c r="N51" i="1"/>
  <c r="N950" i="1"/>
  <c r="N1183" i="1"/>
  <c r="N952" i="1"/>
  <c r="N953" i="1"/>
  <c r="N954" i="1"/>
  <c r="N955" i="1"/>
  <c r="N795" i="1"/>
  <c r="N957" i="1"/>
  <c r="N574" i="1"/>
  <c r="N959" i="1"/>
  <c r="N960" i="1"/>
  <c r="N961" i="1"/>
  <c r="N136" i="1"/>
  <c r="N963" i="1"/>
  <c r="N258" i="1"/>
  <c r="N965" i="1"/>
  <c r="N83" i="1"/>
  <c r="N632" i="1"/>
  <c r="N362" i="1"/>
  <c r="N969" i="1"/>
  <c r="N970" i="1"/>
  <c r="N352" i="1"/>
  <c r="N972" i="1"/>
  <c r="N973" i="1"/>
  <c r="N675" i="1"/>
  <c r="N975" i="1"/>
  <c r="N976" i="1"/>
  <c r="N977" i="1"/>
  <c r="N235" i="1"/>
  <c r="N979" i="1"/>
  <c r="N980" i="1"/>
  <c r="N981" i="1"/>
  <c r="N481" i="1"/>
  <c r="N983" i="1"/>
  <c r="N984" i="1"/>
  <c r="N985" i="1"/>
  <c r="N135" i="1"/>
  <c r="N987" i="1"/>
  <c r="N988" i="1"/>
  <c r="N989" i="1"/>
  <c r="N990" i="1"/>
  <c r="N1163" i="1"/>
  <c r="N119" i="1"/>
  <c r="N308" i="1"/>
  <c r="N1177" i="1"/>
  <c r="N120" i="1"/>
  <c r="N612" i="1"/>
  <c r="N389" i="1"/>
  <c r="N998" i="1"/>
  <c r="N118" i="1"/>
  <c r="N1000" i="1"/>
  <c r="N355" i="1"/>
  <c r="N1002" i="1"/>
  <c r="N145" i="1"/>
  <c r="N785" i="1"/>
  <c r="N370" i="1"/>
  <c r="N447" i="1"/>
  <c r="N1138" i="1"/>
  <c r="N1008" i="1"/>
  <c r="N1009" i="1"/>
  <c r="N127" i="1"/>
  <c r="N759" i="1"/>
  <c r="N1012" i="1"/>
  <c r="N1013" i="1"/>
  <c r="N420" i="1"/>
  <c r="N1015" i="1"/>
  <c r="N1016" i="1"/>
  <c r="N1048" i="1"/>
  <c r="N1018" i="1"/>
  <c r="N1165" i="1"/>
  <c r="N1020" i="1"/>
  <c r="N1021" i="1"/>
  <c r="N1022" i="1"/>
  <c r="N1023" i="1"/>
  <c r="N1024" i="1"/>
  <c r="N1025" i="1"/>
  <c r="N1026" i="1"/>
  <c r="N1027" i="1"/>
  <c r="N1028" i="1"/>
  <c r="N847" i="1"/>
  <c r="N1030" i="1"/>
  <c r="N368" i="1"/>
  <c r="N1032" i="1"/>
  <c r="N257" i="1"/>
  <c r="N1178" i="1"/>
  <c r="N1035" i="1"/>
  <c r="N1036" i="1"/>
  <c r="N30" i="1"/>
  <c r="N1038" i="1"/>
  <c r="N1039" i="1"/>
  <c r="N655" i="1"/>
  <c r="N1041" i="1"/>
  <c r="N88" i="1"/>
  <c r="N1001" i="1"/>
  <c r="N749" i="1"/>
  <c r="N1045" i="1"/>
  <c r="N870" i="1"/>
  <c r="N1047" i="1"/>
  <c r="N9" i="1"/>
  <c r="N1049" i="1"/>
  <c r="N1050" i="1"/>
  <c r="N1051" i="1"/>
  <c r="N306" i="1"/>
  <c r="N1053" i="1"/>
  <c r="N1201" i="1"/>
  <c r="N1055" i="1"/>
  <c r="N947" i="1"/>
  <c r="N1057" i="1"/>
  <c r="N1119" i="1"/>
  <c r="N912" i="1"/>
  <c r="N468" i="1"/>
  <c r="N844" i="1"/>
  <c r="N1062" i="1"/>
  <c r="N315" i="1"/>
  <c r="N1064" i="1"/>
  <c r="N1065" i="1"/>
  <c r="N1066" i="1"/>
  <c r="N1067" i="1"/>
  <c r="N1059" i="1"/>
  <c r="N1069" i="1"/>
  <c r="N1070" i="1"/>
  <c r="N1071" i="1"/>
  <c r="N531" i="1"/>
  <c r="N714" i="1"/>
  <c r="N1074" i="1"/>
  <c r="N949" i="1"/>
  <c r="N1076" i="1"/>
  <c r="N226" i="1"/>
  <c r="N1148" i="1"/>
  <c r="N1079" i="1"/>
  <c r="N1080" i="1"/>
  <c r="N593" i="1"/>
  <c r="N407" i="1"/>
  <c r="N885" i="1"/>
  <c r="N123" i="1"/>
  <c r="N14" i="1"/>
  <c r="N1086" i="1"/>
  <c r="N1087" i="1"/>
  <c r="N1088" i="1"/>
  <c r="N1089" i="1"/>
  <c r="N1082" i="1"/>
  <c r="N1091" i="1"/>
  <c r="N872" i="1"/>
  <c r="N1093" i="1"/>
  <c r="N1094" i="1"/>
  <c r="N1095" i="1"/>
  <c r="N1096" i="1"/>
  <c r="N219" i="1"/>
  <c r="N1098" i="1"/>
  <c r="N1099" i="1"/>
  <c r="N1100" i="1"/>
  <c r="N850" i="1"/>
  <c r="N1102" i="1"/>
  <c r="N674" i="1"/>
  <c r="N521" i="1"/>
  <c r="N509" i="1"/>
  <c r="N903" i="1"/>
  <c r="N1107" i="1"/>
  <c r="N1108" i="1"/>
  <c r="N1109" i="1"/>
  <c r="N1110" i="1"/>
  <c r="N1111" i="1"/>
  <c r="N1112" i="1"/>
  <c r="N1113" i="1"/>
  <c r="N817" i="1"/>
  <c r="N1115" i="1"/>
  <c r="N1116" i="1"/>
  <c r="N1117" i="1"/>
  <c r="N1118" i="1"/>
  <c r="N876" i="1"/>
  <c r="N1120" i="1"/>
  <c r="N1121" i="1"/>
  <c r="N1122" i="1"/>
  <c r="N848" i="1"/>
  <c r="N1124" i="1"/>
  <c r="N996" i="1"/>
  <c r="N1126" i="1"/>
  <c r="N1127" i="1"/>
  <c r="N837" i="1"/>
  <c r="N1129" i="1"/>
  <c r="N232" i="1"/>
  <c r="N1131" i="1"/>
  <c r="N555" i="1"/>
  <c r="N600" i="1"/>
  <c r="N1134" i="1"/>
  <c r="N597" i="1"/>
  <c r="N85" i="1"/>
  <c r="N1103" i="1"/>
  <c r="N1172" i="1"/>
  <c r="N463" i="1"/>
  <c r="N1140" i="1"/>
  <c r="N253" i="1"/>
  <c r="N1142" i="1"/>
  <c r="N1143" i="1"/>
  <c r="N1144" i="1"/>
  <c r="N856" i="1"/>
  <c r="N1146" i="1"/>
  <c r="N1147" i="1"/>
  <c r="N1006" i="1"/>
  <c r="N1149" i="1"/>
  <c r="N1150" i="1"/>
  <c r="N412" i="1"/>
  <c r="N1152" i="1"/>
  <c r="N925" i="1"/>
  <c r="N1154" i="1"/>
  <c r="N1155" i="1"/>
  <c r="N1156" i="1"/>
  <c r="N95" i="1"/>
  <c r="N607" i="1"/>
  <c r="N1159" i="1"/>
  <c r="N1160" i="1"/>
  <c r="N1161" i="1"/>
  <c r="N1162" i="1"/>
  <c r="N820" i="1"/>
  <c r="N1164" i="1"/>
  <c r="N195" i="1"/>
  <c r="N1166" i="1"/>
  <c r="N877" i="1"/>
  <c r="N931" i="1"/>
  <c r="N1169" i="1"/>
  <c r="N1170" i="1"/>
  <c r="N1171" i="1"/>
  <c r="N878" i="1"/>
  <c r="N1173" i="1"/>
  <c r="N1174" i="1"/>
  <c r="N1175" i="1"/>
  <c r="N1176" i="1"/>
  <c r="N29" i="1"/>
  <c r="N263" i="1"/>
  <c r="N1179" i="1"/>
  <c r="N363" i="1"/>
  <c r="N268" i="1"/>
  <c r="N1182" i="1"/>
  <c r="N840" i="1"/>
  <c r="N1184" i="1"/>
  <c r="N1185" i="1"/>
  <c r="N862" i="1"/>
  <c r="N466" i="1"/>
  <c r="N1188" i="1"/>
  <c r="N726" i="1"/>
  <c r="N398" i="1"/>
  <c r="N1191" i="1"/>
  <c r="N1192" i="1"/>
  <c r="N395" i="1"/>
  <c r="N1194" i="1"/>
  <c r="N1195" i="1"/>
  <c r="N841" i="1"/>
  <c r="N215" i="1"/>
  <c r="N1198" i="1"/>
  <c r="N1199" i="1"/>
  <c r="N1200" i="1"/>
  <c r="N560" i="1"/>
  <c r="M2" i="1"/>
  <c r="M967" i="1"/>
  <c r="M240" i="1"/>
  <c r="M5" i="1"/>
  <c r="M6" i="1"/>
  <c r="M7" i="1"/>
  <c r="M8" i="1"/>
  <c r="M296" i="1"/>
  <c r="M41" i="1"/>
  <c r="M745" i="1"/>
  <c r="M12" i="1"/>
  <c r="M358" i="1"/>
  <c r="M907" i="1"/>
  <c r="M202" i="1"/>
  <c r="M16" i="1"/>
  <c r="M446" i="1"/>
  <c r="M18" i="1"/>
  <c r="M110" i="1"/>
  <c r="M20" i="1"/>
  <c r="M21" i="1"/>
  <c r="M22" i="1"/>
  <c r="M23" i="1"/>
  <c r="M982" i="1"/>
  <c r="M280" i="1"/>
  <c r="M26" i="1"/>
  <c r="M662" i="1"/>
  <c r="M28" i="1"/>
  <c r="M1135" i="1"/>
  <c r="M708" i="1"/>
  <c r="M31" i="1"/>
  <c r="M32" i="1"/>
  <c r="M33" i="1"/>
  <c r="M34" i="1"/>
  <c r="M35" i="1"/>
  <c r="M36" i="1"/>
  <c r="M37" i="1"/>
  <c r="M38" i="1"/>
  <c r="M39" i="1"/>
  <c r="M417" i="1"/>
  <c r="M739" i="1"/>
  <c r="M42" i="1"/>
  <c r="M316" i="1"/>
  <c r="M44" i="1"/>
  <c r="M45" i="1"/>
  <c r="M46" i="1"/>
  <c r="M47" i="1"/>
  <c r="M48" i="1"/>
  <c r="M812" i="1"/>
  <c r="M50" i="1"/>
  <c r="M90" i="1"/>
  <c r="M52" i="1"/>
  <c r="M53" i="1"/>
  <c r="M73" i="1"/>
  <c r="M261" i="1"/>
  <c r="M492" i="1"/>
  <c r="M103" i="1"/>
  <c r="M58" i="1"/>
  <c r="M458" i="1"/>
  <c r="M774" i="1"/>
  <c r="M282" i="1"/>
  <c r="M62" i="1"/>
  <c r="M63" i="1"/>
  <c r="M171" i="1"/>
  <c r="M613" i="1"/>
  <c r="M66" i="1"/>
  <c r="M563" i="1"/>
  <c r="M68" i="1"/>
  <c r="M69" i="1"/>
  <c r="M70" i="1"/>
  <c r="M532" i="1"/>
  <c r="M72" i="1"/>
  <c r="M1092" i="1"/>
  <c r="M146" i="1"/>
  <c r="M75" i="1"/>
  <c r="M76" i="1"/>
  <c r="M77" i="1"/>
  <c r="M78" i="1"/>
  <c r="M79" i="1"/>
  <c r="M80" i="1"/>
  <c r="M81" i="1"/>
  <c r="M82" i="1"/>
  <c r="M711" i="1"/>
  <c r="M84" i="1"/>
  <c r="M250" i="1"/>
  <c r="M437" i="1"/>
  <c r="M87" i="1"/>
  <c r="M1063" i="1"/>
  <c r="M89" i="1"/>
  <c r="M506" i="1"/>
  <c r="M951" i="1"/>
  <c r="M92" i="1"/>
  <c r="M93" i="1"/>
  <c r="M659" i="1"/>
  <c r="M669" i="1"/>
  <c r="M96" i="1"/>
  <c r="M599" i="1"/>
  <c r="M628" i="1"/>
  <c r="M99" i="1"/>
  <c r="M994" i="1"/>
  <c r="M65" i="1"/>
  <c r="M102" i="1"/>
  <c r="M1167" i="1"/>
  <c r="M104" i="1"/>
  <c r="M105" i="1"/>
  <c r="M106" i="1"/>
  <c r="M107" i="1"/>
  <c r="M19" i="1"/>
  <c r="M916" i="1"/>
  <c r="M342" i="1"/>
  <c r="M616" i="1"/>
  <c r="M637" i="1"/>
  <c r="M544" i="1"/>
  <c r="M114" i="1"/>
  <c r="M13" i="1"/>
  <c r="M116" i="1"/>
  <c r="M117" i="1"/>
  <c r="M944" i="1"/>
  <c r="M543" i="1"/>
  <c r="M1189" i="1"/>
  <c r="M121" i="1"/>
  <c r="M576" i="1"/>
  <c r="M939" i="1"/>
  <c r="M124" i="1"/>
  <c r="M125" i="1"/>
  <c r="M311" i="1"/>
  <c r="M460" i="1"/>
  <c r="M299" i="1"/>
  <c r="M129" i="1"/>
  <c r="M130" i="1"/>
  <c r="M131" i="1"/>
  <c r="M186" i="1"/>
  <c r="M133" i="1"/>
  <c r="M672" i="1"/>
  <c r="M799" i="1"/>
  <c r="M335" i="1"/>
  <c r="M137" i="1"/>
  <c r="M286" i="1"/>
  <c r="M139" i="1"/>
  <c r="M140" i="1"/>
  <c r="M141" i="1"/>
  <c r="M142" i="1"/>
  <c r="M143" i="1"/>
  <c r="M112" i="1"/>
  <c r="M385" i="1"/>
  <c r="M164" i="1"/>
  <c r="M147" i="1"/>
  <c r="M148" i="1"/>
  <c r="M149" i="1"/>
  <c r="M150" i="1"/>
  <c r="M719" i="1"/>
  <c r="M152" i="1"/>
  <c r="M153" i="1"/>
  <c r="M154" i="1"/>
  <c r="M213" i="1"/>
  <c r="M156" i="1"/>
  <c r="M157" i="1"/>
  <c r="M564" i="1"/>
  <c r="M159" i="1"/>
  <c r="M620" i="1"/>
  <c r="M464" i="1"/>
  <c r="M992" i="1"/>
  <c r="M97" i="1"/>
  <c r="M652" i="1"/>
  <c r="M165" i="1"/>
  <c r="M166" i="1"/>
  <c r="M162" i="1"/>
  <c r="M168" i="1"/>
  <c r="M169" i="1"/>
  <c r="M170" i="1"/>
  <c r="M247" i="1"/>
  <c r="M172" i="1"/>
  <c r="M173" i="1"/>
  <c r="M773" i="1"/>
  <c r="M318" i="1"/>
  <c r="M365" i="1"/>
  <c r="M696" i="1"/>
  <c r="M178" i="1"/>
  <c r="M571" i="1"/>
  <c r="M180" i="1"/>
  <c r="M181" i="1"/>
  <c r="M182" i="1"/>
  <c r="M183" i="1"/>
  <c r="M184" i="1"/>
  <c r="M176" i="1"/>
  <c r="M691" i="1"/>
  <c r="M187" i="1"/>
  <c r="M185" i="1"/>
  <c r="M189" i="1"/>
  <c r="M190" i="1"/>
  <c r="M562" i="1"/>
  <c r="M476" i="1"/>
  <c r="M193" i="1"/>
  <c r="M194" i="1"/>
  <c r="M111" i="1"/>
  <c r="M196" i="1"/>
  <c r="M386" i="1"/>
  <c r="M198" i="1"/>
  <c r="M827" i="1"/>
  <c r="M101" i="1"/>
  <c r="M1128" i="1"/>
  <c r="M1033" i="1"/>
  <c r="M203" i="1"/>
  <c r="M204" i="1"/>
  <c r="M205" i="1"/>
  <c r="M206" i="1"/>
  <c r="M207" i="1"/>
  <c r="M208" i="1"/>
  <c r="M209" i="1"/>
  <c r="M210" i="1"/>
  <c r="M211" i="1"/>
  <c r="M212" i="1"/>
  <c r="M122" i="1"/>
  <c r="M94" i="1"/>
  <c r="M889" i="1"/>
  <c r="M216" i="1"/>
  <c r="M217" i="1"/>
  <c r="M816" i="1"/>
  <c r="M1097" i="1"/>
  <c r="M220" i="1"/>
  <c r="M693" i="1"/>
  <c r="M1052" i="1"/>
  <c r="M223" i="1"/>
  <c r="M224" i="1"/>
  <c r="M225" i="1"/>
  <c r="M536" i="1"/>
  <c r="M227" i="1"/>
  <c r="M228" i="1"/>
  <c r="M229" i="1"/>
  <c r="M230" i="1"/>
  <c r="M158" i="1"/>
  <c r="M936" i="1"/>
  <c r="M233" i="1"/>
  <c r="M234" i="1"/>
  <c r="M1157" i="1"/>
  <c r="M236" i="1"/>
  <c r="M237" i="1"/>
  <c r="M238" i="1"/>
  <c r="M239" i="1"/>
  <c r="M618" i="1"/>
  <c r="M241" i="1"/>
  <c r="M242" i="1"/>
  <c r="M243" i="1"/>
  <c r="M244" i="1"/>
  <c r="M245" i="1"/>
  <c r="M246" i="1"/>
  <c r="M1061" i="1"/>
  <c r="M248" i="1"/>
  <c r="M249" i="1"/>
  <c r="M86" i="1"/>
  <c r="M631" i="1"/>
  <c r="M188" i="1"/>
  <c r="M489" i="1"/>
  <c r="M1078" i="1"/>
  <c r="M255" i="1"/>
  <c r="M260" i="1"/>
  <c r="M56" i="1"/>
  <c r="M559" i="1"/>
  <c r="M871" i="1"/>
  <c r="M71" i="1"/>
  <c r="M958" i="1"/>
  <c r="M262" i="1"/>
  <c r="M431" i="1"/>
  <c r="M191" i="1"/>
  <c r="M966" i="1"/>
  <c r="M266" i="1"/>
  <c r="M267" i="1"/>
  <c r="M986" i="1"/>
  <c r="M295" i="1"/>
  <c r="M727" i="1"/>
  <c r="M271" i="1"/>
  <c r="M1139" i="1"/>
  <c r="M199" i="1"/>
  <c r="M758" i="1"/>
  <c r="M275" i="1"/>
  <c r="M276" i="1"/>
  <c r="M277" i="1"/>
  <c r="M278" i="1"/>
  <c r="M279" i="1"/>
  <c r="M410" i="1"/>
  <c r="M754" i="1"/>
  <c r="M671" i="1"/>
  <c r="M283" i="1"/>
  <c r="M284" i="1"/>
  <c r="M285" i="1"/>
  <c r="M427" i="1"/>
  <c r="M287" i="1"/>
  <c r="M288" i="1"/>
  <c r="M289" i="1"/>
  <c r="M290" i="1"/>
  <c r="M291" i="1"/>
  <c r="M292" i="1"/>
  <c r="M293" i="1"/>
  <c r="M294" i="1"/>
  <c r="M414" i="1"/>
  <c r="M1043" i="1"/>
  <c r="M297" i="1"/>
  <c r="M298" i="1"/>
  <c r="M272" i="1"/>
  <c r="M300" i="1"/>
  <c r="M301" i="1"/>
  <c r="M192" i="1"/>
  <c r="M303" i="1"/>
  <c r="M304" i="1"/>
  <c r="M3" i="1"/>
  <c r="M218" i="1"/>
  <c r="M307" i="1"/>
  <c r="M314" i="1"/>
  <c r="M309" i="1"/>
  <c r="M310" i="1"/>
  <c r="M538" i="1"/>
  <c r="M312" i="1"/>
  <c r="M313" i="1"/>
  <c r="M689" i="1"/>
  <c r="M264" i="1"/>
  <c r="M527" i="1"/>
  <c r="M317" i="1"/>
  <c r="M938" i="1"/>
  <c r="M319" i="1"/>
  <c r="M865" i="1"/>
  <c r="M321" i="1"/>
  <c r="M879" i="1"/>
  <c r="M723" i="1"/>
  <c r="M324" i="1"/>
  <c r="M664" i="1"/>
  <c r="M326" i="1"/>
  <c r="M512" i="1"/>
  <c r="M328" i="1"/>
  <c r="M61" i="1"/>
  <c r="M863" i="1"/>
  <c r="M331" i="1"/>
  <c r="M332" i="1"/>
  <c r="M333" i="1"/>
  <c r="M334" i="1"/>
  <c r="M602" i="1"/>
  <c r="M336" i="1"/>
  <c r="M337" i="1"/>
  <c r="M338" i="1"/>
  <c r="M339" i="1"/>
  <c r="M725" i="1"/>
  <c r="M341" i="1"/>
  <c r="M1007" i="1"/>
  <c r="M343" i="1"/>
  <c r="M134" i="1"/>
  <c r="M345" i="1"/>
  <c r="M346" i="1"/>
  <c r="M347" i="1"/>
  <c r="M614" i="1"/>
  <c r="M320" i="1"/>
  <c r="M350" i="1"/>
  <c r="M635" i="1"/>
  <c r="M930" i="1"/>
  <c r="M1130" i="1"/>
  <c r="M354" i="1"/>
  <c r="M1044" i="1"/>
  <c r="M356" i="1"/>
  <c r="M357" i="1"/>
  <c r="M932" i="1"/>
  <c r="M359" i="1"/>
  <c r="M1190" i="1"/>
  <c r="M361" i="1"/>
  <c r="M534" i="1"/>
  <c r="M834" i="1"/>
  <c r="M364" i="1"/>
  <c r="M109" i="1"/>
  <c r="M366" i="1"/>
  <c r="M177" i="1"/>
  <c r="M829" i="1"/>
  <c r="M369" i="1"/>
  <c r="M174" i="1"/>
  <c r="M371" i="1"/>
  <c r="M372" i="1"/>
  <c r="M373" i="1"/>
  <c r="M374" i="1"/>
  <c r="M375" i="1"/>
  <c r="M376" i="1"/>
  <c r="M518" i="1"/>
  <c r="M378" i="1"/>
  <c r="M379" i="1"/>
  <c r="M380" i="1"/>
  <c r="M478" i="1"/>
  <c r="M382" i="1"/>
  <c r="M383" i="1"/>
  <c r="M384" i="1"/>
  <c r="M566" i="1"/>
  <c r="M1114" i="1"/>
  <c r="M486" i="1"/>
  <c r="M388" i="1"/>
  <c r="M256" i="1"/>
  <c r="M390" i="1"/>
  <c r="M391" i="1"/>
  <c r="M392" i="1"/>
  <c r="M393" i="1"/>
  <c r="M394" i="1"/>
  <c r="M962" i="1"/>
  <c r="M396" i="1"/>
  <c r="M397" i="1"/>
  <c r="M1056" i="1"/>
  <c r="M1196" i="1"/>
  <c r="M684" i="1"/>
  <c r="M401" i="1"/>
  <c r="M402" i="1"/>
  <c r="M1075" i="1"/>
  <c r="M27" i="1"/>
  <c r="M1123" i="1"/>
  <c r="M406" i="1"/>
  <c r="M163" i="1"/>
  <c r="M408" i="1"/>
  <c r="M409" i="1"/>
  <c r="M344" i="1"/>
  <c r="M411" i="1"/>
  <c r="M914" i="1"/>
  <c r="M413" i="1"/>
  <c r="M1136" i="1"/>
  <c r="M415" i="1"/>
  <c r="M416" i="1"/>
  <c r="M606" i="1"/>
  <c r="M418" i="1"/>
  <c r="M269" i="1"/>
  <c r="M1106" i="1"/>
  <c r="M421" i="1"/>
  <c r="M422" i="1"/>
  <c r="M423" i="1"/>
  <c r="M377" i="1"/>
  <c r="M425" i="1"/>
  <c r="M426" i="1"/>
  <c r="M904" i="1"/>
  <c r="M428" i="1"/>
  <c r="M429" i="1"/>
  <c r="M430" i="1"/>
  <c r="M974" i="1"/>
  <c r="M432" i="1"/>
  <c r="M433" i="1"/>
  <c r="M1037" i="1"/>
  <c r="M471" i="1"/>
  <c r="M436" i="1"/>
  <c r="M497" i="1"/>
  <c r="M98" i="1"/>
  <c r="M703" i="1"/>
  <c r="M440" i="1"/>
  <c r="M441" i="1"/>
  <c r="M43" i="1"/>
  <c r="M443" i="1"/>
  <c r="M444" i="1"/>
  <c r="M964" i="1"/>
  <c r="M796" i="1"/>
  <c r="M473" i="1"/>
  <c r="M438" i="1"/>
  <c r="M449" i="1"/>
  <c r="M450" i="1"/>
  <c r="M553" i="1"/>
  <c r="M452" i="1"/>
  <c r="M1054" i="1"/>
  <c r="M454" i="1"/>
  <c r="M329" i="1"/>
  <c r="M340" i="1"/>
  <c r="M956" i="1"/>
  <c r="M626" i="1"/>
  <c r="M459" i="1"/>
  <c r="M798" i="1"/>
  <c r="M540" i="1"/>
  <c r="M462" i="1"/>
  <c r="M144" i="1"/>
  <c r="M771" i="1"/>
  <c r="M465" i="1"/>
  <c r="M327" i="1"/>
  <c r="M231" i="1"/>
  <c r="M403" i="1"/>
  <c r="M469" i="1"/>
  <c r="M470" i="1"/>
  <c r="M1085" i="1"/>
  <c r="M472" i="1"/>
  <c r="M1077" i="1"/>
  <c r="M474" i="1"/>
  <c r="M733" i="1"/>
  <c r="M646" i="1"/>
  <c r="M615" i="1"/>
  <c r="M923" i="1"/>
  <c r="M479" i="1"/>
  <c r="M480" i="1"/>
  <c r="M1068" i="1"/>
  <c r="M482" i="1"/>
  <c r="M483" i="1"/>
  <c r="M484" i="1"/>
  <c r="M485" i="1"/>
  <c r="M265" i="1"/>
  <c r="M868" i="1"/>
  <c r="M488" i="1"/>
  <c r="M1019" i="1"/>
  <c r="M1010" i="1"/>
  <c r="M491" i="1"/>
  <c r="M810" i="1"/>
  <c r="M493" i="1"/>
  <c r="M494" i="1"/>
  <c r="M495" i="1"/>
  <c r="M496" i="1"/>
  <c r="M126" i="1"/>
  <c r="M498" i="1"/>
  <c r="M499" i="1"/>
  <c r="M500" i="1"/>
  <c r="M971" i="1"/>
  <c r="M668" i="1"/>
  <c r="M1197" i="1"/>
  <c r="M504" i="1"/>
  <c r="M1084" i="1"/>
  <c r="M200" i="1"/>
  <c r="M507" i="1"/>
  <c r="M508" i="1"/>
  <c r="M1081" i="1"/>
  <c r="M510" i="1"/>
  <c r="M511" i="1"/>
  <c r="M387" i="1"/>
  <c r="M513" i="1"/>
  <c r="M514" i="1"/>
  <c r="M515" i="1"/>
  <c r="M516" i="1"/>
  <c r="M517" i="1"/>
  <c r="M528" i="1"/>
  <c r="M519" i="1"/>
  <c r="M520" i="1"/>
  <c r="M1187" i="1"/>
  <c r="M522" i="1"/>
  <c r="M252" i="1"/>
  <c r="M524" i="1"/>
  <c r="M783" i="1"/>
  <c r="M526" i="1"/>
  <c r="M698" i="1"/>
  <c r="M929" i="1"/>
  <c r="M529" i="1"/>
  <c r="M530" i="1"/>
  <c r="M467" i="1"/>
  <c r="M933" i="1"/>
  <c r="M533" i="1"/>
  <c r="M251" i="1"/>
  <c r="M1158" i="1"/>
  <c r="M330" i="1"/>
  <c r="M537" i="1"/>
  <c r="M786" i="1"/>
  <c r="M539" i="1"/>
  <c r="M424" i="1"/>
  <c r="M887" i="1"/>
  <c r="M542" i="1"/>
  <c r="M160" i="1"/>
  <c r="M115" i="1"/>
  <c r="M545" i="1"/>
  <c r="M546" i="1"/>
  <c r="M547" i="1"/>
  <c r="M151" i="1"/>
  <c r="M549" i="1"/>
  <c r="M550" i="1"/>
  <c r="M551" i="1"/>
  <c r="M552" i="1"/>
  <c r="M913" i="1"/>
  <c r="M554" i="1"/>
  <c r="M132" i="1"/>
  <c r="M556" i="1"/>
  <c r="M1040" i="1"/>
  <c r="M991" i="1"/>
  <c r="M502" i="1"/>
  <c r="M1137" i="1"/>
  <c r="M561" i="1"/>
  <c r="M1141" i="1"/>
  <c r="M776" i="1"/>
  <c r="M1042" i="1"/>
  <c r="M565" i="1"/>
  <c r="M487" i="1"/>
  <c r="M567" i="1"/>
  <c r="M568" i="1"/>
  <c r="M49" i="1"/>
  <c r="M570" i="1"/>
  <c r="M11" i="1"/>
  <c r="M572" i="1"/>
  <c r="M680" i="1"/>
  <c r="M434" i="1"/>
  <c r="M575" i="1"/>
  <c r="M475" i="1"/>
  <c r="M577" i="1"/>
  <c r="M578" i="1"/>
  <c r="M579" i="1"/>
  <c r="M580" i="1"/>
  <c r="M581" i="1"/>
  <c r="M582" i="1"/>
  <c r="M583" i="1"/>
  <c r="M584" i="1"/>
  <c r="M585" i="1"/>
  <c r="M1083" i="1"/>
  <c r="M4" i="1"/>
  <c r="M588" i="1"/>
  <c r="M589" i="1"/>
  <c r="M869" i="1"/>
  <c r="M591" i="1"/>
  <c r="M592" i="1"/>
  <c r="M1029" i="1"/>
  <c r="M594" i="1"/>
  <c r="M595" i="1"/>
  <c r="M596" i="1"/>
  <c r="M399" i="1"/>
  <c r="M598" i="1"/>
  <c r="M728" i="1"/>
  <c r="M175" i="1"/>
  <c r="M601" i="1"/>
  <c r="M1017" i="1"/>
  <c r="M603" i="1"/>
  <c r="M604" i="1"/>
  <c r="M782" i="1"/>
  <c r="M419" i="1"/>
  <c r="M894" i="1"/>
  <c r="M608" i="1"/>
  <c r="M609" i="1"/>
  <c r="M610" i="1"/>
  <c r="M611" i="1"/>
  <c r="M1180" i="1"/>
  <c r="M64" i="1"/>
  <c r="M686" i="1"/>
  <c r="M710" i="1"/>
  <c r="M455" i="1"/>
  <c r="M617" i="1"/>
  <c r="M128" i="1"/>
  <c r="M619" i="1"/>
  <c r="M353" i="1"/>
  <c r="M621" i="1"/>
  <c r="M155" i="1"/>
  <c r="M623" i="1"/>
  <c r="M624" i="1"/>
  <c r="M625" i="1"/>
  <c r="M541" i="1"/>
  <c r="M1133" i="1"/>
  <c r="M254" i="1"/>
  <c r="M629" i="1"/>
  <c r="M630" i="1"/>
  <c r="M445" i="1"/>
  <c r="M197" i="1"/>
  <c r="M1101" i="1"/>
  <c r="M634" i="1"/>
  <c r="M644" i="1"/>
  <c r="M636" i="1"/>
  <c r="M1186" i="1"/>
  <c r="M638" i="1"/>
  <c r="M639" i="1"/>
  <c r="M640" i="1"/>
  <c r="M641" i="1"/>
  <c r="M642" i="1"/>
  <c r="M643" i="1"/>
  <c r="M1168" i="1"/>
  <c r="M645" i="1"/>
  <c r="M573" i="1"/>
  <c r="M647" i="1"/>
  <c r="M648" i="1"/>
  <c r="M924" i="1"/>
  <c r="M650" i="1"/>
  <c r="M405" i="1"/>
  <c r="M1181" i="1"/>
  <c r="M653" i="1"/>
  <c r="M654" i="1"/>
  <c r="M999" i="1"/>
  <c r="M656" i="1"/>
  <c r="M167" i="1"/>
  <c r="M658" i="1"/>
  <c r="M322" i="1"/>
  <c r="M179" i="1"/>
  <c r="M661" i="1"/>
  <c r="M274" i="1"/>
  <c r="M1153" i="1"/>
  <c r="M404" i="1"/>
  <c r="M665" i="1"/>
  <c r="M666" i="1"/>
  <c r="M667" i="1"/>
  <c r="M855" i="1"/>
  <c r="M937" i="1"/>
  <c r="M670" i="1"/>
  <c r="M305" i="1"/>
  <c r="M439" i="1"/>
  <c r="M673" i="1"/>
  <c r="M448" i="1"/>
  <c r="M1014" i="1"/>
  <c r="M676" i="1"/>
  <c r="M590" i="1"/>
  <c r="M678" i="1"/>
  <c r="M679" i="1"/>
  <c r="M451" i="1"/>
  <c r="M681" i="1"/>
  <c r="M682" i="1"/>
  <c r="M683" i="1"/>
  <c r="M138" i="1"/>
  <c r="M685" i="1"/>
  <c r="M1125" i="1"/>
  <c r="M435" i="1"/>
  <c r="M688" i="1"/>
  <c r="M57" i="1"/>
  <c r="M978" i="1"/>
  <c r="M605" i="1"/>
  <c r="M461" i="1"/>
  <c r="M477" i="1"/>
  <c r="M694" i="1"/>
  <c r="M695" i="1"/>
  <c r="M259" i="1"/>
  <c r="M697" i="1"/>
  <c r="M323" i="1"/>
  <c r="M699" i="1"/>
  <c r="M746" i="1"/>
  <c r="M701" i="1"/>
  <c r="M702" i="1"/>
  <c r="M40" i="1"/>
  <c r="M704" i="1"/>
  <c r="M705" i="1"/>
  <c r="M706" i="1"/>
  <c r="M707" i="1"/>
  <c r="M54" i="1"/>
  <c r="M709" i="1"/>
  <c r="M59" i="1"/>
  <c r="M55" i="1"/>
  <c r="M762" i="1"/>
  <c r="M713" i="1"/>
  <c r="M627" i="1"/>
  <c r="M715" i="1"/>
  <c r="M716" i="1"/>
  <c r="M717" i="1"/>
  <c r="M718" i="1"/>
  <c r="M281" i="1"/>
  <c r="M720" i="1"/>
  <c r="M721" i="1"/>
  <c r="M722" i="1"/>
  <c r="M826" i="1"/>
  <c r="M724" i="1"/>
  <c r="M622" i="1"/>
  <c r="M751" i="1"/>
  <c r="M25" i="1"/>
  <c r="M100" i="1"/>
  <c r="M729" i="1"/>
  <c r="M730" i="1"/>
  <c r="M731" i="1"/>
  <c r="M732" i="1"/>
  <c r="M360" i="1"/>
  <c r="M734" i="1"/>
  <c r="M747" i="1"/>
  <c r="M736" i="1"/>
  <c r="M737" i="1"/>
  <c r="M649" i="1"/>
  <c r="M1034" i="1"/>
  <c r="M367" i="1"/>
  <c r="M741" i="1"/>
  <c r="M742" i="1"/>
  <c r="M743" i="1"/>
  <c r="M744" i="1"/>
  <c r="M201" i="1"/>
  <c r="M456" i="1"/>
  <c r="M764" i="1"/>
  <c r="M748" i="1"/>
  <c r="M677" i="1"/>
  <c r="M74" i="1"/>
  <c r="M633" i="1"/>
  <c r="M752" i="1"/>
  <c r="M753" i="1"/>
  <c r="M901" i="1"/>
  <c r="M755" i="1"/>
  <c r="M1090" i="1"/>
  <c r="M757" i="1"/>
  <c r="M1132" i="1"/>
  <c r="M1003" i="1"/>
  <c r="M760" i="1"/>
  <c r="M1151" i="1"/>
  <c r="M712" i="1"/>
  <c r="M161" i="1"/>
  <c r="M781" i="1"/>
  <c r="M108" i="1"/>
  <c r="M766" i="1"/>
  <c r="M767" i="1"/>
  <c r="M768" i="1"/>
  <c r="M769" i="1"/>
  <c r="M770" i="1"/>
  <c r="M858" i="1"/>
  <c r="M772" i="1"/>
  <c r="M10" i="1"/>
  <c r="M819" i="1"/>
  <c r="M775" i="1"/>
  <c r="M1031" i="1"/>
  <c r="M777" i="1"/>
  <c r="M778" i="1"/>
  <c r="M779" i="1"/>
  <c r="M780" i="1"/>
  <c r="M657" i="1"/>
  <c r="M222" i="1"/>
  <c r="M302" i="1"/>
  <c r="M784" i="1"/>
  <c r="M569" i="1"/>
  <c r="M535" i="1"/>
  <c r="M787" i="1"/>
  <c r="M788" i="1"/>
  <c r="M789" i="1"/>
  <c r="M790" i="1"/>
  <c r="M791" i="1"/>
  <c r="M792" i="1"/>
  <c r="M793" i="1"/>
  <c r="M794" i="1"/>
  <c r="M651" i="1"/>
  <c r="M1004" i="1"/>
  <c r="M797" i="1"/>
  <c r="M325" i="1"/>
  <c r="M920" i="1"/>
  <c r="M800" i="1"/>
  <c r="M801" i="1"/>
  <c r="M802" i="1"/>
  <c r="M803" i="1"/>
  <c r="M804" i="1"/>
  <c r="M221" i="1"/>
  <c r="M806" i="1"/>
  <c r="M807" i="1"/>
  <c r="M808" i="1"/>
  <c r="M809" i="1"/>
  <c r="M381" i="1"/>
  <c r="M811" i="1"/>
  <c r="M968" i="1"/>
  <c r="M813" i="1"/>
  <c r="M814" i="1"/>
  <c r="M815" i="1"/>
  <c r="M557" i="1"/>
  <c r="M525" i="1"/>
  <c r="M349" i="1"/>
  <c r="M457" i="1"/>
  <c r="M24" i="1"/>
  <c r="M821" i="1"/>
  <c r="M822" i="1"/>
  <c r="M823" i="1"/>
  <c r="M824" i="1"/>
  <c r="M825" i="1"/>
  <c r="M67" i="1"/>
  <c r="M997" i="1"/>
  <c r="M828" i="1"/>
  <c r="M1072" i="1"/>
  <c r="M830" i="1"/>
  <c r="M831" i="1"/>
  <c r="M832" i="1"/>
  <c r="M833" i="1"/>
  <c r="M761" i="1"/>
  <c r="M835" i="1"/>
  <c r="M836" i="1"/>
  <c r="M915" i="1"/>
  <c r="M838" i="1"/>
  <c r="M839" i="1"/>
  <c r="M351" i="1"/>
  <c r="M660" i="1"/>
  <c r="M842" i="1"/>
  <c r="M843" i="1"/>
  <c r="M490" i="1"/>
  <c r="M845" i="1"/>
  <c r="M846" i="1"/>
  <c r="M756" i="1"/>
  <c r="M501" i="1"/>
  <c r="M849" i="1"/>
  <c r="M1073" i="1"/>
  <c r="M851" i="1"/>
  <c r="M852" i="1"/>
  <c r="M853" i="1"/>
  <c r="M854" i="1"/>
  <c r="M214" i="1"/>
  <c r="M503" i="1"/>
  <c r="M857" i="1"/>
  <c r="M735" i="1"/>
  <c r="M859" i="1"/>
  <c r="M860" i="1"/>
  <c r="M861" i="1"/>
  <c r="M740" i="1"/>
  <c r="M692" i="1"/>
  <c r="M864" i="1"/>
  <c r="M1058" i="1"/>
  <c r="M663" i="1"/>
  <c r="M867" i="1"/>
  <c r="M763" i="1"/>
  <c r="M818" i="1"/>
  <c r="M273" i="1"/>
  <c r="M586" i="1"/>
  <c r="M91" i="1"/>
  <c r="M873" i="1"/>
  <c r="M874" i="1"/>
  <c r="M875" i="1"/>
  <c r="M1105" i="1"/>
  <c r="M558" i="1"/>
  <c r="M995" i="1"/>
  <c r="M15" i="1"/>
  <c r="M880" i="1"/>
  <c r="M881" i="1"/>
  <c r="M882" i="1"/>
  <c r="M883" i="1"/>
  <c r="M884" i="1"/>
  <c r="M113" i="1"/>
  <c r="M886" i="1"/>
  <c r="M1005" i="1"/>
  <c r="M888" i="1"/>
  <c r="M505" i="1"/>
  <c r="M890" i="1"/>
  <c r="M891" i="1"/>
  <c r="M892" i="1"/>
  <c r="M893" i="1"/>
  <c r="M935" i="1"/>
  <c r="M895" i="1"/>
  <c r="M896" i="1"/>
  <c r="M897" i="1"/>
  <c r="M898" i="1"/>
  <c r="M899" i="1"/>
  <c r="M900" i="1"/>
  <c r="M442" i="1"/>
  <c r="M902" i="1"/>
  <c r="M765" i="1"/>
  <c r="M866" i="1"/>
  <c r="M905" i="1"/>
  <c r="M906" i="1"/>
  <c r="M700" i="1"/>
  <c r="M908" i="1"/>
  <c r="M909" i="1"/>
  <c r="M910" i="1"/>
  <c r="M911" i="1"/>
  <c r="M587" i="1"/>
  <c r="M523" i="1"/>
  <c r="M348" i="1"/>
  <c r="M805" i="1"/>
  <c r="M453" i="1"/>
  <c r="M917" i="1"/>
  <c r="M918" i="1"/>
  <c r="M919" i="1"/>
  <c r="M1193" i="1"/>
  <c r="M921" i="1"/>
  <c r="M922" i="1"/>
  <c r="M1011" i="1"/>
  <c r="M1060" i="1"/>
  <c r="M548" i="1"/>
  <c r="M926" i="1"/>
  <c r="M927" i="1"/>
  <c r="M928" i="1"/>
  <c r="M738" i="1"/>
  <c r="M1145" i="1"/>
  <c r="M60" i="1"/>
  <c r="M750" i="1"/>
  <c r="M687" i="1"/>
  <c r="M934" i="1"/>
  <c r="M400" i="1"/>
  <c r="M690" i="1"/>
  <c r="M270" i="1"/>
  <c r="M17" i="1"/>
  <c r="M1104" i="1"/>
  <c r="M940" i="1"/>
  <c r="M941" i="1"/>
  <c r="M942" i="1"/>
  <c r="M943" i="1"/>
  <c r="M1046" i="1"/>
  <c r="M945" i="1"/>
  <c r="M946" i="1"/>
  <c r="M993" i="1"/>
  <c r="M948" i="1"/>
  <c r="M51" i="1"/>
  <c r="M950" i="1"/>
  <c r="M1183" i="1"/>
  <c r="M952" i="1"/>
  <c r="M953" i="1"/>
  <c r="M954" i="1"/>
  <c r="M955" i="1"/>
  <c r="M795" i="1"/>
  <c r="M957" i="1"/>
  <c r="M574" i="1"/>
  <c r="M959" i="1"/>
  <c r="M960" i="1"/>
  <c r="M961" i="1"/>
  <c r="M136" i="1"/>
  <c r="M963" i="1"/>
  <c r="M258" i="1"/>
  <c r="M965" i="1"/>
  <c r="M83" i="1"/>
  <c r="M632" i="1"/>
  <c r="M362" i="1"/>
  <c r="M969" i="1"/>
  <c r="M970" i="1"/>
  <c r="M352" i="1"/>
  <c r="M972" i="1"/>
  <c r="M973" i="1"/>
  <c r="M675" i="1"/>
  <c r="M975" i="1"/>
  <c r="M976" i="1"/>
  <c r="M977" i="1"/>
  <c r="M235" i="1"/>
  <c r="M979" i="1"/>
  <c r="M980" i="1"/>
  <c r="M981" i="1"/>
  <c r="M481" i="1"/>
  <c r="M983" i="1"/>
  <c r="M984" i="1"/>
  <c r="M985" i="1"/>
  <c r="M135" i="1"/>
  <c r="M987" i="1"/>
  <c r="M988" i="1"/>
  <c r="M989" i="1"/>
  <c r="M990" i="1"/>
  <c r="M1163" i="1"/>
  <c r="M119" i="1"/>
  <c r="M308" i="1"/>
  <c r="M1177" i="1"/>
  <c r="M120" i="1"/>
  <c r="M612" i="1"/>
  <c r="M389" i="1"/>
  <c r="M998" i="1"/>
  <c r="M118" i="1"/>
  <c r="M1000" i="1"/>
  <c r="M355" i="1"/>
  <c r="M1002" i="1"/>
  <c r="M145" i="1"/>
  <c r="M785" i="1"/>
  <c r="M370" i="1"/>
  <c r="M447" i="1"/>
  <c r="M1138" i="1"/>
  <c r="M1008" i="1"/>
  <c r="M1009" i="1"/>
  <c r="M127" i="1"/>
  <c r="M759" i="1"/>
  <c r="M1012" i="1"/>
  <c r="M1013" i="1"/>
  <c r="M420" i="1"/>
  <c r="M1015" i="1"/>
  <c r="M1016" i="1"/>
  <c r="M1048" i="1"/>
  <c r="M1018" i="1"/>
  <c r="M1165" i="1"/>
  <c r="M1020" i="1"/>
  <c r="M1021" i="1"/>
  <c r="M1022" i="1"/>
  <c r="M1023" i="1"/>
  <c r="M1024" i="1"/>
  <c r="M1025" i="1"/>
  <c r="M1026" i="1"/>
  <c r="M1027" i="1"/>
  <c r="M1028" i="1"/>
  <c r="M847" i="1"/>
  <c r="M1030" i="1"/>
  <c r="M368" i="1"/>
  <c r="M1032" i="1"/>
  <c r="M257" i="1"/>
  <c r="M1178" i="1"/>
  <c r="M1035" i="1"/>
  <c r="M1036" i="1"/>
  <c r="M30" i="1"/>
  <c r="M1038" i="1"/>
  <c r="M1039" i="1"/>
  <c r="M655" i="1"/>
  <c r="M1041" i="1"/>
  <c r="M88" i="1"/>
  <c r="M1001" i="1"/>
  <c r="M749" i="1"/>
  <c r="M1045" i="1"/>
  <c r="M870" i="1"/>
  <c r="M1047" i="1"/>
  <c r="M9" i="1"/>
  <c r="M1049" i="1"/>
  <c r="M1050" i="1"/>
  <c r="M1051" i="1"/>
  <c r="M306" i="1"/>
  <c r="M1053" i="1"/>
  <c r="M1201" i="1"/>
  <c r="M1055" i="1"/>
  <c r="M947" i="1"/>
  <c r="M1057" i="1"/>
  <c r="M1119" i="1"/>
  <c r="M912" i="1"/>
  <c r="M468" i="1"/>
  <c r="M844" i="1"/>
  <c r="M1062" i="1"/>
  <c r="M315" i="1"/>
  <c r="M1064" i="1"/>
  <c r="M1065" i="1"/>
  <c r="M1066" i="1"/>
  <c r="M1067" i="1"/>
  <c r="M1059" i="1"/>
  <c r="M1069" i="1"/>
  <c r="M1070" i="1"/>
  <c r="M1071" i="1"/>
  <c r="M531" i="1"/>
  <c r="M714" i="1"/>
  <c r="M1074" i="1"/>
  <c r="M949" i="1"/>
  <c r="M1076" i="1"/>
  <c r="M226" i="1"/>
  <c r="M1148" i="1"/>
  <c r="M1079" i="1"/>
  <c r="M1080" i="1"/>
  <c r="M593" i="1"/>
  <c r="M407" i="1"/>
  <c r="M885" i="1"/>
  <c r="M123" i="1"/>
  <c r="M14" i="1"/>
  <c r="M1086" i="1"/>
  <c r="M1087" i="1"/>
  <c r="M1088" i="1"/>
  <c r="M1089" i="1"/>
  <c r="M1082" i="1"/>
  <c r="M1091" i="1"/>
  <c r="M872" i="1"/>
  <c r="M1093" i="1"/>
  <c r="M1094" i="1"/>
  <c r="M1095" i="1"/>
  <c r="M1096" i="1"/>
  <c r="M219" i="1"/>
  <c r="M1098" i="1"/>
  <c r="M1099" i="1"/>
  <c r="M1100" i="1"/>
  <c r="M850" i="1"/>
  <c r="M1102" i="1"/>
  <c r="M674" i="1"/>
  <c r="M521" i="1"/>
  <c r="M509" i="1"/>
  <c r="M903" i="1"/>
  <c r="M1107" i="1"/>
  <c r="M1108" i="1"/>
  <c r="M1109" i="1"/>
  <c r="M1110" i="1"/>
  <c r="M1111" i="1"/>
  <c r="M1112" i="1"/>
  <c r="M1113" i="1"/>
  <c r="M817" i="1"/>
  <c r="M1115" i="1"/>
  <c r="M1116" i="1"/>
  <c r="M1117" i="1"/>
  <c r="M1118" i="1"/>
  <c r="M876" i="1"/>
  <c r="M1120" i="1"/>
  <c r="M1121" i="1"/>
  <c r="M1122" i="1"/>
  <c r="M848" i="1"/>
  <c r="M1124" i="1"/>
  <c r="M996" i="1"/>
  <c r="M1126" i="1"/>
  <c r="M1127" i="1"/>
  <c r="M837" i="1"/>
  <c r="M1129" i="1"/>
  <c r="M232" i="1"/>
  <c r="M1131" i="1"/>
  <c r="M555" i="1"/>
  <c r="M600" i="1"/>
  <c r="M1134" i="1"/>
  <c r="M597" i="1"/>
  <c r="M85" i="1"/>
  <c r="M1103" i="1"/>
  <c r="M1172" i="1"/>
  <c r="M463" i="1"/>
  <c r="M1140" i="1"/>
  <c r="M253" i="1"/>
  <c r="M1142" i="1"/>
  <c r="M1143" i="1"/>
  <c r="M1144" i="1"/>
  <c r="M856" i="1"/>
  <c r="M1146" i="1"/>
  <c r="M1147" i="1"/>
  <c r="M1006" i="1"/>
  <c r="M1149" i="1"/>
  <c r="M1150" i="1"/>
  <c r="M412" i="1"/>
  <c r="M1152" i="1"/>
  <c r="M925" i="1"/>
  <c r="M1154" i="1"/>
  <c r="M1155" i="1"/>
  <c r="M1156" i="1"/>
  <c r="M95" i="1"/>
  <c r="M607" i="1"/>
  <c r="M1159" i="1"/>
  <c r="M1160" i="1"/>
  <c r="M1161" i="1"/>
  <c r="M1162" i="1"/>
  <c r="M820" i="1"/>
  <c r="M1164" i="1"/>
  <c r="M195" i="1"/>
  <c r="M1166" i="1"/>
  <c r="M877" i="1"/>
  <c r="M931" i="1"/>
  <c r="M1169" i="1"/>
  <c r="M1170" i="1"/>
  <c r="M1171" i="1"/>
  <c r="M878" i="1"/>
  <c r="M1173" i="1"/>
  <c r="M1174" i="1"/>
  <c r="M1175" i="1"/>
  <c r="M1176" i="1"/>
  <c r="M29" i="1"/>
  <c r="M263" i="1"/>
  <c r="M1179" i="1"/>
  <c r="M363" i="1"/>
  <c r="M268" i="1"/>
  <c r="M1182" i="1"/>
  <c r="M840" i="1"/>
  <c r="M1184" i="1"/>
  <c r="M1185" i="1"/>
  <c r="M862" i="1"/>
  <c r="M466" i="1"/>
  <c r="M1188" i="1"/>
  <c r="M726" i="1"/>
  <c r="M398" i="1"/>
  <c r="M1191" i="1"/>
  <c r="M1192" i="1"/>
  <c r="M395" i="1"/>
  <c r="M1194" i="1"/>
  <c r="M1195" i="1"/>
  <c r="M841" i="1"/>
  <c r="M215" i="1"/>
  <c r="M1198" i="1"/>
  <c r="M1199" i="1"/>
  <c r="M1200" i="1"/>
  <c r="M560" i="1"/>
  <c r="L2" i="1"/>
  <c r="L967" i="1"/>
  <c r="L240" i="1"/>
  <c r="L5" i="1"/>
  <c r="L6" i="1"/>
  <c r="L7" i="1"/>
  <c r="L8" i="1"/>
  <c r="L296" i="1"/>
  <c r="L41" i="1"/>
  <c r="L745" i="1"/>
  <c r="L12" i="1"/>
  <c r="L358" i="1"/>
  <c r="L907" i="1"/>
  <c r="L202" i="1"/>
  <c r="L16" i="1"/>
  <c r="L446" i="1"/>
  <c r="L18" i="1"/>
  <c r="L110" i="1"/>
  <c r="L20" i="1"/>
  <c r="L21" i="1"/>
  <c r="L22" i="1"/>
  <c r="L23" i="1"/>
  <c r="L982" i="1"/>
  <c r="L280" i="1"/>
  <c r="L26" i="1"/>
  <c r="L662" i="1"/>
  <c r="L28" i="1"/>
  <c r="L1135" i="1"/>
  <c r="L708" i="1"/>
  <c r="L31" i="1"/>
  <c r="L32" i="1"/>
  <c r="L33" i="1"/>
  <c r="L34" i="1"/>
  <c r="L35" i="1"/>
  <c r="L36" i="1"/>
  <c r="L37" i="1"/>
  <c r="L38" i="1"/>
  <c r="L39" i="1"/>
  <c r="L417" i="1"/>
  <c r="L739" i="1"/>
  <c r="L42" i="1"/>
  <c r="L316" i="1"/>
  <c r="L44" i="1"/>
  <c r="L45" i="1"/>
  <c r="L46" i="1"/>
  <c r="L47" i="1"/>
  <c r="L48" i="1"/>
  <c r="L812" i="1"/>
  <c r="L50" i="1"/>
  <c r="L90" i="1"/>
  <c r="L52" i="1"/>
  <c r="L53" i="1"/>
  <c r="L73" i="1"/>
  <c r="L261" i="1"/>
  <c r="L492" i="1"/>
  <c r="L103" i="1"/>
  <c r="L58" i="1"/>
  <c r="L458" i="1"/>
  <c r="L774" i="1"/>
  <c r="L282" i="1"/>
  <c r="L62" i="1"/>
  <c r="L63" i="1"/>
  <c r="L171" i="1"/>
  <c r="L613" i="1"/>
  <c r="L66" i="1"/>
  <c r="L563" i="1"/>
  <c r="L68" i="1"/>
  <c r="L69" i="1"/>
  <c r="L70" i="1"/>
  <c r="L532" i="1"/>
  <c r="L72" i="1"/>
  <c r="L1092" i="1"/>
  <c r="L146" i="1"/>
  <c r="L75" i="1"/>
  <c r="L76" i="1"/>
  <c r="L77" i="1"/>
  <c r="L78" i="1"/>
  <c r="L79" i="1"/>
  <c r="L80" i="1"/>
  <c r="L81" i="1"/>
  <c r="L82" i="1"/>
  <c r="L711" i="1"/>
  <c r="L84" i="1"/>
  <c r="L250" i="1"/>
  <c r="L437" i="1"/>
  <c r="L87" i="1"/>
  <c r="L1063" i="1"/>
  <c r="L89" i="1"/>
  <c r="L506" i="1"/>
  <c r="L951" i="1"/>
  <c r="L92" i="1"/>
  <c r="L93" i="1"/>
  <c r="L659" i="1"/>
  <c r="L669" i="1"/>
  <c r="L96" i="1"/>
  <c r="L599" i="1"/>
  <c r="L628" i="1"/>
  <c r="L99" i="1"/>
  <c r="L994" i="1"/>
  <c r="L65" i="1"/>
  <c r="L102" i="1"/>
  <c r="L1167" i="1"/>
  <c r="L104" i="1"/>
  <c r="L105" i="1"/>
  <c r="L106" i="1"/>
  <c r="L107" i="1"/>
  <c r="L19" i="1"/>
  <c r="L916" i="1"/>
  <c r="L342" i="1"/>
  <c r="L616" i="1"/>
  <c r="L637" i="1"/>
  <c r="L544" i="1"/>
  <c r="L114" i="1"/>
  <c r="L13" i="1"/>
  <c r="L116" i="1"/>
  <c r="L117" i="1"/>
  <c r="L944" i="1"/>
  <c r="L543" i="1"/>
  <c r="L1189" i="1"/>
  <c r="L121" i="1"/>
  <c r="L576" i="1"/>
  <c r="L939" i="1"/>
  <c r="L124" i="1"/>
  <c r="L125" i="1"/>
  <c r="L311" i="1"/>
  <c r="L460" i="1"/>
  <c r="L299" i="1"/>
  <c r="L129" i="1"/>
  <c r="L130" i="1"/>
  <c r="L131" i="1"/>
  <c r="L186" i="1"/>
  <c r="L133" i="1"/>
  <c r="L672" i="1"/>
  <c r="L799" i="1"/>
  <c r="L335" i="1"/>
  <c r="L137" i="1"/>
  <c r="L286" i="1"/>
  <c r="L139" i="1"/>
  <c r="L140" i="1"/>
  <c r="L141" i="1"/>
  <c r="L142" i="1"/>
  <c r="L143" i="1"/>
  <c r="L112" i="1"/>
  <c r="L385" i="1"/>
  <c r="L164" i="1"/>
  <c r="L147" i="1"/>
  <c r="L148" i="1"/>
  <c r="L149" i="1"/>
  <c r="L150" i="1"/>
  <c r="L719" i="1"/>
  <c r="L152" i="1"/>
  <c r="L153" i="1"/>
  <c r="L154" i="1"/>
  <c r="L213" i="1"/>
  <c r="L156" i="1"/>
  <c r="L157" i="1"/>
  <c r="L564" i="1"/>
  <c r="L159" i="1"/>
  <c r="L620" i="1"/>
  <c r="L464" i="1"/>
  <c r="L992" i="1"/>
  <c r="L97" i="1"/>
  <c r="L652" i="1"/>
  <c r="L165" i="1"/>
  <c r="L166" i="1"/>
  <c r="L162" i="1"/>
  <c r="L168" i="1"/>
  <c r="L169" i="1"/>
  <c r="L170" i="1"/>
  <c r="L247" i="1"/>
  <c r="L172" i="1"/>
  <c r="L173" i="1"/>
  <c r="L773" i="1"/>
  <c r="L318" i="1"/>
  <c r="L365" i="1"/>
  <c r="L696" i="1"/>
  <c r="L178" i="1"/>
  <c r="L571" i="1"/>
  <c r="L180" i="1"/>
  <c r="L181" i="1"/>
  <c r="L182" i="1"/>
  <c r="L183" i="1"/>
  <c r="L184" i="1"/>
  <c r="L176" i="1"/>
  <c r="L691" i="1"/>
  <c r="L187" i="1"/>
  <c r="L185" i="1"/>
  <c r="L189" i="1"/>
  <c r="L190" i="1"/>
  <c r="L562" i="1"/>
  <c r="L476" i="1"/>
  <c r="L193" i="1"/>
  <c r="L194" i="1"/>
  <c r="L111" i="1"/>
  <c r="L196" i="1"/>
  <c r="L386" i="1"/>
  <c r="L198" i="1"/>
  <c r="L827" i="1"/>
  <c r="L101" i="1"/>
  <c r="L1128" i="1"/>
  <c r="L1033" i="1"/>
  <c r="L203" i="1"/>
  <c r="L204" i="1"/>
  <c r="L205" i="1"/>
  <c r="L206" i="1"/>
  <c r="L207" i="1"/>
  <c r="L208" i="1"/>
  <c r="L209" i="1"/>
  <c r="L210" i="1"/>
  <c r="L211" i="1"/>
  <c r="L212" i="1"/>
  <c r="L122" i="1"/>
  <c r="L94" i="1"/>
  <c r="L889" i="1"/>
  <c r="L216" i="1"/>
  <c r="L217" i="1"/>
  <c r="L816" i="1"/>
  <c r="L1097" i="1"/>
  <c r="L220" i="1"/>
  <c r="L693" i="1"/>
  <c r="L1052" i="1"/>
  <c r="L223" i="1"/>
  <c r="L224" i="1"/>
  <c r="L225" i="1"/>
  <c r="L536" i="1"/>
  <c r="L227" i="1"/>
  <c r="L228" i="1"/>
  <c r="L229" i="1"/>
  <c r="L230" i="1"/>
  <c r="L158" i="1"/>
  <c r="L936" i="1"/>
  <c r="L233" i="1"/>
  <c r="L234" i="1"/>
  <c r="L1157" i="1"/>
  <c r="L236" i="1"/>
  <c r="L237" i="1"/>
  <c r="L238" i="1"/>
  <c r="L239" i="1"/>
  <c r="L618" i="1"/>
  <c r="L241" i="1"/>
  <c r="L242" i="1"/>
  <c r="L243" i="1"/>
  <c r="L244" i="1"/>
  <c r="L245" i="1"/>
  <c r="L246" i="1"/>
  <c r="L1061" i="1"/>
  <c r="L248" i="1"/>
  <c r="L249" i="1"/>
  <c r="L86" i="1"/>
  <c r="L631" i="1"/>
  <c r="L188" i="1"/>
  <c r="L489" i="1"/>
  <c r="L1078" i="1"/>
  <c r="L255" i="1"/>
  <c r="L260" i="1"/>
  <c r="L56" i="1"/>
  <c r="L559" i="1"/>
  <c r="L871" i="1"/>
  <c r="L71" i="1"/>
  <c r="L958" i="1"/>
  <c r="L262" i="1"/>
  <c r="L431" i="1"/>
  <c r="L191" i="1"/>
  <c r="L966" i="1"/>
  <c r="L266" i="1"/>
  <c r="L267" i="1"/>
  <c r="L986" i="1"/>
  <c r="L295" i="1"/>
  <c r="L727" i="1"/>
  <c r="L271" i="1"/>
  <c r="L1139" i="1"/>
  <c r="L199" i="1"/>
  <c r="L758" i="1"/>
  <c r="L275" i="1"/>
  <c r="L276" i="1"/>
  <c r="L277" i="1"/>
  <c r="L278" i="1"/>
  <c r="L279" i="1"/>
  <c r="L410" i="1"/>
  <c r="L754" i="1"/>
  <c r="L671" i="1"/>
  <c r="L283" i="1"/>
  <c r="L284" i="1"/>
  <c r="L285" i="1"/>
  <c r="L427" i="1"/>
  <c r="L287" i="1"/>
  <c r="L288" i="1"/>
  <c r="L289" i="1"/>
  <c r="L290" i="1"/>
  <c r="L291" i="1"/>
  <c r="L292" i="1"/>
  <c r="L293" i="1"/>
  <c r="L294" i="1"/>
  <c r="L414" i="1"/>
  <c r="L1043" i="1"/>
  <c r="L297" i="1"/>
  <c r="L298" i="1"/>
  <c r="L272" i="1"/>
  <c r="L300" i="1"/>
  <c r="L301" i="1"/>
  <c r="L192" i="1"/>
  <c r="L303" i="1"/>
  <c r="L304" i="1"/>
  <c r="L3" i="1"/>
  <c r="L218" i="1"/>
  <c r="L307" i="1"/>
  <c r="L314" i="1"/>
  <c r="L309" i="1"/>
  <c r="L310" i="1"/>
  <c r="L538" i="1"/>
  <c r="L312" i="1"/>
  <c r="L313" i="1"/>
  <c r="L689" i="1"/>
  <c r="L264" i="1"/>
  <c r="L527" i="1"/>
  <c r="L317" i="1"/>
  <c r="L938" i="1"/>
  <c r="L319" i="1"/>
  <c r="L865" i="1"/>
  <c r="L321" i="1"/>
  <c r="L879" i="1"/>
  <c r="L723" i="1"/>
  <c r="L324" i="1"/>
  <c r="L664" i="1"/>
  <c r="L326" i="1"/>
  <c r="L512" i="1"/>
  <c r="L328" i="1"/>
  <c r="L61" i="1"/>
  <c r="L863" i="1"/>
  <c r="L331" i="1"/>
  <c r="L332" i="1"/>
  <c r="L333" i="1"/>
  <c r="L334" i="1"/>
  <c r="L602" i="1"/>
  <c r="L336" i="1"/>
  <c r="L337" i="1"/>
  <c r="L338" i="1"/>
  <c r="L339" i="1"/>
  <c r="L725" i="1"/>
  <c r="L341" i="1"/>
  <c r="L1007" i="1"/>
  <c r="L343" i="1"/>
  <c r="L134" i="1"/>
  <c r="L345" i="1"/>
  <c r="L346" i="1"/>
  <c r="L347" i="1"/>
  <c r="L614" i="1"/>
  <c r="L320" i="1"/>
  <c r="L350" i="1"/>
  <c r="L635" i="1"/>
  <c r="L930" i="1"/>
  <c r="L1130" i="1"/>
  <c r="L354" i="1"/>
  <c r="L1044" i="1"/>
  <c r="L356" i="1"/>
  <c r="L357" i="1"/>
  <c r="L932" i="1"/>
  <c r="L359" i="1"/>
  <c r="L1190" i="1"/>
  <c r="L361" i="1"/>
  <c r="L534" i="1"/>
  <c r="L834" i="1"/>
  <c r="L364" i="1"/>
  <c r="L109" i="1"/>
  <c r="L366" i="1"/>
  <c r="L177" i="1"/>
  <c r="L829" i="1"/>
  <c r="L369" i="1"/>
  <c r="L174" i="1"/>
  <c r="L371" i="1"/>
  <c r="L372" i="1"/>
  <c r="L373" i="1"/>
  <c r="L374" i="1"/>
  <c r="L375" i="1"/>
  <c r="L376" i="1"/>
  <c r="L518" i="1"/>
  <c r="L378" i="1"/>
  <c r="L379" i="1"/>
  <c r="L380" i="1"/>
  <c r="L478" i="1"/>
  <c r="L382" i="1"/>
  <c r="L383" i="1"/>
  <c r="L384" i="1"/>
  <c r="L566" i="1"/>
  <c r="L1114" i="1"/>
  <c r="L486" i="1"/>
  <c r="L388" i="1"/>
  <c r="L256" i="1"/>
  <c r="L390" i="1"/>
  <c r="L391" i="1"/>
  <c r="L392" i="1"/>
  <c r="L393" i="1"/>
  <c r="L394" i="1"/>
  <c r="L962" i="1"/>
  <c r="L396" i="1"/>
  <c r="L397" i="1"/>
  <c r="L1056" i="1"/>
  <c r="L1196" i="1"/>
  <c r="L684" i="1"/>
  <c r="L401" i="1"/>
  <c r="L402" i="1"/>
  <c r="L1075" i="1"/>
  <c r="L27" i="1"/>
  <c r="L1123" i="1"/>
  <c r="L406" i="1"/>
  <c r="L163" i="1"/>
  <c r="L408" i="1"/>
  <c r="L409" i="1"/>
  <c r="L344" i="1"/>
  <c r="L411" i="1"/>
  <c r="L914" i="1"/>
  <c r="L413" i="1"/>
  <c r="L1136" i="1"/>
  <c r="L415" i="1"/>
  <c r="L416" i="1"/>
  <c r="L606" i="1"/>
  <c r="L418" i="1"/>
  <c r="L269" i="1"/>
  <c r="L1106" i="1"/>
  <c r="L421" i="1"/>
  <c r="L422" i="1"/>
  <c r="L423" i="1"/>
  <c r="L377" i="1"/>
  <c r="L425" i="1"/>
  <c r="L426" i="1"/>
  <c r="L904" i="1"/>
  <c r="L428" i="1"/>
  <c r="L429" i="1"/>
  <c r="L430" i="1"/>
  <c r="L974" i="1"/>
  <c r="L432" i="1"/>
  <c r="L433" i="1"/>
  <c r="L1037" i="1"/>
  <c r="L471" i="1"/>
  <c r="L436" i="1"/>
  <c r="L497" i="1"/>
  <c r="L98" i="1"/>
  <c r="L703" i="1"/>
  <c r="L440" i="1"/>
  <c r="L441" i="1"/>
  <c r="L43" i="1"/>
  <c r="L443" i="1"/>
  <c r="L444" i="1"/>
  <c r="L964" i="1"/>
  <c r="L796" i="1"/>
  <c r="L473" i="1"/>
  <c r="L438" i="1"/>
  <c r="L449" i="1"/>
  <c r="L450" i="1"/>
  <c r="L553" i="1"/>
  <c r="L452" i="1"/>
  <c r="L1054" i="1"/>
  <c r="L454" i="1"/>
  <c r="L329" i="1"/>
  <c r="L340" i="1"/>
  <c r="L956" i="1"/>
  <c r="L626" i="1"/>
  <c r="L459" i="1"/>
  <c r="L798" i="1"/>
  <c r="L540" i="1"/>
  <c r="L462" i="1"/>
  <c r="L144" i="1"/>
  <c r="L771" i="1"/>
  <c r="L465" i="1"/>
  <c r="L327" i="1"/>
  <c r="L231" i="1"/>
  <c r="L403" i="1"/>
  <c r="L469" i="1"/>
  <c r="L470" i="1"/>
  <c r="L1085" i="1"/>
  <c r="L472" i="1"/>
  <c r="L1077" i="1"/>
  <c r="L474" i="1"/>
  <c r="L733" i="1"/>
  <c r="L646" i="1"/>
  <c r="L615" i="1"/>
  <c r="L923" i="1"/>
  <c r="L479" i="1"/>
  <c r="L480" i="1"/>
  <c r="L1068" i="1"/>
  <c r="L482" i="1"/>
  <c r="L483" i="1"/>
  <c r="L484" i="1"/>
  <c r="L485" i="1"/>
  <c r="L265" i="1"/>
  <c r="L868" i="1"/>
  <c r="L488" i="1"/>
  <c r="L1019" i="1"/>
  <c r="L1010" i="1"/>
  <c r="L491" i="1"/>
  <c r="L810" i="1"/>
  <c r="L493" i="1"/>
  <c r="L494" i="1"/>
  <c r="L495" i="1"/>
  <c r="L496" i="1"/>
  <c r="L126" i="1"/>
  <c r="L498" i="1"/>
  <c r="L499" i="1"/>
  <c r="L500" i="1"/>
  <c r="L971" i="1"/>
  <c r="L668" i="1"/>
  <c r="L1197" i="1"/>
  <c r="L504" i="1"/>
  <c r="L1084" i="1"/>
  <c r="L200" i="1"/>
  <c r="L507" i="1"/>
  <c r="L508" i="1"/>
  <c r="L1081" i="1"/>
  <c r="L510" i="1"/>
  <c r="L511" i="1"/>
  <c r="L387" i="1"/>
  <c r="L513" i="1"/>
  <c r="L514" i="1"/>
  <c r="L515" i="1"/>
  <c r="L516" i="1"/>
  <c r="L517" i="1"/>
  <c r="L528" i="1"/>
  <c r="L519" i="1"/>
  <c r="L520" i="1"/>
  <c r="L1187" i="1"/>
  <c r="L522" i="1"/>
  <c r="L252" i="1"/>
  <c r="L524" i="1"/>
  <c r="L783" i="1"/>
  <c r="L526" i="1"/>
  <c r="L698" i="1"/>
  <c r="L929" i="1"/>
  <c r="L529" i="1"/>
  <c r="L530" i="1"/>
  <c r="L467" i="1"/>
  <c r="L933" i="1"/>
  <c r="L533" i="1"/>
  <c r="L251" i="1"/>
  <c r="L1158" i="1"/>
  <c r="L330" i="1"/>
  <c r="L537" i="1"/>
  <c r="L786" i="1"/>
  <c r="L539" i="1"/>
  <c r="L424" i="1"/>
  <c r="L887" i="1"/>
  <c r="L542" i="1"/>
  <c r="L160" i="1"/>
  <c r="L115" i="1"/>
  <c r="L545" i="1"/>
  <c r="L546" i="1"/>
  <c r="L547" i="1"/>
  <c r="L151" i="1"/>
  <c r="L549" i="1"/>
  <c r="L550" i="1"/>
  <c r="L551" i="1"/>
  <c r="L552" i="1"/>
  <c r="L913" i="1"/>
  <c r="L554" i="1"/>
  <c r="L132" i="1"/>
  <c r="L556" i="1"/>
  <c r="L1040" i="1"/>
  <c r="L991" i="1"/>
  <c r="L502" i="1"/>
  <c r="L1137" i="1"/>
  <c r="L561" i="1"/>
  <c r="L1141" i="1"/>
  <c r="L776" i="1"/>
  <c r="L1042" i="1"/>
  <c r="L565" i="1"/>
  <c r="L487" i="1"/>
  <c r="L567" i="1"/>
  <c r="L568" i="1"/>
  <c r="L49" i="1"/>
  <c r="L570" i="1"/>
  <c r="L11" i="1"/>
  <c r="L572" i="1"/>
  <c r="L680" i="1"/>
  <c r="L434" i="1"/>
  <c r="L575" i="1"/>
  <c r="L475" i="1"/>
  <c r="L577" i="1"/>
  <c r="L578" i="1"/>
  <c r="L579" i="1"/>
  <c r="L580" i="1"/>
  <c r="L581" i="1"/>
  <c r="L582" i="1"/>
  <c r="L583" i="1"/>
  <c r="L584" i="1"/>
  <c r="L585" i="1"/>
  <c r="L1083" i="1"/>
  <c r="L4" i="1"/>
  <c r="L588" i="1"/>
  <c r="L589" i="1"/>
  <c r="L869" i="1"/>
  <c r="L591" i="1"/>
  <c r="L592" i="1"/>
  <c r="L1029" i="1"/>
  <c r="L594" i="1"/>
  <c r="L595" i="1"/>
  <c r="L596" i="1"/>
  <c r="L399" i="1"/>
  <c r="L598" i="1"/>
  <c r="L728" i="1"/>
  <c r="L175" i="1"/>
  <c r="L601" i="1"/>
  <c r="L1017" i="1"/>
  <c r="L603" i="1"/>
  <c r="L604" i="1"/>
  <c r="L782" i="1"/>
  <c r="L419" i="1"/>
  <c r="L894" i="1"/>
  <c r="L608" i="1"/>
  <c r="L609" i="1"/>
  <c r="L610" i="1"/>
  <c r="L611" i="1"/>
  <c r="L1180" i="1"/>
  <c r="L64" i="1"/>
  <c r="L686" i="1"/>
  <c r="L710" i="1"/>
  <c r="L455" i="1"/>
  <c r="L617" i="1"/>
  <c r="L128" i="1"/>
  <c r="L619" i="1"/>
  <c r="L353" i="1"/>
  <c r="L621" i="1"/>
  <c r="L155" i="1"/>
  <c r="L623" i="1"/>
  <c r="L624" i="1"/>
  <c r="L625" i="1"/>
  <c r="L541" i="1"/>
  <c r="L1133" i="1"/>
  <c r="L254" i="1"/>
  <c r="L629" i="1"/>
  <c r="L630" i="1"/>
  <c r="L445" i="1"/>
  <c r="L197" i="1"/>
  <c r="L1101" i="1"/>
  <c r="L634" i="1"/>
  <c r="L644" i="1"/>
  <c r="L636" i="1"/>
  <c r="L1186" i="1"/>
  <c r="L638" i="1"/>
  <c r="L639" i="1"/>
  <c r="L640" i="1"/>
  <c r="L641" i="1"/>
  <c r="L642" i="1"/>
  <c r="L643" i="1"/>
  <c r="L1168" i="1"/>
  <c r="L645" i="1"/>
  <c r="L573" i="1"/>
  <c r="L647" i="1"/>
  <c r="L648" i="1"/>
  <c r="L924" i="1"/>
  <c r="L650" i="1"/>
  <c r="L405" i="1"/>
  <c r="L1181" i="1"/>
  <c r="L653" i="1"/>
  <c r="L654" i="1"/>
  <c r="L999" i="1"/>
  <c r="L656" i="1"/>
  <c r="L167" i="1"/>
  <c r="L658" i="1"/>
  <c r="L322" i="1"/>
  <c r="L179" i="1"/>
  <c r="L661" i="1"/>
  <c r="L274" i="1"/>
  <c r="L1153" i="1"/>
  <c r="L404" i="1"/>
  <c r="L665" i="1"/>
  <c r="L666" i="1"/>
  <c r="L667" i="1"/>
  <c r="L855" i="1"/>
  <c r="L937" i="1"/>
  <c r="L670" i="1"/>
  <c r="L305" i="1"/>
  <c r="L439" i="1"/>
  <c r="L673" i="1"/>
  <c r="L448" i="1"/>
  <c r="L1014" i="1"/>
  <c r="L676" i="1"/>
  <c r="L590" i="1"/>
  <c r="L678" i="1"/>
  <c r="L679" i="1"/>
  <c r="L451" i="1"/>
  <c r="L681" i="1"/>
  <c r="L682" i="1"/>
  <c r="L683" i="1"/>
  <c r="L138" i="1"/>
  <c r="L685" i="1"/>
  <c r="L1125" i="1"/>
  <c r="L435" i="1"/>
  <c r="L688" i="1"/>
  <c r="L57" i="1"/>
  <c r="L978" i="1"/>
  <c r="L605" i="1"/>
  <c r="L461" i="1"/>
  <c r="L477" i="1"/>
  <c r="L694" i="1"/>
  <c r="L695" i="1"/>
  <c r="L259" i="1"/>
  <c r="L697" i="1"/>
  <c r="L323" i="1"/>
  <c r="L699" i="1"/>
  <c r="L746" i="1"/>
  <c r="L701" i="1"/>
  <c r="L702" i="1"/>
  <c r="L40" i="1"/>
  <c r="L704" i="1"/>
  <c r="L705" i="1"/>
  <c r="L706" i="1"/>
  <c r="L707" i="1"/>
  <c r="L54" i="1"/>
  <c r="L709" i="1"/>
  <c r="L59" i="1"/>
  <c r="L55" i="1"/>
  <c r="L762" i="1"/>
  <c r="L713" i="1"/>
  <c r="L627" i="1"/>
  <c r="L715" i="1"/>
  <c r="L716" i="1"/>
  <c r="L717" i="1"/>
  <c r="L718" i="1"/>
  <c r="L281" i="1"/>
  <c r="L720" i="1"/>
  <c r="L721" i="1"/>
  <c r="L722" i="1"/>
  <c r="L826" i="1"/>
  <c r="L724" i="1"/>
  <c r="L622" i="1"/>
  <c r="L751" i="1"/>
  <c r="L25" i="1"/>
  <c r="L100" i="1"/>
  <c r="L729" i="1"/>
  <c r="L730" i="1"/>
  <c r="L731" i="1"/>
  <c r="L732" i="1"/>
  <c r="L360" i="1"/>
  <c r="L734" i="1"/>
  <c r="L747" i="1"/>
  <c r="L736" i="1"/>
  <c r="L737" i="1"/>
  <c r="L649" i="1"/>
  <c r="L1034" i="1"/>
  <c r="L367" i="1"/>
  <c r="L741" i="1"/>
  <c r="L742" i="1"/>
  <c r="L743" i="1"/>
  <c r="L744" i="1"/>
  <c r="L201" i="1"/>
  <c r="L456" i="1"/>
  <c r="L764" i="1"/>
  <c r="L748" i="1"/>
  <c r="L677" i="1"/>
  <c r="L74" i="1"/>
  <c r="L633" i="1"/>
  <c r="L752" i="1"/>
  <c r="L753" i="1"/>
  <c r="L901" i="1"/>
  <c r="L755" i="1"/>
  <c r="L1090" i="1"/>
  <c r="L757" i="1"/>
  <c r="L1132" i="1"/>
  <c r="L1003" i="1"/>
  <c r="L760" i="1"/>
  <c r="L1151" i="1"/>
  <c r="L712" i="1"/>
  <c r="L161" i="1"/>
  <c r="L781" i="1"/>
  <c r="L108" i="1"/>
  <c r="L766" i="1"/>
  <c r="L767" i="1"/>
  <c r="L768" i="1"/>
  <c r="L769" i="1"/>
  <c r="L770" i="1"/>
  <c r="L858" i="1"/>
  <c r="L772" i="1"/>
  <c r="L10" i="1"/>
  <c r="L819" i="1"/>
  <c r="L775" i="1"/>
  <c r="L1031" i="1"/>
  <c r="L777" i="1"/>
  <c r="L778" i="1"/>
  <c r="L779" i="1"/>
  <c r="L780" i="1"/>
  <c r="L657" i="1"/>
  <c r="L222" i="1"/>
  <c r="L302" i="1"/>
  <c r="L784" i="1"/>
  <c r="L569" i="1"/>
  <c r="L535" i="1"/>
  <c r="L787" i="1"/>
  <c r="L788" i="1"/>
  <c r="L789" i="1"/>
  <c r="L790" i="1"/>
  <c r="L791" i="1"/>
  <c r="L792" i="1"/>
  <c r="L793" i="1"/>
  <c r="L794" i="1"/>
  <c r="L651" i="1"/>
  <c r="L1004" i="1"/>
  <c r="L797" i="1"/>
  <c r="L325" i="1"/>
  <c r="L920" i="1"/>
  <c r="L800" i="1"/>
  <c r="L801" i="1"/>
  <c r="L802" i="1"/>
  <c r="L803" i="1"/>
  <c r="L804" i="1"/>
  <c r="L221" i="1"/>
  <c r="L806" i="1"/>
  <c r="L807" i="1"/>
  <c r="L808" i="1"/>
  <c r="L809" i="1"/>
  <c r="L381" i="1"/>
  <c r="L811" i="1"/>
  <c r="L968" i="1"/>
  <c r="L813" i="1"/>
  <c r="L814" i="1"/>
  <c r="L815" i="1"/>
  <c r="L557" i="1"/>
  <c r="L525" i="1"/>
  <c r="L349" i="1"/>
  <c r="L457" i="1"/>
  <c r="L24" i="1"/>
  <c r="L821" i="1"/>
  <c r="L822" i="1"/>
  <c r="L823" i="1"/>
  <c r="L824" i="1"/>
  <c r="L825" i="1"/>
  <c r="L67" i="1"/>
  <c r="L997" i="1"/>
  <c r="L828" i="1"/>
  <c r="L1072" i="1"/>
  <c r="L830" i="1"/>
  <c r="L831" i="1"/>
  <c r="L832" i="1"/>
  <c r="L833" i="1"/>
  <c r="L761" i="1"/>
  <c r="L835" i="1"/>
  <c r="L836" i="1"/>
  <c r="L915" i="1"/>
  <c r="L838" i="1"/>
  <c r="L839" i="1"/>
  <c r="L351" i="1"/>
  <c r="L660" i="1"/>
  <c r="L842" i="1"/>
  <c r="L843" i="1"/>
  <c r="L490" i="1"/>
  <c r="L845" i="1"/>
  <c r="L846" i="1"/>
  <c r="L756" i="1"/>
  <c r="L501" i="1"/>
  <c r="L849" i="1"/>
  <c r="L1073" i="1"/>
  <c r="L851" i="1"/>
  <c r="L852" i="1"/>
  <c r="L853" i="1"/>
  <c r="L854" i="1"/>
  <c r="L214" i="1"/>
  <c r="L503" i="1"/>
  <c r="L857" i="1"/>
  <c r="L735" i="1"/>
  <c r="L859" i="1"/>
  <c r="L860" i="1"/>
  <c r="L861" i="1"/>
  <c r="L740" i="1"/>
  <c r="L692" i="1"/>
  <c r="L864" i="1"/>
  <c r="L1058" i="1"/>
  <c r="L663" i="1"/>
  <c r="L867" i="1"/>
  <c r="L763" i="1"/>
  <c r="L818" i="1"/>
  <c r="L273" i="1"/>
  <c r="L586" i="1"/>
  <c r="L91" i="1"/>
  <c r="L873" i="1"/>
  <c r="L874" i="1"/>
  <c r="L875" i="1"/>
  <c r="L1105" i="1"/>
  <c r="L558" i="1"/>
  <c r="L995" i="1"/>
  <c r="L15" i="1"/>
  <c r="L880" i="1"/>
  <c r="L881" i="1"/>
  <c r="L882" i="1"/>
  <c r="L883" i="1"/>
  <c r="L884" i="1"/>
  <c r="L113" i="1"/>
  <c r="L886" i="1"/>
  <c r="L1005" i="1"/>
  <c r="L888" i="1"/>
  <c r="L505" i="1"/>
  <c r="L890" i="1"/>
  <c r="L891" i="1"/>
  <c r="L892" i="1"/>
  <c r="L893" i="1"/>
  <c r="L935" i="1"/>
  <c r="L895" i="1"/>
  <c r="L896" i="1"/>
  <c r="L897" i="1"/>
  <c r="L898" i="1"/>
  <c r="L899" i="1"/>
  <c r="L900" i="1"/>
  <c r="L442" i="1"/>
  <c r="L902" i="1"/>
  <c r="L765" i="1"/>
  <c r="L866" i="1"/>
  <c r="L905" i="1"/>
  <c r="L906" i="1"/>
  <c r="L700" i="1"/>
  <c r="L908" i="1"/>
  <c r="L909" i="1"/>
  <c r="L910" i="1"/>
  <c r="L911" i="1"/>
  <c r="L587" i="1"/>
  <c r="L523" i="1"/>
  <c r="L348" i="1"/>
  <c r="L805" i="1"/>
  <c r="L453" i="1"/>
  <c r="L917" i="1"/>
  <c r="L918" i="1"/>
  <c r="L919" i="1"/>
  <c r="L1193" i="1"/>
  <c r="L921" i="1"/>
  <c r="L922" i="1"/>
  <c r="L1011" i="1"/>
  <c r="L1060" i="1"/>
  <c r="L548" i="1"/>
  <c r="L926" i="1"/>
  <c r="L927" i="1"/>
  <c r="L928" i="1"/>
  <c r="L738" i="1"/>
  <c r="L1145" i="1"/>
  <c r="L60" i="1"/>
  <c r="L750" i="1"/>
  <c r="L687" i="1"/>
  <c r="L934" i="1"/>
  <c r="L400" i="1"/>
  <c r="L690" i="1"/>
  <c r="L270" i="1"/>
  <c r="L17" i="1"/>
  <c r="L1104" i="1"/>
  <c r="L940" i="1"/>
  <c r="L941" i="1"/>
  <c r="L942" i="1"/>
  <c r="L943" i="1"/>
  <c r="L1046" i="1"/>
  <c r="L945" i="1"/>
  <c r="L946" i="1"/>
  <c r="L993" i="1"/>
  <c r="L948" i="1"/>
  <c r="L51" i="1"/>
  <c r="L950" i="1"/>
  <c r="L1183" i="1"/>
  <c r="L952" i="1"/>
  <c r="L953" i="1"/>
  <c r="L954" i="1"/>
  <c r="L955" i="1"/>
  <c r="L795" i="1"/>
  <c r="L957" i="1"/>
  <c r="L574" i="1"/>
  <c r="L959" i="1"/>
  <c r="L960" i="1"/>
  <c r="L961" i="1"/>
  <c r="L136" i="1"/>
  <c r="L963" i="1"/>
  <c r="L258" i="1"/>
  <c r="L965" i="1"/>
  <c r="L83" i="1"/>
  <c r="L632" i="1"/>
  <c r="L362" i="1"/>
  <c r="L969" i="1"/>
  <c r="L970" i="1"/>
  <c r="L352" i="1"/>
  <c r="L972" i="1"/>
  <c r="L973" i="1"/>
  <c r="L675" i="1"/>
  <c r="L975" i="1"/>
  <c r="L976" i="1"/>
  <c r="L977" i="1"/>
  <c r="L235" i="1"/>
  <c r="L979" i="1"/>
  <c r="L980" i="1"/>
  <c r="L981" i="1"/>
  <c r="L481" i="1"/>
  <c r="L983" i="1"/>
  <c r="L984" i="1"/>
  <c r="L985" i="1"/>
  <c r="L135" i="1"/>
  <c r="L987" i="1"/>
  <c r="L988" i="1"/>
  <c r="L989" i="1"/>
  <c r="L990" i="1"/>
  <c r="L1163" i="1"/>
  <c r="L119" i="1"/>
  <c r="L308" i="1"/>
  <c r="L1177" i="1"/>
  <c r="L120" i="1"/>
  <c r="L612" i="1"/>
  <c r="L389" i="1"/>
  <c r="L998" i="1"/>
  <c r="L118" i="1"/>
  <c r="L1000" i="1"/>
  <c r="L355" i="1"/>
  <c r="L1002" i="1"/>
  <c r="L145" i="1"/>
  <c r="L785" i="1"/>
  <c r="L370" i="1"/>
  <c r="L447" i="1"/>
  <c r="L1138" i="1"/>
  <c r="L1008" i="1"/>
  <c r="L1009" i="1"/>
  <c r="L127" i="1"/>
  <c r="L759" i="1"/>
  <c r="L1012" i="1"/>
  <c r="L1013" i="1"/>
  <c r="L420" i="1"/>
  <c r="L1015" i="1"/>
  <c r="L1016" i="1"/>
  <c r="L1048" i="1"/>
  <c r="L1018" i="1"/>
  <c r="L1165" i="1"/>
  <c r="L1020" i="1"/>
  <c r="L1021" i="1"/>
  <c r="L1022" i="1"/>
  <c r="L1023" i="1"/>
  <c r="L1024" i="1"/>
  <c r="L1025" i="1"/>
  <c r="L1026" i="1"/>
  <c r="L1027" i="1"/>
  <c r="L1028" i="1"/>
  <c r="L847" i="1"/>
  <c r="L1030" i="1"/>
  <c r="L368" i="1"/>
  <c r="L1032" i="1"/>
  <c r="L257" i="1"/>
  <c r="L1178" i="1"/>
  <c r="L1035" i="1"/>
  <c r="L1036" i="1"/>
  <c r="L30" i="1"/>
  <c r="L1038" i="1"/>
  <c r="L1039" i="1"/>
  <c r="L655" i="1"/>
  <c r="L1041" i="1"/>
  <c r="L88" i="1"/>
  <c r="L1001" i="1"/>
  <c r="L749" i="1"/>
  <c r="L1045" i="1"/>
  <c r="L870" i="1"/>
  <c r="L1047" i="1"/>
  <c r="L9" i="1"/>
  <c r="L1049" i="1"/>
  <c r="L1050" i="1"/>
  <c r="L1051" i="1"/>
  <c r="L306" i="1"/>
  <c r="L1053" i="1"/>
  <c r="L1201" i="1"/>
  <c r="L1055" i="1"/>
  <c r="L947" i="1"/>
  <c r="L1057" i="1"/>
  <c r="L1119" i="1"/>
  <c r="L912" i="1"/>
  <c r="L468" i="1"/>
  <c r="L844" i="1"/>
  <c r="L1062" i="1"/>
  <c r="L315" i="1"/>
  <c r="L1064" i="1"/>
  <c r="L1065" i="1"/>
  <c r="L1066" i="1"/>
  <c r="L1067" i="1"/>
  <c r="L1059" i="1"/>
  <c r="L1069" i="1"/>
  <c r="L1070" i="1"/>
  <c r="L1071" i="1"/>
  <c r="L531" i="1"/>
  <c r="L714" i="1"/>
  <c r="L1074" i="1"/>
  <c r="L949" i="1"/>
  <c r="L1076" i="1"/>
  <c r="L226" i="1"/>
  <c r="L1148" i="1"/>
  <c r="L1079" i="1"/>
  <c r="L1080" i="1"/>
  <c r="L593" i="1"/>
  <c r="L407" i="1"/>
  <c r="L885" i="1"/>
  <c r="L123" i="1"/>
  <c r="L14" i="1"/>
  <c r="L1086" i="1"/>
  <c r="L1087" i="1"/>
  <c r="L1088" i="1"/>
  <c r="L1089" i="1"/>
  <c r="L1082" i="1"/>
  <c r="L1091" i="1"/>
  <c r="L872" i="1"/>
  <c r="L1093" i="1"/>
  <c r="L1094" i="1"/>
  <c r="L1095" i="1"/>
  <c r="L1096" i="1"/>
  <c r="L219" i="1"/>
  <c r="L1098" i="1"/>
  <c r="L1099" i="1"/>
  <c r="L1100" i="1"/>
  <c r="L850" i="1"/>
  <c r="L1102" i="1"/>
  <c r="L674" i="1"/>
  <c r="L521" i="1"/>
  <c r="L509" i="1"/>
  <c r="L903" i="1"/>
  <c r="L1107" i="1"/>
  <c r="L1108" i="1"/>
  <c r="L1109" i="1"/>
  <c r="L1110" i="1"/>
  <c r="L1111" i="1"/>
  <c r="L1112" i="1"/>
  <c r="L1113" i="1"/>
  <c r="L817" i="1"/>
  <c r="L1115" i="1"/>
  <c r="L1116" i="1"/>
  <c r="L1117" i="1"/>
  <c r="L1118" i="1"/>
  <c r="L876" i="1"/>
  <c r="L1120" i="1"/>
  <c r="L1121" i="1"/>
  <c r="L1122" i="1"/>
  <c r="L848" i="1"/>
  <c r="L1124" i="1"/>
  <c r="L996" i="1"/>
  <c r="L1126" i="1"/>
  <c r="L1127" i="1"/>
  <c r="L837" i="1"/>
  <c r="L1129" i="1"/>
  <c r="L232" i="1"/>
  <c r="L1131" i="1"/>
  <c r="L555" i="1"/>
  <c r="L600" i="1"/>
  <c r="L1134" i="1"/>
  <c r="L597" i="1"/>
  <c r="L85" i="1"/>
  <c r="L1103" i="1"/>
  <c r="L1172" i="1"/>
  <c r="L463" i="1"/>
  <c r="L1140" i="1"/>
  <c r="L253" i="1"/>
  <c r="L1142" i="1"/>
  <c r="L1143" i="1"/>
  <c r="L1144" i="1"/>
  <c r="L856" i="1"/>
  <c r="L1146" i="1"/>
  <c r="L1147" i="1"/>
  <c r="L1006" i="1"/>
  <c r="L1149" i="1"/>
  <c r="L1150" i="1"/>
  <c r="L412" i="1"/>
  <c r="L1152" i="1"/>
  <c r="L925" i="1"/>
  <c r="L1154" i="1"/>
  <c r="L1155" i="1"/>
  <c r="L1156" i="1"/>
  <c r="L95" i="1"/>
  <c r="L607" i="1"/>
  <c r="L1159" i="1"/>
  <c r="L1160" i="1"/>
  <c r="L1161" i="1"/>
  <c r="L1162" i="1"/>
  <c r="L820" i="1"/>
  <c r="L1164" i="1"/>
  <c r="L195" i="1"/>
  <c r="L1166" i="1"/>
  <c r="L877" i="1"/>
  <c r="L931" i="1"/>
  <c r="L1169" i="1"/>
  <c r="L1170" i="1"/>
  <c r="L1171" i="1"/>
  <c r="L878" i="1"/>
  <c r="L1173" i="1"/>
  <c r="L1174" i="1"/>
  <c r="L1175" i="1"/>
  <c r="L1176" i="1"/>
  <c r="L29" i="1"/>
  <c r="L263" i="1"/>
  <c r="L1179" i="1"/>
  <c r="L363" i="1"/>
  <c r="L268" i="1"/>
  <c r="L1182" i="1"/>
  <c r="L840" i="1"/>
  <c r="L1184" i="1"/>
  <c r="L1185" i="1"/>
  <c r="L862" i="1"/>
  <c r="L466" i="1"/>
  <c r="L1188" i="1"/>
  <c r="L726" i="1"/>
  <c r="L398" i="1"/>
  <c r="L1191" i="1"/>
  <c r="L1192" i="1"/>
  <c r="L395" i="1"/>
  <c r="L1194" i="1"/>
  <c r="L1195" i="1"/>
  <c r="L841" i="1"/>
  <c r="L215" i="1"/>
  <c r="L1198" i="1"/>
  <c r="L1199" i="1"/>
  <c r="L1200" i="1"/>
  <c r="L560" i="1"/>
  <c r="K2" i="1"/>
  <c r="K967" i="1"/>
  <c r="K240" i="1"/>
  <c r="K5" i="1"/>
  <c r="K6" i="1"/>
  <c r="K7" i="1"/>
  <c r="K8" i="1"/>
  <c r="K296" i="1"/>
  <c r="K41" i="1"/>
  <c r="K745" i="1"/>
  <c r="K12" i="1"/>
  <c r="K358" i="1"/>
  <c r="K907" i="1"/>
  <c r="K202" i="1"/>
  <c r="K16" i="1"/>
  <c r="K446" i="1"/>
  <c r="K18" i="1"/>
  <c r="K110" i="1"/>
  <c r="K20" i="1"/>
  <c r="K21" i="1"/>
  <c r="K22" i="1"/>
  <c r="K23" i="1"/>
  <c r="K982" i="1"/>
  <c r="K280" i="1"/>
  <c r="K26" i="1"/>
  <c r="K662" i="1"/>
  <c r="K28" i="1"/>
  <c r="K1135" i="1"/>
  <c r="K708" i="1"/>
  <c r="K31" i="1"/>
  <c r="K32" i="1"/>
  <c r="K33" i="1"/>
  <c r="K34" i="1"/>
  <c r="K35" i="1"/>
  <c r="K36" i="1"/>
  <c r="K37" i="1"/>
  <c r="K38" i="1"/>
  <c r="K39" i="1"/>
  <c r="K417" i="1"/>
  <c r="K739" i="1"/>
  <c r="K42" i="1"/>
  <c r="K316" i="1"/>
  <c r="K44" i="1"/>
  <c r="K45" i="1"/>
  <c r="K46" i="1"/>
  <c r="K47" i="1"/>
  <c r="K48" i="1"/>
  <c r="K812" i="1"/>
  <c r="K50" i="1"/>
  <c r="K90" i="1"/>
  <c r="K52" i="1"/>
  <c r="K53" i="1"/>
  <c r="K73" i="1"/>
  <c r="K261" i="1"/>
  <c r="K492" i="1"/>
  <c r="K103" i="1"/>
  <c r="K58" i="1"/>
  <c r="K458" i="1"/>
  <c r="K774" i="1"/>
  <c r="K282" i="1"/>
  <c r="K62" i="1"/>
  <c r="K63" i="1"/>
  <c r="K171" i="1"/>
  <c r="K613" i="1"/>
  <c r="K66" i="1"/>
  <c r="K563" i="1"/>
  <c r="K68" i="1"/>
  <c r="K69" i="1"/>
  <c r="K70" i="1"/>
  <c r="K532" i="1"/>
  <c r="K72" i="1"/>
  <c r="K1092" i="1"/>
  <c r="K146" i="1"/>
  <c r="K75" i="1"/>
  <c r="K76" i="1"/>
  <c r="K77" i="1"/>
  <c r="K78" i="1"/>
  <c r="K79" i="1"/>
  <c r="K80" i="1"/>
  <c r="K81" i="1"/>
  <c r="K82" i="1"/>
  <c r="K711" i="1"/>
  <c r="K84" i="1"/>
  <c r="K250" i="1"/>
  <c r="K437" i="1"/>
  <c r="K87" i="1"/>
  <c r="K1063" i="1"/>
  <c r="K89" i="1"/>
  <c r="K506" i="1"/>
  <c r="K951" i="1"/>
  <c r="K92" i="1"/>
  <c r="K93" i="1"/>
  <c r="K659" i="1"/>
  <c r="K669" i="1"/>
  <c r="K96" i="1"/>
  <c r="K599" i="1"/>
  <c r="K628" i="1"/>
  <c r="K99" i="1"/>
  <c r="K994" i="1"/>
  <c r="K65" i="1"/>
  <c r="K102" i="1"/>
  <c r="K1167" i="1"/>
  <c r="K104" i="1"/>
  <c r="K105" i="1"/>
  <c r="K106" i="1"/>
  <c r="K107" i="1"/>
  <c r="K19" i="1"/>
  <c r="K916" i="1"/>
  <c r="K342" i="1"/>
  <c r="K616" i="1"/>
  <c r="K637" i="1"/>
  <c r="K544" i="1"/>
  <c r="K114" i="1"/>
  <c r="K13" i="1"/>
  <c r="K116" i="1"/>
  <c r="K117" i="1"/>
  <c r="K944" i="1"/>
  <c r="K543" i="1"/>
  <c r="K1189" i="1"/>
  <c r="K121" i="1"/>
  <c r="K576" i="1"/>
  <c r="K939" i="1"/>
  <c r="K124" i="1"/>
  <c r="K125" i="1"/>
  <c r="K311" i="1"/>
  <c r="K460" i="1"/>
  <c r="K299" i="1"/>
  <c r="K129" i="1"/>
  <c r="K130" i="1"/>
  <c r="K131" i="1"/>
  <c r="K186" i="1"/>
  <c r="K133" i="1"/>
  <c r="K672" i="1"/>
  <c r="K799" i="1"/>
  <c r="K335" i="1"/>
  <c r="K137" i="1"/>
  <c r="K286" i="1"/>
  <c r="K139" i="1"/>
  <c r="K140" i="1"/>
  <c r="K141" i="1"/>
  <c r="K142" i="1"/>
  <c r="K143" i="1"/>
  <c r="K112" i="1"/>
  <c r="K385" i="1"/>
  <c r="K164" i="1"/>
  <c r="K147" i="1"/>
  <c r="K148" i="1"/>
  <c r="K149" i="1"/>
  <c r="K150" i="1"/>
  <c r="K719" i="1"/>
  <c r="K152" i="1"/>
  <c r="K153" i="1"/>
  <c r="K154" i="1"/>
  <c r="K213" i="1"/>
  <c r="K156" i="1"/>
  <c r="K157" i="1"/>
  <c r="K564" i="1"/>
  <c r="K159" i="1"/>
  <c r="K620" i="1"/>
  <c r="K464" i="1"/>
  <c r="K992" i="1"/>
  <c r="K97" i="1"/>
  <c r="K652" i="1"/>
  <c r="K165" i="1"/>
  <c r="K166" i="1"/>
  <c r="K162" i="1"/>
  <c r="K168" i="1"/>
  <c r="K169" i="1"/>
  <c r="K170" i="1"/>
  <c r="K247" i="1"/>
  <c r="K172" i="1"/>
  <c r="K173" i="1"/>
  <c r="K773" i="1"/>
  <c r="K318" i="1"/>
  <c r="K365" i="1"/>
  <c r="K696" i="1"/>
  <c r="K178" i="1"/>
  <c r="K571" i="1"/>
  <c r="K180" i="1"/>
  <c r="K181" i="1"/>
  <c r="K182" i="1"/>
  <c r="K183" i="1"/>
  <c r="K184" i="1"/>
  <c r="K176" i="1"/>
  <c r="K691" i="1"/>
  <c r="K187" i="1"/>
  <c r="K185" i="1"/>
  <c r="K189" i="1"/>
  <c r="K190" i="1"/>
  <c r="K562" i="1"/>
  <c r="K476" i="1"/>
  <c r="K193" i="1"/>
  <c r="K194" i="1"/>
  <c r="K111" i="1"/>
  <c r="K196" i="1"/>
  <c r="K386" i="1"/>
  <c r="K198" i="1"/>
  <c r="K827" i="1"/>
  <c r="K101" i="1"/>
  <c r="K1128" i="1"/>
  <c r="K1033" i="1"/>
  <c r="K203" i="1"/>
  <c r="K204" i="1"/>
  <c r="K205" i="1"/>
  <c r="K206" i="1"/>
  <c r="K207" i="1"/>
  <c r="K208" i="1"/>
  <c r="K209" i="1"/>
  <c r="K210" i="1"/>
  <c r="K211" i="1"/>
  <c r="K212" i="1"/>
  <c r="K122" i="1"/>
  <c r="K94" i="1"/>
  <c r="K889" i="1"/>
  <c r="K216" i="1"/>
  <c r="K217" i="1"/>
  <c r="K816" i="1"/>
  <c r="K1097" i="1"/>
  <c r="K220" i="1"/>
  <c r="K693" i="1"/>
  <c r="K1052" i="1"/>
  <c r="K223" i="1"/>
  <c r="K224" i="1"/>
  <c r="K225" i="1"/>
  <c r="K536" i="1"/>
  <c r="K227" i="1"/>
  <c r="K228" i="1"/>
  <c r="K229" i="1"/>
  <c r="K230" i="1"/>
  <c r="K158" i="1"/>
  <c r="K936" i="1"/>
  <c r="K233" i="1"/>
  <c r="K234" i="1"/>
  <c r="K1157" i="1"/>
  <c r="K236" i="1"/>
  <c r="K237" i="1"/>
  <c r="K238" i="1"/>
  <c r="K239" i="1"/>
  <c r="K618" i="1"/>
  <c r="K241" i="1"/>
  <c r="K242" i="1"/>
  <c r="K243" i="1"/>
  <c r="K244" i="1"/>
  <c r="K245" i="1"/>
  <c r="K246" i="1"/>
  <c r="K1061" i="1"/>
  <c r="K248" i="1"/>
  <c r="K249" i="1"/>
  <c r="K86" i="1"/>
  <c r="K631" i="1"/>
  <c r="K188" i="1"/>
  <c r="K489" i="1"/>
  <c r="K1078" i="1"/>
  <c r="K255" i="1"/>
  <c r="K260" i="1"/>
  <c r="K56" i="1"/>
  <c r="K559" i="1"/>
  <c r="K871" i="1"/>
  <c r="K71" i="1"/>
  <c r="K958" i="1"/>
  <c r="K262" i="1"/>
  <c r="K431" i="1"/>
  <c r="K191" i="1"/>
  <c r="K966" i="1"/>
  <c r="K266" i="1"/>
  <c r="K267" i="1"/>
  <c r="K986" i="1"/>
  <c r="K295" i="1"/>
  <c r="K727" i="1"/>
  <c r="K271" i="1"/>
  <c r="K1139" i="1"/>
  <c r="K199" i="1"/>
  <c r="K758" i="1"/>
  <c r="K275" i="1"/>
  <c r="K276" i="1"/>
  <c r="K277" i="1"/>
  <c r="K278" i="1"/>
  <c r="K279" i="1"/>
  <c r="K410" i="1"/>
  <c r="K754" i="1"/>
  <c r="K671" i="1"/>
  <c r="K283" i="1"/>
  <c r="K284" i="1"/>
  <c r="K285" i="1"/>
  <c r="K427" i="1"/>
  <c r="K287" i="1"/>
  <c r="K288" i="1"/>
  <c r="K289" i="1"/>
  <c r="K290" i="1"/>
  <c r="K291" i="1"/>
  <c r="K292" i="1"/>
  <c r="K293" i="1"/>
  <c r="K294" i="1"/>
  <c r="K414" i="1"/>
  <c r="K1043" i="1"/>
  <c r="K297" i="1"/>
  <c r="K298" i="1"/>
  <c r="K272" i="1"/>
  <c r="K300" i="1"/>
  <c r="K301" i="1"/>
  <c r="K192" i="1"/>
  <c r="K303" i="1"/>
  <c r="K304" i="1"/>
  <c r="K3" i="1"/>
  <c r="K218" i="1"/>
  <c r="K307" i="1"/>
  <c r="K314" i="1"/>
  <c r="K309" i="1"/>
  <c r="K310" i="1"/>
  <c r="K538" i="1"/>
  <c r="K312" i="1"/>
  <c r="K313" i="1"/>
  <c r="K689" i="1"/>
  <c r="K264" i="1"/>
  <c r="K527" i="1"/>
  <c r="K317" i="1"/>
  <c r="K938" i="1"/>
  <c r="K319" i="1"/>
  <c r="K865" i="1"/>
  <c r="K321" i="1"/>
  <c r="K879" i="1"/>
  <c r="K723" i="1"/>
  <c r="K324" i="1"/>
  <c r="K664" i="1"/>
  <c r="K326" i="1"/>
  <c r="K512" i="1"/>
  <c r="K328" i="1"/>
  <c r="K61" i="1"/>
  <c r="K863" i="1"/>
  <c r="K331" i="1"/>
  <c r="K332" i="1"/>
  <c r="K333" i="1"/>
  <c r="K334" i="1"/>
  <c r="K602" i="1"/>
  <c r="K336" i="1"/>
  <c r="K337" i="1"/>
  <c r="K338" i="1"/>
  <c r="K339" i="1"/>
  <c r="K725" i="1"/>
  <c r="K341" i="1"/>
  <c r="K1007" i="1"/>
  <c r="K343" i="1"/>
  <c r="K134" i="1"/>
  <c r="K345" i="1"/>
  <c r="K346" i="1"/>
  <c r="K347" i="1"/>
  <c r="K614" i="1"/>
  <c r="K320" i="1"/>
  <c r="K350" i="1"/>
  <c r="K635" i="1"/>
  <c r="K930" i="1"/>
  <c r="K1130" i="1"/>
  <c r="K354" i="1"/>
  <c r="K1044" i="1"/>
  <c r="K356" i="1"/>
  <c r="K357" i="1"/>
  <c r="K932" i="1"/>
  <c r="K359" i="1"/>
  <c r="K1190" i="1"/>
  <c r="K361" i="1"/>
  <c r="K534" i="1"/>
  <c r="K834" i="1"/>
  <c r="K364" i="1"/>
  <c r="K109" i="1"/>
  <c r="K366" i="1"/>
  <c r="K177" i="1"/>
  <c r="K829" i="1"/>
  <c r="K369" i="1"/>
  <c r="K174" i="1"/>
  <c r="K371" i="1"/>
  <c r="K372" i="1"/>
  <c r="K373" i="1"/>
  <c r="K374" i="1"/>
  <c r="K375" i="1"/>
  <c r="K376" i="1"/>
  <c r="K518" i="1"/>
  <c r="K378" i="1"/>
  <c r="K379" i="1"/>
  <c r="K380" i="1"/>
  <c r="K478" i="1"/>
  <c r="K382" i="1"/>
  <c r="K383" i="1"/>
  <c r="K384" i="1"/>
  <c r="K566" i="1"/>
  <c r="K1114" i="1"/>
  <c r="K486" i="1"/>
  <c r="K388" i="1"/>
  <c r="K256" i="1"/>
  <c r="K390" i="1"/>
  <c r="K391" i="1"/>
  <c r="K392" i="1"/>
  <c r="K393" i="1"/>
  <c r="K394" i="1"/>
  <c r="K962" i="1"/>
  <c r="K396" i="1"/>
  <c r="K397" i="1"/>
  <c r="K1056" i="1"/>
  <c r="K1196" i="1"/>
  <c r="K684" i="1"/>
  <c r="K401" i="1"/>
  <c r="K402" i="1"/>
  <c r="K1075" i="1"/>
  <c r="K27" i="1"/>
  <c r="K1123" i="1"/>
  <c r="K406" i="1"/>
  <c r="K163" i="1"/>
  <c r="K408" i="1"/>
  <c r="K409" i="1"/>
  <c r="K344" i="1"/>
  <c r="K411" i="1"/>
  <c r="K914" i="1"/>
  <c r="K413" i="1"/>
  <c r="K1136" i="1"/>
  <c r="K415" i="1"/>
  <c r="K416" i="1"/>
  <c r="K606" i="1"/>
  <c r="K418" i="1"/>
  <c r="K269" i="1"/>
  <c r="K1106" i="1"/>
  <c r="K421" i="1"/>
  <c r="K422" i="1"/>
  <c r="K423" i="1"/>
  <c r="K377" i="1"/>
  <c r="K425" i="1"/>
  <c r="K426" i="1"/>
  <c r="K904" i="1"/>
  <c r="K428" i="1"/>
  <c r="K429" i="1"/>
  <c r="K430" i="1"/>
  <c r="K974" i="1"/>
  <c r="K432" i="1"/>
  <c r="K433" i="1"/>
  <c r="K1037" i="1"/>
  <c r="K471" i="1"/>
  <c r="K436" i="1"/>
  <c r="K497" i="1"/>
  <c r="K98" i="1"/>
  <c r="K703" i="1"/>
  <c r="K440" i="1"/>
  <c r="K441" i="1"/>
  <c r="K43" i="1"/>
  <c r="K443" i="1"/>
  <c r="K444" i="1"/>
  <c r="K964" i="1"/>
  <c r="K796" i="1"/>
  <c r="K473" i="1"/>
  <c r="K438" i="1"/>
  <c r="K449" i="1"/>
  <c r="K450" i="1"/>
  <c r="K553" i="1"/>
  <c r="K452" i="1"/>
  <c r="K1054" i="1"/>
  <c r="K454" i="1"/>
  <c r="K329" i="1"/>
  <c r="K340" i="1"/>
  <c r="K956" i="1"/>
  <c r="K626" i="1"/>
  <c r="K459" i="1"/>
  <c r="K798" i="1"/>
  <c r="K540" i="1"/>
  <c r="K462" i="1"/>
  <c r="K144" i="1"/>
  <c r="K771" i="1"/>
  <c r="K465" i="1"/>
  <c r="K327" i="1"/>
  <c r="K231" i="1"/>
  <c r="K403" i="1"/>
  <c r="K469" i="1"/>
  <c r="K470" i="1"/>
  <c r="K1085" i="1"/>
  <c r="K472" i="1"/>
  <c r="K1077" i="1"/>
  <c r="K474" i="1"/>
  <c r="K733" i="1"/>
  <c r="K646" i="1"/>
  <c r="K615" i="1"/>
  <c r="K923" i="1"/>
  <c r="K479" i="1"/>
  <c r="K480" i="1"/>
  <c r="K1068" i="1"/>
  <c r="K482" i="1"/>
  <c r="K483" i="1"/>
  <c r="K484" i="1"/>
  <c r="K485" i="1"/>
  <c r="K265" i="1"/>
  <c r="K868" i="1"/>
  <c r="K488" i="1"/>
  <c r="K1019" i="1"/>
  <c r="K1010" i="1"/>
  <c r="K491" i="1"/>
  <c r="K810" i="1"/>
  <c r="K493" i="1"/>
  <c r="K494" i="1"/>
  <c r="K495" i="1"/>
  <c r="K496" i="1"/>
  <c r="K126" i="1"/>
  <c r="K498" i="1"/>
  <c r="K499" i="1"/>
  <c r="K500" i="1"/>
  <c r="K971" i="1"/>
  <c r="K668" i="1"/>
  <c r="K1197" i="1"/>
  <c r="K504" i="1"/>
  <c r="K1084" i="1"/>
  <c r="K200" i="1"/>
  <c r="K507" i="1"/>
  <c r="K508" i="1"/>
  <c r="K1081" i="1"/>
  <c r="K510" i="1"/>
  <c r="K511" i="1"/>
  <c r="K387" i="1"/>
  <c r="K513" i="1"/>
  <c r="K514" i="1"/>
  <c r="K515" i="1"/>
  <c r="K516" i="1"/>
  <c r="K517" i="1"/>
  <c r="K528" i="1"/>
  <c r="K519" i="1"/>
  <c r="K520" i="1"/>
  <c r="K1187" i="1"/>
  <c r="K522" i="1"/>
  <c r="K252" i="1"/>
  <c r="K524" i="1"/>
  <c r="K783" i="1"/>
  <c r="K526" i="1"/>
  <c r="K698" i="1"/>
  <c r="K929" i="1"/>
  <c r="K529" i="1"/>
  <c r="K530" i="1"/>
  <c r="K467" i="1"/>
  <c r="K933" i="1"/>
  <c r="K533" i="1"/>
  <c r="K251" i="1"/>
  <c r="K1158" i="1"/>
  <c r="K330" i="1"/>
  <c r="K537" i="1"/>
  <c r="K786" i="1"/>
  <c r="K539" i="1"/>
  <c r="K424" i="1"/>
  <c r="K887" i="1"/>
  <c r="K542" i="1"/>
  <c r="K160" i="1"/>
  <c r="K115" i="1"/>
  <c r="K545" i="1"/>
  <c r="K546" i="1"/>
  <c r="K547" i="1"/>
  <c r="K151" i="1"/>
  <c r="K549" i="1"/>
  <c r="K550" i="1"/>
  <c r="K551" i="1"/>
  <c r="K552" i="1"/>
  <c r="K913" i="1"/>
  <c r="K554" i="1"/>
  <c r="K132" i="1"/>
  <c r="K556" i="1"/>
  <c r="K1040" i="1"/>
  <c r="K991" i="1"/>
  <c r="K502" i="1"/>
  <c r="K1137" i="1"/>
  <c r="K561" i="1"/>
  <c r="K1141" i="1"/>
  <c r="K776" i="1"/>
  <c r="K1042" i="1"/>
  <c r="K565" i="1"/>
  <c r="K487" i="1"/>
  <c r="K567" i="1"/>
  <c r="K568" i="1"/>
  <c r="K49" i="1"/>
  <c r="K570" i="1"/>
  <c r="K11" i="1"/>
  <c r="K572" i="1"/>
  <c r="K680" i="1"/>
  <c r="K434" i="1"/>
  <c r="K575" i="1"/>
  <c r="K475" i="1"/>
  <c r="K577" i="1"/>
  <c r="K578" i="1"/>
  <c r="K579" i="1"/>
  <c r="K580" i="1"/>
  <c r="K581" i="1"/>
  <c r="K582" i="1"/>
  <c r="K583" i="1"/>
  <c r="K584" i="1"/>
  <c r="K585" i="1"/>
  <c r="K1083" i="1"/>
  <c r="K4" i="1"/>
  <c r="K588" i="1"/>
  <c r="K589" i="1"/>
  <c r="K869" i="1"/>
  <c r="K591" i="1"/>
  <c r="K592" i="1"/>
  <c r="K1029" i="1"/>
  <c r="K594" i="1"/>
  <c r="K595" i="1"/>
  <c r="K596" i="1"/>
  <c r="K399" i="1"/>
  <c r="K598" i="1"/>
  <c r="K728" i="1"/>
  <c r="K175" i="1"/>
  <c r="K601" i="1"/>
  <c r="K1017" i="1"/>
  <c r="K603" i="1"/>
  <c r="K604" i="1"/>
  <c r="K782" i="1"/>
  <c r="K419" i="1"/>
  <c r="K894" i="1"/>
  <c r="K608" i="1"/>
  <c r="K609" i="1"/>
  <c r="K610" i="1"/>
  <c r="K611" i="1"/>
  <c r="K1180" i="1"/>
  <c r="K64" i="1"/>
  <c r="K686" i="1"/>
  <c r="K710" i="1"/>
  <c r="K455" i="1"/>
  <c r="K617" i="1"/>
  <c r="K128" i="1"/>
  <c r="K619" i="1"/>
  <c r="K353" i="1"/>
  <c r="K621" i="1"/>
  <c r="K155" i="1"/>
  <c r="K623" i="1"/>
  <c r="K624" i="1"/>
  <c r="K625" i="1"/>
  <c r="K541" i="1"/>
  <c r="K1133" i="1"/>
  <c r="K254" i="1"/>
  <c r="K629" i="1"/>
  <c r="K630" i="1"/>
  <c r="K445" i="1"/>
  <c r="K197" i="1"/>
  <c r="K1101" i="1"/>
  <c r="K634" i="1"/>
  <c r="K644" i="1"/>
  <c r="K636" i="1"/>
  <c r="K1186" i="1"/>
  <c r="K638" i="1"/>
  <c r="K639" i="1"/>
  <c r="K640" i="1"/>
  <c r="K641" i="1"/>
  <c r="K642" i="1"/>
  <c r="K643" i="1"/>
  <c r="K1168" i="1"/>
  <c r="K645" i="1"/>
  <c r="K573" i="1"/>
  <c r="K647" i="1"/>
  <c r="K648" i="1"/>
  <c r="K924" i="1"/>
  <c r="K650" i="1"/>
  <c r="K405" i="1"/>
  <c r="K1181" i="1"/>
  <c r="K653" i="1"/>
  <c r="K654" i="1"/>
  <c r="K999" i="1"/>
  <c r="K656" i="1"/>
  <c r="K167" i="1"/>
  <c r="K658" i="1"/>
  <c r="K322" i="1"/>
  <c r="K179" i="1"/>
  <c r="K661" i="1"/>
  <c r="K274" i="1"/>
  <c r="K1153" i="1"/>
  <c r="K404" i="1"/>
  <c r="K665" i="1"/>
  <c r="K666" i="1"/>
  <c r="K667" i="1"/>
  <c r="K855" i="1"/>
  <c r="K937" i="1"/>
  <c r="K670" i="1"/>
  <c r="K305" i="1"/>
  <c r="K439" i="1"/>
  <c r="K673" i="1"/>
  <c r="K448" i="1"/>
  <c r="K1014" i="1"/>
  <c r="K676" i="1"/>
  <c r="K590" i="1"/>
  <c r="K678" i="1"/>
  <c r="K679" i="1"/>
  <c r="K451" i="1"/>
  <c r="K681" i="1"/>
  <c r="K682" i="1"/>
  <c r="K683" i="1"/>
  <c r="K138" i="1"/>
  <c r="K685" i="1"/>
  <c r="K1125" i="1"/>
  <c r="K435" i="1"/>
  <c r="K688" i="1"/>
  <c r="K57" i="1"/>
  <c r="K978" i="1"/>
  <c r="K605" i="1"/>
  <c r="K461" i="1"/>
  <c r="K477" i="1"/>
  <c r="K694" i="1"/>
  <c r="K695" i="1"/>
  <c r="K259" i="1"/>
  <c r="K697" i="1"/>
  <c r="K323" i="1"/>
  <c r="K699" i="1"/>
  <c r="K746" i="1"/>
  <c r="K701" i="1"/>
  <c r="K702" i="1"/>
  <c r="K40" i="1"/>
  <c r="K704" i="1"/>
  <c r="K705" i="1"/>
  <c r="K706" i="1"/>
  <c r="K707" i="1"/>
  <c r="K54" i="1"/>
  <c r="K709" i="1"/>
  <c r="K59" i="1"/>
  <c r="K55" i="1"/>
  <c r="K762" i="1"/>
  <c r="K713" i="1"/>
  <c r="K627" i="1"/>
  <c r="K715" i="1"/>
  <c r="K716" i="1"/>
  <c r="K717" i="1"/>
  <c r="K718" i="1"/>
  <c r="K281" i="1"/>
  <c r="K720" i="1"/>
  <c r="K721" i="1"/>
  <c r="K722" i="1"/>
  <c r="K826" i="1"/>
  <c r="K724" i="1"/>
  <c r="K622" i="1"/>
  <c r="K751" i="1"/>
  <c r="K25" i="1"/>
  <c r="K100" i="1"/>
  <c r="K729" i="1"/>
  <c r="K730" i="1"/>
  <c r="K731" i="1"/>
  <c r="K732" i="1"/>
  <c r="K360" i="1"/>
  <c r="K734" i="1"/>
  <c r="K747" i="1"/>
  <c r="K736" i="1"/>
  <c r="K737" i="1"/>
  <c r="K649" i="1"/>
  <c r="K1034" i="1"/>
  <c r="K367" i="1"/>
  <c r="K741" i="1"/>
  <c r="K742" i="1"/>
  <c r="K743" i="1"/>
  <c r="K744" i="1"/>
  <c r="K201" i="1"/>
  <c r="K456" i="1"/>
  <c r="K764" i="1"/>
  <c r="K748" i="1"/>
  <c r="K677" i="1"/>
  <c r="K74" i="1"/>
  <c r="K633" i="1"/>
  <c r="K752" i="1"/>
  <c r="K753" i="1"/>
  <c r="K901" i="1"/>
  <c r="K755" i="1"/>
  <c r="K1090" i="1"/>
  <c r="K757" i="1"/>
  <c r="K1132" i="1"/>
  <c r="K1003" i="1"/>
  <c r="K760" i="1"/>
  <c r="K1151" i="1"/>
  <c r="K712" i="1"/>
  <c r="K161" i="1"/>
  <c r="K781" i="1"/>
  <c r="K108" i="1"/>
  <c r="K766" i="1"/>
  <c r="K767" i="1"/>
  <c r="K768" i="1"/>
  <c r="K769" i="1"/>
  <c r="K770" i="1"/>
  <c r="K858" i="1"/>
  <c r="K772" i="1"/>
  <c r="K10" i="1"/>
  <c r="K819" i="1"/>
  <c r="K775" i="1"/>
  <c r="K1031" i="1"/>
  <c r="K777" i="1"/>
  <c r="K778" i="1"/>
  <c r="K779" i="1"/>
  <c r="K780" i="1"/>
  <c r="K657" i="1"/>
  <c r="K222" i="1"/>
  <c r="K302" i="1"/>
  <c r="K784" i="1"/>
  <c r="K569" i="1"/>
  <c r="K535" i="1"/>
  <c r="K787" i="1"/>
  <c r="K788" i="1"/>
  <c r="K789" i="1"/>
  <c r="K790" i="1"/>
  <c r="K791" i="1"/>
  <c r="K792" i="1"/>
  <c r="K793" i="1"/>
  <c r="K794" i="1"/>
  <c r="K651" i="1"/>
  <c r="K1004" i="1"/>
  <c r="K797" i="1"/>
  <c r="K325" i="1"/>
  <c r="K920" i="1"/>
  <c r="K800" i="1"/>
  <c r="K801" i="1"/>
  <c r="K802" i="1"/>
  <c r="K803" i="1"/>
  <c r="K804" i="1"/>
  <c r="K221" i="1"/>
  <c r="K806" i="1"/>
  <c r="K807" i="1"/>
  <c r="K808" i="1"/>
  <c r="K809" i="1"/>
  <c r="K381" i="1"/>
  <c r="K811" i="1"/>
  <c r="K968" i="1"/>
  <c r="K813" i="1"/>
  <c r="K814" i="1"/>
  <c r="K815" i="1"/>
  <c r="K557" i="1"/>
  <c r="K525" i="1"/>
  <c r="K349" i="1"/>
  <c r="K457" i="1"/>
  <c r="K24" i="1"/>
  <c r="K821" i="1"/>
  <c r="K822" i="1"/>
  <c r="K823" i="1"/>
  <c r="K824" i="1"/>
  <c r="K825" i="1"/>
  <c r="K67" i="1"/>
  <c r="K997" i="1"/>
  <c r="K828" i="1"/>
  <c r="K1072" i="1"/>
  <c r="K830" i="1"/>
  <c r="K831" i="1"/>
  <c r="K832" i="1"/>
  <c r="K833" i="1"/>
  <c r="K761" i="1"/>
  <c r="K835" i="1"/>
  <c r="K836" i="1"/>
  <c r="K915" i="1"/>
  <c r="K838" i="1"/>
  <c r="K839" i="1"/>
  <c r="K351" i="1"/>
  <c r="K660" i="1"/>
  <c r="K842" i="1"/>
  <c r="K843" i="1"/>
  <c r="K490" i="1"/>
  <c r="K845" i="1"/>
  <c r="K846" i="1"/>
  <c r="K756" i="1"/>
  <c r="K501" i="1"/>
  <c r="K849" i="1"/>
  <c r="K1073" i="1"/>
  <c r="K851" i="1"/>
  <c r="K852" i="1"/>
  <c r="K853" i="1"/>
  <c r="K854" i="1"/>
  <c r="K214" i="1"/>
  <c r="K503" i="1"/>
  <c r="K857" i="1"/>
  <c r="K735" i="1"/>
  <c r="K859" i="1"/>
  <c r="K860" i="1"/>
  <c r="K861" i="1"/>
  <c r="K740" i="1"/>
  <c r="K692" i="1"/>
  <c r="K864" i="1"/>
  <c r="K1058" i="1"/>
  <c r="K663" i="1"/>
  <c r="K867" i="1"/>
  <c r="K763" i="1"/>
  <c r="K818" i="1"/>
  <c r="K273" i="1"/>
  <c r="K586" i="1"/>
  <c r="K91" i="1"/>
  <c r="K873" i="1"/>
  <c r="K874" i="1"/>
  <c r="K875" i="1"/>
  <c r="K1105" i="1"/>
  <c r="K558" i="1"/>
  <c r="K995" i="1"/>
  <c r="K15" i="1"/>
  <c r="K880" i="1"/>
  <c r="K881" i="1"/>
  <c r="K882" i="1"/>
  <c r="K883" i="1"/>
  <c r="K884" i="1"/>
  <c r="K113" i="1"/>
  <c r="K886" i="1"/>
  <c r="K1005" i="1"/>
  <c r="K888" i="1"/>
  <c r="K505" i="1"/>
  <c r="K890" i="1"/>
  <c r="K891" i="1"/>
  <c r="K892" i="1"/>
  <c r="K893" i="1"/>
  <c r="K935" i="1"/>
  <c r="K895" i="1"/>
  <c r="K896" i="1"/>
  <c r="K897" i="1"/>
  <c r="K898" i="1"/>
  <c r="K899" i="1"/>
  <c r="K900" i="1"/>
  <c r="K442" i="1"/>
  <c r="K902" i="1"/>
  <c r="K765" i="1"/>
  <c r="K866" i="1"/>
  <c r="K905" i="1"/>
  <c r="K906" i="1"/>
  <c r="K700" i="1"/>
  <c r="K908" i="1"/>
  <c r="K909" i="1"/>
  <c r="K910" i="1"/>
  <c r="K911" i="1"/>
  <c r="K587" i="1"/>
  <c r="K523" i="1"/>
  <c r="K348" i="1"/>
  <c r="K805" i="1"/>
  <c r="K453" i="1"/>
  <c r="K917" i="1"/>
  <c r="K918" i="1"/>
  <c r="K919" i="1"/>
  <c r="K1193" i="1"/>
  <c r="K921" i="1"/>
  <c r="K922" i="1"/>
  <c r="K1011" i="1"/>
  <c r="K1060" i="1"/>
  <c r="K548" i="1"/>
  <c r="K926" i="1"/>
  <c r="K927" i="1"/>
  <c r="K928" i="1"/>
  <c r="K738" i="1"/>
  <c r="K1145" i="1"/>
  <c r="K60" i="1"/>
  <c r="K750" i="1"/>
  <c r="K687" i="1"/>
  <c r="K934" i="1"/>
  <c r="K400" i="1"/>
  <c r="K690" i="1"/>
  <c r="K270" i="1"/>
  <c r="K17" i="1"/>
  <c r="K1104" i="1"/>
  <c r="K940" i="1"/>
  <c r="K941" i="1"/>
  <c r="K942" i="1"/>
  <c r="K943" i="1"/>
  <c r="K1046" i="1"/>
  <c r="K945" i="1"/>
  <c r="K946" i="1"/>
  <c r="K993" i="1"/>
  <c r="K948" i="1"/>
  <c r="K51" i="1"/>
  <c r="K950" i="1"/>
  <c r="K1183" i="1"/>
  <c r="K952" i="1"/>
  <c r="K953" i="1"/>
  <c r="K954" i="1"/>
  <c r="K955" i="1"/>
  <c r="K795" i="1"/>
  <c r="K957" i="1"/>
  <c r="K574" i="1"/>
  <c r="K959" i="1"/>
  <c r="K960" i="1"/>
  <c r="K961" i="1"/>
  <c r="K136" i="1"/>
  <c r="K963" i="1"/>
  <c r="K258" i="1"/>
  <c r="K965" i="1"/>
  <c r="K83" i="1"/>
  <c r="K632" i="1"/>
  <c r="K362" i="1"/>
  <c r="K969" i="1"/>
  <c r="K970" i="1"/>
  <c r="K352" i="1"/>
  <c r="K972" i="1"/>
  <c r="K973" i="1"/>
  <c r="K675" i="1"/>
  <c r="K975" i="1"/>
  <c r="K976" i="1"/>
  <c r="K977" i="1"/>
  <c r="K235" i="1"/>
  <c r="K979" i="1"/>
  <c r="K980" i="1"/>
  <c r="K981" i="1"/>
  <c r="K481" i="1"/>
  <c r="K983" i="1"/>
  <c r="K984" i="1"/>
  <c r="K985" i="1"/>
  <c r="K135" i="1"/>
  <c r="K987" i="1"/>
  <c r="K988" i="1"/>
  <c r="K989" i="1"/>
  <c r="K990" i="1"/>
  <c r="K1163" i="1"/>
  <c r="K119" i="1"/>
  <c r="K308" i="1"/>
  <c r="K1177" i="1"/>
  <c r="K120" i="1"/>
  <c r="K612" i="1"/>
  <c r="K389" i="1"/>
  <c r="K998" i="1"/>
  <c r="K118" i="1"/>
  <c r="K1000" i="1"/>
  <c r="K355" i="1"/>
  <c r="K1002" i="1"/>
  <c r="K145" i="1"/>
  <c r="K785" i="1"/>
  <c r="K370" i="1"/>
  <c r="K447" i="1"/>
  <c r="K1138" i="1"/>
  <c r="K1008" i="1"/>
  <c r="K1009" i="1"/>
  <c r="K127" i="1"/>
  <c r="K759" i="1"/>
  <c r="K1012" i="1"/>
  <c r="K1013" i="1"/>
  <c r="K420" i="1"/>
  <c r="K1015" i="1"/>
  <c r="K1016" i="1"/>
  <c r="K1048" i="1"/>
  <c r="K1018" i="1"/>
  <c r="K1165" i="1"/>
  <c r="K1020" i="1"/>
  <c r="K1021" i="1"/>
  <c r="K1022" i="1"/>
  <c r="K1023" i="1"/>
  <c r="K1024" i="1"/>
  <c r="K1025" i="1"/>
  <c r="K1026" i="1"/>
  <c r="K1027" i="1"/>
  <c r="K1028" i="1"/>
  <c r="K847" i="1"/>
  <c r="K1030" i="1"/>
  <c r="K368" i="1"/>
  <c r="K1032" i="1"/>
  <c r="K257" i="1"/>
  <c r="K1178" i="1"/>
  <c r="K1035" i="1"/>
  <c r="K1036" i="1"/>
  <c r="K30" i="1"/>
  <c r="K1038" i="1"/>
  <c r="K1039" i="1"/>
  <c r="K655" i="1"/>
  <c r="K1041" i="1"/>
  <c r="K88" i="1"/>
  <c r="K1001" i="1"/>
  <c r="K749" i="1"/>
  <c r="K1045" i="1"/>
  <c r="K870" i="1"/>
  <c r="K1047" i="1"/>
  <c r="K9" i="1"/>
  <c r="K1049" i="1"/>
  <c r="K1050" i="1"/>
  <c r="K1051" i="1"/>
  <c r="K306" i="1"/>
  <c r="K1053" i="1"/>
  <c r="K1201" i="1"/>
  <c r="K1055" i="1"/>
  <c r="K947" i="1"/>
  <c r="K1057" i="1"/>
  <c r="K1119" i="1"/>
  <c r="K912" i="1"/>
  <c r="K468" i="1"/>
  <c r="K844" i="1"/>
  <c r="K1062" i="1"/>
  <c r="K315" i="1"/>
  <c r="K1064" i="1"/>
  <c r="K1065" i="1"/>
  <c r="K1066" i="1"/>
  <c r="K1067" i="1"/>
  <c r="K1059" i="1"/>
  <c r="K1069" i="1"/>
  <c r="K1070" i="1"/>
  <c r="K1071" i="1"/>
  <c r="K531" i="1"/>
  <c r="K714" i="1"/>
  <c r="K1074" i="1"/>
  <c r="K949" i="1"/>
  <c r="K1076" i="1"/>
  <c r="K226" i="1"/>
  <c r="K1148" i="1"/>
  <c r="K1079" i="1"/>
  <c r="K1080" i="1"/>
  <c r="K593" i="1"/>
  <c r="K407" i="1"/>
  <c r="K885" i="1"/>
  <c r="K123" i="1"/>
  <c r="K14" i="1"/>
  <c r="K1086" i="1"/>
  <c r="K1087" i="1"/>
  <c r="K1088" i="1"/>
  <c r="K1089" i="1"/>
  <c r="K1082" i="1"/>
  <c r="K1091" i="1"/>
  <c r="K872" i="1"/>
  <c r="K1093" i="1"/>
  <c r="K1094" i="1"/>
  <c r="K1095" i="1"/>
  <c r="K1096" i="1"/>
  <c r="K219" i="1"/>
  <c r="K1098" i="1"/>
  <c r="K1099" i="1"/>
  <c r="K1100" i="1"/>
  <c r="K850" i="1"/>
  <c r="K1102" i="1"/>
  <c r="K674" i="1"/>
  <c r="K521" i="1"/>
  <c r="K509" i="1"/>
  <c r="K903" i="1"/>
  <c r="K1107" i="1"/>
  <c r="K1108" i="1"/>
  <c r="K1109" i="1"/>
  <c r="K1110" i="1"/>
  <c r="K1111" i="1"/>
  <c r="K1112" i="1"/>
  <c r="K1113" i="1"/>
  <c r="K817" i="1"/>
  <c r="K1115" i="1"/>
  <c r="K1116" i="1"/>
  <c r="K1117" i="1"/>
  <c r="K1118" i="1"/>
  <c r="K876" i="1"/>
  <c r="K1120" i="1"/>
  <c r="K1121" i="1"/>
  <c r="K1122" i="1"/>
  <c r="K848" i="1"/>
  <c r="K1124" i="1"/>
  <c r="K996" i="1"/>
  <c r="K1126" i="1"/>
  <c r="K1127" i="1"/>
  <c r="K837" i="1"/>
  <c r="K1129" i="1"/>
  <c r="K232" i="1"/>
  <c r="K1131" i="1"/>
  <c r="K555" i="1"/>
  <c r="K600" i="1"/>
  <c r="K1134" i="1"/>
  <c r="K597" i="1"/>
  <c r="K85" i="1"/>
  <c r="K1103" i="1"/>
  <c r="K1172" i="1"/>
  <c r="K463" i="1"/>
  <c r="K1140" i="1"/>
  <c r="K253" i="1"/>
  <c r="K1142" i="1"/>
  <c r="K1143" i="1"/>
  <c r="K1144" i="1"/>
  <c r="K856" i="1"/>
  <c r="K1146" i="1"/>
  <c r="K1147" i="1"/>
  <c r="K1006" i="1"/>
  <c r="K1149" i="1"/>
  <c r="K1150" i="1"/>
  <c r="K412" i="1"/>
  <c r="K1152" i="1"/>
  <c r="K925" i="1"/>
  <c r="K1154" i="1"/>
  <c r="K1155" i="1"/>
  <c r="K1156" i="1"/>
  <c r="K95" i="1"/>
  <c r="K607" i="1"/>
  <c r="K1159" i="1"/>
  <c r="K1160" i="1"/>
  <c r="K1161" i="1"/>
  <c r="K1162" i="1"/>
  <c r="K820" i="1"/>
  <c r="K1164" i="1"/>
  <c r="K195" i="1"/>
  <c r="K1166" i="1"/>
  <c r="K877" i="1"/>
  <c r="K931" i="1"/>
  <c r="K1169" i="1"/>
  <c r="K1170" i="1"/>
  <c r="K1171" i="1"/>
  <c r="K878" i="1"/>
  <c r="K1173" i="1"/>
  <c r="K1174" i="1"/>
  <c r="K1175" i="1"/>
  <c r="K1176" i="1"/>
  <c r="K29" i="1"/>
  <c r="K263" i="1"/>
  <c r="K1179" i="1"/>
  <c r="K363" i="1"/>
  <c r="K268" i="1"/>
  <c r="K1182" i="1"/>
  <c r="K840" i="1"/>
  <c r="K1184" i="1"/>
  <c r="K1185" i="1"/>
  <c r="K862" i="1"/>
  <c r="K466" i="1"/>
  <c r="K1188" i="1"/>
  <c r="K726" i="1"/>
  <c r="K398" i="1"/>
  <c r="K1191" i="1"/>
  <c r="K1192" i="1"/>
  <c r="K395" i="1"/>
  <c r="K1194" i="1"/>
  <c r="K1195" i="1"/>
  <c r="K841" i="1"/>
  <c r="K215" i="1"/>
  <c r="K1198" i="1"/>
  <c r="K1199" i="1"/>
  <c r="K1200" i="1"/>
  <c r="K560" i="1"/>
  <c r="D2" i="1"/>
  <c r="D967" i="1"/>
  <c r="D240" i="1"/>
  <c r="D5" i="1"/>
  <c r="D6" i="1"/>
  <c r="D7" i="1"/>
  <c r="D8" i="1"/>
  <c r="D296" i="1"/>
  <c r="D41" i="1"/>
  <c r="D745" i="1"/>
  <c r="D12" i="1"/>
  <c r="D358" i="1"/>
  <c r="D907" i="1"/>
  <c r="D202" i="1"/>
  <c r="D16" i="1"/>
  <c r="D446" i="1"/>
  <c r="D18" i="1"/>
  <c r="D110" i="1"/>
  <c r="D20" i="1"/>
  <c r="D21" i="1"/>
  <c r="D22" i="1"/>
  <c r="D23" i="1"/>
  <c r="D982" i="1"/>
  <c r="D280" i="1"/>
  <c r="D26" i="1"/>
  <c r="D662" i="1"/>
  <c r="D28" i="1"/>
  <c r="D1135" i="1"/>
  <c r="D708" i="1"/>
  <c r="D31" i="1"/>
  <c r="D32" i="1"/>
  <c r="D33" i="1"/>
  <c r="D34" i="1"/>
  <c r="D35" i="1"/>
  <c r="D36" i="1"/>
  <c r="D37" i="1"/>
  <c r="D38" i="1"/>
  <c r="D39" i="1"/>
  <c r="D417" i="1"/>
  <c r="D739" i="1"/>
  <c r="D42" i="1"/>
  <c r="D316" i="1"/>
  <c r="D44" i="1"/>
  <c r="D45" i="1"/>
  <c r="D46" i="1"/>
  <c r="D47" i="1"/>
  <c r="D48" i="1"/>
  <c r="D812" i="1"/>
  <c r="D50" i="1"/>
  <c r="D90" i="1"/>
  <c r="D52" i="1"/>
  <c r="D53" i="1"/>
  <c r="D73" i="1"/>
  <c r="D261" i="1"/>
  <c r="D492" i="1"/>
  <c r="D103" i="1"/>
  <c r="D58" i="1"/>
  <c r="D458" i="1"/>
  <c r="D774" i="1"/>
  <c r="D282" i="1"/>
  <c r="D62" i="1"/>
  <c r="D63" i="1"/>
  <c r="D171" i="1"/>
  <c r="D613" i="1"/>
  <c r="D66" i="1"/>
  <c r="D563" i="1"/>
  <c r="D68" i="1"/>
  <c r="D69" i="1"/>
  <c r="D70" i="1"/>
  <c r="D532" i="1"/>
  <c r="D72" i="1"/>
  <c r="D1092" i="1"/>
  <c r="D146" i="1"/>
  <c r="D75" i="1"/>
  <c r="D76" i="1"/>
  <c r="D77" i="1"/>
  <c r="D78" i="1"/>
  <c r="D79" i="1"/>
  <c r="D80" i="1"/>
  <c r="D81" i="1"/>
  <c r="D82" i="1"/>
  <c r="D711" i="1"/>
  <c r="D84" i="1"/>
  <c r="D250" i="1"/>
  <c r="D437" i="1"/>
  <c r="D87" i="1"/>
  <c r="D1063" i="1"/>
  <c r="D89" i="1"/>
  <c r="D506" i="1"/>
  <c r="D951" i="1"/>
  <c r="D92" i="1"/>
  <c r="D93" i="1"/>
  <c r="D659" i="1"/>
  <c r="D669" i="1"/>
  <c r="D96" i="1"/>
  <c r="D599" i="1"/>
  <c r="D628" i="1"/>
  <c r="D99" i="1"/>
  <c r="D994" i="1"/>
  <c r="D65" i="1"/>
  <c r="D102" i="1"/>
  <c r="D1167" i="1"/>
  <c r="D104" i="1"/>
  <c r="D105" i="1"/>
  <c r="D106" i="1"/>
  <c r="D107" i="1"/>
  <c r="D19" i="1"/>
  <c r="D916" i="1"/>
  <c r="D342" i="1"/>
  <c r="D616" i="1"/>
  <c r="D637" i="1"/>
  <c r="D544" i="1"/>
  <c r="D114" i="1"/>
  <c r="D13" i="1"/>
  <c r="D116" i="1"/>
  <c r="D117" i="1"/>
  <c r="D944" i="1"/>
  <c r="D543" i="1"/>
  <c r="D1189" i="1"/>
  <c r="D121" i="1"/>
  <c r="D576" i="1"/>
  <c r="D939" i="1"/>
  <c r="D124" i="1"/>
  <c r="D125" i="1"/>
  <c r="D311" i="1"/>
  <c r="D460" i="1"/>
  <c r="D299" i="1"/>
  <c r="D129" i="1"/>
  <c r="D130" i="1"/>
  <c r="D131" i="1"/>
  <c r="D186" i="1"/>
  <c r="D133" i="1"/>
  <c r="D672" i="1"/>
  <c r="D799" i="1"/>
  <c r="D335" i="1"/>
  <c r="D137" i="1"/>
  <c r="D286" i="1"/>
  <c r="D139" i="1"/>
  <c r="D140" i="1"/>
  <c r="D141" i="1"/>
  <c r="D142" i="1"/>
  <c r="D143" i="1"/>
  <c r="D112" i="1"/>
  <c r="D385" i="1"/>
  <c r="D164" i="1"/>
  <c r="D147" i="1"/>
  <c r="D148" i="1"/>
  <c r="D149" i="1"/>
  <c r="D150" i="1"/>
  <c r="D719" i="1"/>
  <c r="D152" i="1"/>
  <c r="D153" i="1"/>
  <c r="D154" i="1"/>
  <c r="D213" i="1"/>
  <c r="D156" i="1"/>
  <c r="D157" i="1"/>
  <c r="D564" i="1"/>
  <c r="D159" i="1"/>
  <c r="D620" i="1"/>
  <c r="D464" i="1"/>
  <c r="D992" i="1"/>
  <c r="D97" i="1"/>
  <c r="D652" i="1"/>
  <c r="D165" i="1"/>
  <c r="D166" i="1"/>
  <c r="D162" i="1"/>
  <c r="D168" i="1"/>
  <c r="D169" i="1"/>
  <c r="D170" i="1"/>
  <c r="D247" i="1"/>
  <c r="D172" i="1"/>
  <c r="D173" i="1"/>
  <c r="D773" i="1"/>
  <c r="D318" i="1"/>
  <c r="D365" i="1"/>
  <c r="D696" i="1"/>
  <c r="D178" i="1"/>
  <c r="D571" i="1"/>
  <c r="D180" i="1"/>
  <c r="D181" i="1"/>
  <c r="D182" i="1"/>
  <c r="D183" i="1"/>
  <c r="D184" i="1"/>
  <c r="D176" i="1"/>
  <c r="D691" i="1"/>
  <c r="D187" i="1"/>
  <c r="D185" i="1"/>
  <c r="D189" i="1"/>
  <c r="D190" i="1"/>
  <c r="D562" i="1"/>
  <c r="D476" i="1"/>
  <c r="D193" i="1"/>
  <c r="D194" i="1"/>
  <c r="D111" i="1"/>
  <c r="D196" i="1"/>
  <c r="D386" i="1"/>
  <c r="D198" i="1"/>
  <c r="D827" i="1"/>
  <c r="D101" i="1"/>
  <c r="D1128" i="1"/>
  <c r="D1033" i="1"/>
  <c r="D203" i="1"/>
  <c r="D204" i="1"/>
  <c r="D205" i="1"/>
  <c r="D206" i="1"/>
  <c r="D207" i="1"/>
  <c r="D208" i="1"/>
  <c r="D209" i="1"/>
  <c r="D210" i="1"/>
  <c r="D211" i="1"/>
  <c r="D212" i="1"/>
  <c r="D122" i="1"/>
  <c r="D94" i="1"/>
  <c r="D889" i="1"/>
  <c r="D216" i="1"/>
  <c r="D217" i="1"/>
  <c r="D816" i="1"/>
  <c r="D1097" i="1"/>
  <c r="D220" i="1"/>
  <c r="D693" i="1"/>
  <c r="D1052" i="1"/>
  <c r="D223" i="1"/>
  <c r="D224" i="1"/>
  <c r="D225" i="1"/>
  <c r="D536" i="1"/>
  <c r="D227" i="1"/>
  <c r="D228" i="1"/>
  <c r="D229" i="1"/>
  <c r="D230" i="1"/>
  <c r="D158" i="1"/>
  <c r="D936" i="1"/>
  <c r="D233" i="1"/>
  <c r="D234" i="1"/>
  <c r="D1157" i="1"/>
  <c r="D236" i="1"/>
  <c r="D237" i="1"/>
  <c r="D238" i="1"/>
  <c r="D239" i="1"/>
  <c r="D618" i="1"/>
  <c r="D241" i="1"/>
  <c r="D242" i="1"/>
  <c r="D243" i="1"/>
  <c r="D244" i="1"/>
  <c r="D245" i="1"/>
  <c r="D246" i="1"/>
  <c r="D1061" i="1"/>
  <c r="D248" i="1"/>
  <c r="D249" i="1"/>
  <c r="D86" i="1"/>
  <c r="D631" i="1"/>
  <c r="D188" i="1"/>
  <c r="D489" i="1"/>
  <c r="D1078" i="1"/>
  <c r="D255" i="1"/>
  <c r="D260" i="1"/>
  <c r="D56" i="1"/>
  <c r="D559" i="1"/>
  <c r="D871" i="1"/>
  <c r="D71" i="1"/>
  <c r="D958" i="1"/>
  <c r="D262" i="1"/>
  <c r="D431" i="1"/>
  <c r="D191" i="1"/>
  <c r="D966" i="1"/>
  <c r="D266" i="1"/>
  <c r="D267" i="1"/>
  <c r="D986" i="1"/>
  <c r="D295" i="1"/>
  <c r="D727" i="1"/>
  <c r="D271" i="1"/>
  <c r="D1139" i="1"/>
  <c r="D199" i="1"/>
  <c r="D758" i="1"/>
  <c r="D275" i="1"/>
  <c r="D276" i="1"/>
  <c r="D277" i="1"/>
  <c r="D278" i="1"/>
  <c r="D279" i="1"/>
  <c r="D410" i="1"/>
  <c r="D754" i="1"/>
  <c r="D671" i="1"/>
  <c r="D283" i="1"/>
  <c r="D284" i="1"/>
  <c r="D285" i="1"/>
  <c r="D427" i="1"/>
  <c r="D287" i="1"/>
  <c r="D288" i="1"/>
  <c r="D289" i="1"/>
  <c r="D290" i="1"/>
  <c r="D291" i="1"/>
  <c r="D292" i="1"/>
  <c r="D293" i="1"/>
  <c r="D294" i="1"/>
  <c r="D414" i="1"/>
  <c r="D1043" i="1"/>
  <c r="D297" i="1"/>
  <c r="D298" i="1"/>
  <c r="D272" i="1"/>
  <c r="D300" i="1"/>
  <c r="D301" i="1"/>
  <c r="D192" i="1"/>
  <c r="D303" i="1"/>
  <c r="D304" i="1"/>
  <c r="D3" i="1"/>
  <c r="D218" i="1"/>
  <c r="D307" i="1"/>
  <c r="D314" i="1"/>
  <c r="D309" i="1"/>
  <c r="D310" i="1"/>
  <c r="D538" i="1"/>
  <c r="D312" i="1"/>
  <c r="D313" i="1"/>
  <c r="D689" i="1"/>
  <c r="D264" i="1"/>
  <c r="D527" i="1"/>
  <c r="D317" i="1"/>
  <c r="D938" i="1"/>
  <c r="D319" i="1"/>
  <c r="D865" i="1"/>
  <c r="D321" i="1"/>
  <c r="D879" i="1"/>
  <c r="D723" i="1"/>
  <c r="D324" i="1"/>
  <c r="D664" i="1"/>
  <c r="D326" i="1"/>
  <c r="D512" i="1"/>
  <c r="D328" i="1"/>
  <c r="D61" i="1"/>
  <c r="D863" i="1"/>
  <c r="D331" i="1"/>
  <c r="D332" i="1"/>
  <c r="D333" i="1"/>
  <c r="D334" i="1"/>
  <c r="D602" i="1"/>
  <c r="D336" i="1"/>
  <c r="D337" i="1"/>
  <c r="D338" i="1"/>
  <c r="D339" i="1"/>
  <c r="D725" i="1"/>
  <c r="D341" i="1"/>
  <c r="D1007" i="1"/>
  <c r="D343" i="1"/>
  <c r="D134" i="1"/>
  <c r="D345" i="1"/>
  <c r="D346" i="1"/>
  <c r="D347" i="1"/>
  <c r="D614" i="1"/>
  <c r="D320" i="1"/>
  <c r="D350" i="1"/>
  <c r="D635" i="1"/>
  <c r="D930" i="1"/>
  <c r="D1130" i="1"/>
  <c r="D354" i="1"/>
  <c r="D1044" i="1"/>
  <c r="D356" i="1"/>
  <c r="D357" i="1"/>
  <c r="D932" i="1"/>
  <c r="D359" i="1"/>
  <c r="D1190" i="1"/>
  <c r="D361" i="1"/>
  <c r="D534" i="1"/>
  <c r="D834" i="1"/>
  <c r="D364" i="1"/>
  <c r="D109" i="1"/>
  <c r="D366" i="1"/>
  <c r="D177" i="1"/>
  <c r="D829" i="1"/>
  <c r="D369" i="1"/>
  <c r="D174" i="1"/>
  <c r="D371" i="1"/>
  <c r="D372" i="1"/>
  <c r="D373" i="1"/>
  <c r="D374" i="1"/>
  <c r="D375" i="1"/>
  <c r="D376" i="1"/>
  <c r="D518" i="1"/>
  <c r="D378" i="1"/>
  <c r="D379" i="1"/>
  <c r="D380" i="1"/>
  <c r="D478" i="1"/>
  <c r="D382" i="1"/>
  <c r="D383" i="1"/>
  <c r="D384" i="1"/>
  <c r="D566" i="1"/>
  <c r="D1114" i="1"/>
  <c r="D486" i="1"/>
  <c r="D388" i="1"/>
  <c r="D256" i="1"/>
  <c r="D390" i="1"/>
  <c r="D391" i="1"/>
  <c r="D392" i="1"/>
  <c r="D393" i="1"/>
  <c r="D394" i="1"/>
  <c r="D962" i="1"/>
  <c r="D396" i="1"/>
  <c r="D397" i="1"/>
  <c r="D1056" i="1"/>
  <c r="D1196" i="1"/>
  <c r="D684" i="1"/>
  <c r="D401" i="1"/>
  <c r="D402" i="1"/>
  <c r="D1075" i="1"/>
  <c r="D27" i="1"/>
  <c r="D1123" i="1"/>
  <c r="D406" i="1"/>
  <c r="D163" i="1"/>
  <c r="D408" i="1"/>
  <c r="D409" i="1"/>
  <c r="D344" i="1"/>
  <c r="D411" i="1"/>
  <c r="D914" i="1"/>
  <c r="D413" i="1"/>
  <c r="D1136" i="1"/>
  <c r="D415" i="1"/>
  <c r="D416" i="1"/>
  <c r="D606" i="1"/>
  <c r="D418" i="1"/>
  <c r="D269" i="1"/>
  <c r="D1106" i="1"/>
  <c r="D421" i="1"/>
  <c r="D422" i="1"/>
  <c r="D423" i="1"/>
  <c r="D377" i="1"/>
  <c r="D425" i="1"/>
  <c r="D426" i="1"/>
  <c r="D904" i="1"/>
  <c r="D428" i="1"/>
  <c r="D429" i="1"/>
  <c r="D430" i="1"/>
  <c r="D974" i="1"/>
  <c r="D432" i="1"/>
  <c r="D433" i="1"/>
  <c r="D1037" i="1"/>
  <c r="D471" i="1"/>
  <c r="D436" i="1"/>
  <c r="D497" i="1"/>
  <c r="D98" i="1"/>
  <c r="D703" i="1"/>
  <c r="D440" i="1"/>
  <c r="D441" i="1"/>
  <c r="D43" i="1"/>
  <c r="D443" i="1"/>
  <c r="D444" i="1"/>
  <c r="D964" i="1"/>
  <c r="D796" i="1"/>
  <c r="D473" i="1"/>
  <c r="D438" i="1"/>
  <c r="D449" i="1"/>
  <c r="D450" i="1"/>
  <c r="D553" i="1"/>
  <c r="D452" i="1"/>
  <c r="D1054" i="1"/>
  <c r="D454" i="1"/>
  <c r="D329" i="1"/>
  <c r="D340" i="1"/>
  <c r="D956" i="1"/>
  <c r="D626" i="1"/>
  <c r="D459" i="1"/>
  <c r="D798" i="1"/>
  <c r="D540" i="1"/>
  <c r="D462" i="1"/>
  <c r="D144" i="1"/>
  <c r="D771" i="1"/>
  <c r="D465" i="1"/>
  <c r="D327" i="1"/>
  <c r="D231" i="1"/>
  <c r="D403" i="1"/>
  <c r="D469" i="1"/>
  <c r="D470" i="1"/>
  <c r="D1085" i="1"/>
  <c r="D472" i="1"/>
  <c r="D1077" i="1"/>
  <c r="D474" i="1"/>
  <c r="D733" i="1"/>
  <c r="D646" i="1"/>
  <c r="D615" i="1"/>
  <c r="D923" i="1"/>
  <c r="D479" i="1"/>
  <c r="D480" i="1"/>
  <c r="D1068" i="1"/>
  <c r="D482" i="1"/>
  <c r="D483" i="1"/>
  <c r="D484" i="1"/>
  <c r="D485" i="1"/>
  <c r="D265" i="1"/>
  <c r="D868" i="1"/>
  <c r="D488" i="1"/>
  <c r="D1019" i="1"/>
  <c r="D1010" i="1"/>
  <c r="D491" i="1"/>
  <c r="D810" i="1"/>
  <c r="D493" i="1"/>
  <c r="D494" i="1"/>
  <c r="D495" i="1"/>
  <c r="D496" i="1"/>
  <c r="D126" i="1"/>
  <c r="D498" i="1"/>
  <c r="D499" i="1"/>
  <c r="D500" i="1"/>
  <c r="D971" i="1"/>
  <c r="D668" i="1"/>
  <c r="D1197" i="1"/>
  <c r="D504" i="1"/>
  <c r="D1084" i="1"/>
  <c r="D200" i="1"/>
  <c r="D507" i="1"/>
  <c r="D508" i="1"/>
  <c r="D1081" i="1"/>
  <c r="D510" i="1"/>
  <c r="D511" i="1"/>
  <c r="D387" i="1"/>
  <c r="D513" i="1"/>
  <c r="D514" i="1"/>
  <c r="D515" i="1"/>
  <c r="D516" i="1"/>
  <c r="D517" i="1"/>
  <c r="D528" i="1"/>
  <c r="D519" i="1"/>
  <c r="D520" i="1"/>
  <c r="D1187" i="1"/>
  <c r="D522" i="1"/>
  <c r="D252" i="1"/>
  <c r="D524" i="1"/>
  <c r="D783" i="1"/>
  <c r="D526" i="1"/>
  <c r="D698" i="1"/>
  <c r="D929" i="1"/>
  <c r="D529" i="1"/>
  <c r="D530" i="1"/>
  <c r="D467" i="1"/>
  <c r="D933" i="1"/>
  <c r="D533" i="1"/>
  <c r="D251" i="1"/>
  <c r="D1158" i="1"/>
  <c r="D330" i="1"/>
  <c r="D537" i="1"/>
  <c r="D786" i="1"/>
  <c r="D539" i="1"/>
  <c r="D424" i="1"/>
  <c r="D887" i="1"/>
  <c r="D542" i="1"/>
  <c r="D160" i="1"/>
  <c r="D115" i="1"/>
  <c r="D545" i="1"/>
  <c r="D546" i="1"/>
  <c r="D547" i="1"/>
  <c r="D151" i="1"/>
  <c r="D549" i="1"/>
  <c r="D550" i="1"/>
  <c r="D551" i="1"/>
  <c r="D552" i="1"/>
  <c r="D913" i="1"/>
  <c r="D554" i="1"/>
  <c r="D132" i="1"/>
  <c r="D556" i="1"/>
  <c r="D1040" i="1"/>
  <c r="D991" i="1"/>
  <c r="D502" i="1"/>
  <c r="D1137" i="1"/>
  <c r="D561" i="1"/>
  <c r="D1141" i="1"/>
  <c r="D776" i="1"/>
  <c r="D1042" i="1"/>
  <c r="D565" i="1"/>
  <c r="D487" i="1"/>
  <c r="D567" i="1"/>
  <c r="D568" i="1"/>
  <c r="D49" i="1"/>
  <c r="D570" i="1"/>
  <c r="D11" i="1"/>
  <c r="D572" i="1"/>
  <c r="D680" i="1"/>
  <c r="D434" i="1"/>
  <c r="D575" i="1"/>
  <c r="D475" i="1"/>
  <c r="D577" i="1"/>
  <c r="D578" i="1"/>
  <c r="D579" i="1"/>
  <c r="D580" i="1"/>
  <c r="D581" i="1"/>
  <c r="D582" i="1"/>
  <c r="D583" i="1"/>
  <c r="D584" i="1"/>
  <c r="D585" i="1"/>
  <c r="D1083" i="1"/>
  <c r="D4" i="1"/>
  <c r="D588" i="1"/>
  <c r="D589" i="1"/>
  <c r="D869" i="1"/>
  <c r="D591" i="1"/>
  <c r="D592" i="1"/>
  <c r="D1029" i="1"/>
  <c r="D594" i="1"/>
  <c r="D595" i="1"/>
  <c r="D596" i="1"/>
  <c r="D399" i="1"/>
  <c r="D598" i="1"/>
  <c r="D728" i="1"/>
  <c r="D175" i="1"/>
  <c r="D601" i="1"/>
  <c r="D1017" i="1"/>
  <c r="D603" i="1"/>
  <c r="D604" i="1"/>
  <c r="D782" i="1"/>
  <c r="D419" i="1"/>
  <c r="D894" i="1"/>
  <c r="D608" i="1"/>
  <c r="D609" i="1"/>
  <c r="D610" i="1"/>
  <c r="D611" i="1"/>
  <c r="D1180" i="1"/>
  <c r="D64" i="1"/>
  <c r="D686" i="1"/>
  <c r="D710" i="1"/>
  <c r="D455" i="1"/>
  <c r="D617" i="1"/>
  <c r="D128" i="1"/>
  <c r="D619" i="1"/>
  <c r="D353" i="1"/>
  <c r="D621" i="1"/>
  <c r="D155" i="1"/>
  <c r="D623" i="1"/>
  <c r="D624" i="1"/>
  <c r="D625" i="1"/>
  <c r="D541" i="1"/>
  <c r="D1133" i="1"/>
  <c r="D254" i="1"/>
  <c r="D629" i="1"/>
  <c r="D630" i="1"/>
  <c r="D445" i="1"/>
  <c r="D197" i="1"/>
  <c r="D1101" i="1"/>
  <c r="D634" i="1"/>
  <c r="D644" i="1"/>
  <c r="D636" i="1"/>
  <c r="D1186" i="1"/>
  <c r="D638" i="1"/>
  <c r="D639" i="1"/>
  <c r="D640" i="1"/>
  <c r="D641" i="1"/>
  <c r="D642" i="1"/>
  <c r="D643" i="1"/>
  <c r="D1168" i="1"/>
  <c r="D645" i="1"/>
  <c r="D573" i="1"/>
  <c r="D647" i="1"/>
  <c r="D648" i="1"/>
  <c r="D924" i="1"/>
  <c r="D650" i="1"/>
  <c r="D405" i="1"/>
  <c r="D1181" i="1"/>
  <c r="D653" i="1"/>
  <c r="D654" i="1"/>
  <c r="D999" i="1"/>
  <c r="D656" i="1"/>
  <c r="D167" i="1"/>
  <c r="D658" i="1"/>
  <c r="D322" i="1"/>
  <c r="D179" i="1"/>
  <c r="D661" i="1"/>
  <c r="D274" i="1"/>
  <c r="D1153" i="1"/>
  <c r="D404" i="1"/>
  <c r="D665" i="1"/>
  <c r="D666" i="1"/>
  <c r="D667" i="1"/>
  <c r="D855" i="1"/>
  <c r="D937" i="1"/>
  <c r="D670" i="1"/>
  <c r="D305" i="1"/>
  <c r="D439" i="1"/>
  <c r="D673" i="1"/>
  <c r="D448" i="1"/>
  <c r="D1014" i="1"/>
  <c r="D676" i="1"/>
  <c r="D590" i="1"/>
  <c r="D678" i="1"/>
  <c r="D679" i="1"/>
  <c r="D451" i="1"/>
  <c r="D681" i="1"/>
  <c r="D682" i="1"/>
  <c r="D683" i="1"/>
  <c r="D138" i="1"/>
  <c r="D685" i="1"/>
  <c r="D1125" i="1"/>
  <c r="D435" i="1"/>
  <c r="D688" i="1"/>
  <c r="D57" i="1"/>
  <c r="D978" i="1"/>
  <c r="D605" i="1"/>
  <c r="D461" i="1"/>
  <c r="D477" i="1"/>
  <c r="D694" i="1"/>
  <c r="D695" i="1"/>
  <c r="D259" i="1"/>
  <c r="D697" i="1"/>
  <c r="D323" i="1"/>
  <c r="D699" i="1"/>
  <c r="D746" i="1"/>
  <c r="D701" i="1"/>
  <c r="D702" i="1"/>
  <c r="D40" i="1"/>
  <c r="D704" i="1"/>
  <c r="D705" i="1"/>
  <c r="D706" i="1"/>
  <c r="D707" i="1"/>
  <c r="D54" i="1"/>
  <c r="D709" i="1"/>
  <c r="D59" i="1"/>
  <c r="D55" i="1"/>
  <c r="D762" i="1"/>
  <c r="D713" i="1"/>
  <c r="D627" i="1"/>
  <c r="D715" i="1"/>
  <c r="D716" i="1"/>
  <c r="D717" i="1"/>
  <c r="D718" i="1"/>
  <c r="D281" i="1"/>
  <c r="D720" i="1"/>
  <c r="D721" i="1"/>
  <c r="D722" i="1"/>
  <c r="D826" i="1"/>
  <c r="D724" i="1"/>
  <c r="D622" i="1"/>
  <c r="D751" i="1"/>
  <c r="D25" i="1"/>
  <c r="D100" i="1"/>
  <c r="D729" i="1"/>
  <c r="D730" i="1"/>
  <c r="D731" i="1"/>
  <c r="D732" i="1"/>
  <c r="D360" i="1"/>
  <c r="D734" i="1"/>
  <c r="D747" i="1"/>
  <c r="D736" i="1"/>
  <c r="D737" i="1"/>
  <c r="D649" i="1"/>
  <c r="D1034" i="1"/>
  <c r="D367" i="1"/>
  <c r="D741" i="1"/>
  <c r="D742" i="1"/>
  <c r="D743" i="1"/>
  <c r="D744" i="1"/>
  <c r="D201" i="1"/>
  <c r="D456" i="1"/>
  <c r="D764" i="1"/>
  <c r="D748" i="1"/>
  <c r="D677" i="1"/>
  <c r="D74" i="1"/>
  <c r="D633" i="1"/>
  <c r="D752" i="1"/>
  <c r="D753" i="1"/>
  <c r="D901" i="1"/>
  <c r="D755" i="1"/>
  <c r="D1090" i="1"/>
  <c r="D757" i="1"/>
  <c r="D1132" i="1"/>
  <c r="D1003" i="1"/>
  <c r="D760" i="1"/>
  <c r="D1151" i="1"/>
  <c r="D712" i="1"/>
  <c r="D161" i="1"/>
  <c r="D781" i="1"/>
  <c r="D108" i="1"/>
  <c r="D766" i="1"/>
  <c r="D767" i="1"/>
  <c r="D768" i="1"/>
  <c r="D769" i="1"/>
  <c r="D770" i="1"/>
  <c r="D858" i="1"/>
  <c r="D772" i="1"/>
  <c r="D10" i="1"/>
  <c r="D819" i="1"/>
  <c r="D775" i="1"/>
  <c r="D1031" i="1"/>
  <c r="D777" i="1"/>
  <c r="D778" i="1"/>
  <c r="D779" i="1"/>
  <c r="D780" i="1"/>
  <c r="D657" i="1"/>
  <c r="D222" i="1"/>
  <c r="D302" i="1"/>
  <c r="D784" i="1"/>
  <c r="D569" i="1"/>
  <c r="D535" i="1"/>
  <c r="D787" i="1"/>
  <c r="D788" i="1"/>
  <c r="D789" i="1"/>
  <c r="D790" i="1"/>
  <c r="D791" i="1"/>
  <c r="D792" i="1"/>
  <c r="D793" i="1"/>
  <c r="D794" i="1"/>
  <c r="D651" i="1"/>
  <c r="D1004" i="1"/>
  <c r="D797" i="1"/>
  <c r="D325" i="1"/>
  <c r="D920" i="1"/>
  <c r="D800" i="1"/>
  <c r="D801" i="1"/>
  <c r="D802" i="1"/>
  <c r="D803" i="1"/>
  <c r="D804" i="1"/>
  <c r="D221" i="1"/>
  <c r="D806" i="1"/>
  <c r="D807" i="1"/>
  <c r="D808" i="1"/>
  <c r="D809" i="1"/>
  <c r="D381" i="1"/>
  <c r="D811" i="1"/>
  <c r="D968" i="1"/>
  <c r="D813" i="1"/>
  <c r="D814" i="1"/>
  <c r="D815" i="1"/>
  <c r="D557" i="1"/>
  <c r="D525" i="1"/>
  <c r="D349" i="1"/>
  <c r="D457" i="1"/>
  <c r="D24" i="1"/>
  <c r="D821" i="1"/>
  <c r="D822" i="1"/>
  <c r="D823" i="1"/>
  <c r="D824" i="1"/>
  <c r="D825" i="1"/>
  <c r="D67" i="1"/>
  <c r="D997" i="1"/>
  <c r="D828" i="1"/>
  <c r="D1072" i="1"/>
  <c r="D830" i="1"/>
  <c r="D831" i="1"/>
  <c r="D832" i="1"/>
  <c r="D833" i="1"/>
  <c r="D761" i="1"/>
  <c r="D835" i="1"/>
  <c r="D836" i="1"/>
  <c r="D915" i="1"/>
  <c r="D838" i="1"/>
  <c r="D839" i="1"/>
  <c r="D351" i="1"/>
  <c r="D660" i="1"/>
  <c r="D842" i="1"/>
  <c r="D843" i="1"/>
  <c r="D490" i="1"/>
  <c r="D845" i="1"/>
  <c r="D846" i="1"/>
  <c r="D756" i="1"/>
  <c r="D501" i="1"/>
  <c r="D849" i="1"/>
  <c r="D1073" i="1"/>
  <c r="D851" i="1"/>
  <c r="D852" i="1"/>
  <c r="D853" i="1"/>
  <c r="D854" i="1"/>
  <c r="D214" i="1"/>
  <c r="D503" i="1"/>
  <c r="D857" i="1"/>
  <c r="D735" i="1"/>
  <c r="D859" i="1"/>
  <c r="D860" i="1"/>
  <c r="D861" i="1"/>
  <c r="D740" i="1"/>
  <c r="D692" i="1"/>
  <c r="D864" i="1"/>
  <c r="D1058" i="1"/>
  <c r="D663" i="1"/>
  <c r="D867" i="1"/>
  <c r="D763" i="1"/>
  <c r="D818" i="1"/>
  <c r="D273" i="1"/>
  <c r="D586" i="1"/>
  <c r="D91" i="1"/>
  <c r="D873" i="1"/>
  <c r="D874" i="1"/>
  <c r="D875" i="1"/>
  <c r="D1105" i="1"/>
  <c r="D558" i="1"/>
  <c r="D995" i="1"/>
  <c r="D15" i="1"/>
  <c r="D880" i="1"/>
  <c r="D881" i="1"/>
  <c r="D882" i="1"/>
  <c r="D883" i="1"/>
  <c r="D884" i="1"/>
  <c r="D113" i="1"/>
  <c r="D886" i="1"/>
  <c r="D1005" i="1"/>
  <c r="D888" i="1"/>
  <c r="D505" i="1"/>
  <c r="D890" i="1"/>
  <c r="D891" i="1"/>
  <c r="D892" i="1"/>
  <c r="D893" i="1"/>
  <c r="D935" i="1"/>
  <c r="D895" i="1"/>
  <c r="D896" i="1"/>
  <c r="D897" i="1"/>
  <c r="D898" i="1"/>
  <c r="D899" i="1"/>
  <c r="D900" i="1"/>
  <c r="D442" i="1"/>
  <c r="D902" i="1"/>
  <c r="D765" i="1"/>
  <c r="D866" i="1"/>
  <c r="D905" i="1"/>
  <c r="D906" i="1"/>
  <c r="D700" i="1"/>
  <c r="D908" i="1"/>
  <c r="D909" i="1"/>
  <c r="D910" i="1"/>
  <c r="D911" i="1"/>
  <c r="D587" i="1"/>
  <c r="D523" i="1"/>
  <c r="D348" i="1"/>
  <c r="D805" i="1"/>
  <c r="D453" i="1"/>
  <c r="D917" i="1"/>
  <c r="D918" i="1"/>
  <c r="D919" i="1"/>
  <c r="D1193" i="1"/>
  <c r="D921" i="1"/>
  <c r="D922" i="1"/>
  <c r="D1011" i="1"/>
  <c r="D1060" i="1"/>
  <c r="D548" i="1"/>
  <c r="D926" i="1"/>
  <c r="D927" i="1"/>
  <c r="D928" i="1"/>
  <c r="D738" i="1"/>
  <c r="D1145" i="1"/>
  <c r="D60" i="1"/>
  <c r="D750" i="1"/>
  <c r="D687" i="1"/>
  <c r="D934" i="1"/>
  <c r="D400" i="1"/>
  <c r="D690" i="1"/>
  <c r="D270" i="1"/>
  <c r="D17" i="1"/>
  <c r="D1104" i="1"/>
  <c r="D940" i="1"/>
  <c r="D941" i="1"/>
  <c r="D942" i="1"/>
  <c r="D943" i="1"/>
  <c r="D1046" i="1"/>
  <c r="D945" i="1"/>
  <c r="D946" i="1"/>
  <c r="D993" i="1"/>
  <c r="D948" i="1"/>
  <c r="D51" i="1"/>
  <c r="D950" i="1"/>
  <c r="D1183" i="1"/>
  <c r="D952" i="1"/>
  <c r="D953" i="1"/>
  <c r="D954" i="1"/>
  <c r="D955" i="1"/>
  <c r="D795" i="1"/>
  <c r="D957" i="1"/>
  <c r="D574" i="1"/>
  <c r="D959" i="1"/>
  <c r="D960" i="1"/>
  <c r="D961" i="1"/>
  <c r="D136" i="1"/>
  <c r="D963" i="1"/>
  <c r="D258" i="1"/>
  <c r="D965" i="1"/>
  <c r="D83" i="1"/>
  <c r="D632" i="1"/>
  <c r="D362" i="1"/>
  <c r="D969" i="1"/>
  <c r="D970" i="1"/>
  <c r="D352" i="1"/>
  <c r="D972" i="1"/>
  <c r="D973" i="1"/>
  <c r="D675" i="1"/>
  <c r="D975" i="1"/>
  <c r="D976" i="1"/>
  <c r="D977" i="1"/>
  <c r="D235" i="1"/>
  <c r="D979" i="1"/>
  <c r="D980" i="1"/>
  <c r="D981" i="1"/>
  <c r="D481" i="1"/>
  <c r="D983" i="1"/>
  <c r="D984" i="1"/>
  <c r="D985" i="1"/>
  <c r="D135" i="1"/>
  <c r="D987" i="1"/>
  <c r="D988" i="1"/>
  <c r="D989" i="1"/>
  <c r="D990" i="1"/>
  <c r="D1163" i="1"/>
  <c r="D119" i="1"/>
  <c r="D308" i="1"/>
  <c r="D1177" i="1"/>
  <c r="D120" i="1"/>
  <c r="D612" i="1"/>
  <c r="D389" i="1"/>
  <c r="D998" i="1"/>
  <c r="D118" i="1"/>
  <c r="D1000" i="1"/>
  <c r="D355" i="1"/>
  <c r="D1002" i="1"/>
  <c r="D145" i="1"/>
  <c r="D785" i="1"/>
  <c r="D370" i="1"/>
  <c r="D447" i="1"/>
  <c r="D1138" i="1"/>
  <c r="D1008" i="1"/>
  <c r="D1009" i="1"/>
  <c r="D127" i="1"/>
  <c r="D759" i="1"/>
  <c r="D1012" i="1"/>
  <c r="D1013" i="1"/>
  <c r="D420" i="1"/>
  <c r="D1015" i="1"/>
  <c r="D1016" i="1"/>
  <c r="D1048" i="1"/>
  <c r="D1018" i="1"/>
  <c r="D1165" i="1"/>
  <c r="D1020" i="1"/>
  <c r="D1021" i="1"/>
  <c r="D1022" i="1"/>
  <c r="D1023" i="1"/>
  <c r="D1024" i="1"/>
  <c r="D1025" i="1"/>
  <c r="D1026" i="1"/>
  <c r="D1027" i="1"/>
  <c r="D1028" i="1"/>
  <c r="D847" i="1"/>
  <c r="D1030" i="1"/>
  <c r="D368" i="1"/>
  <c r="D1032" i="1"/>
  <c r="D257" i="1"/>
  <c r="D1178" i="1"/>
  <c r="D1035" i="1"/>
  <c r="D1036" i="1"/>
  <c r="D30" i="1"/>
  <c r="D1038" i="1"/>
  <c r="D1039" i="1"/>
  <c r="D655" i="1"/>
  <c r="D1041" i="1"/>
  <c r="D88" i="1"/>
  <c r="D1001" i="1"/>
  <c r="D749" i="1"/>
  <c r="D1045" i="1"/>
  <c r="D870" i="1"/>
  <c r="D1047" i="1"/>
  <c r="D9" i="1"/>
  <c r="D1049" i="1"/>
  <c r="D1050" i="1"/>
  <c r="D1051" i="1"/>
  <c r="D306" i="1"/>
  <c r="D1053" i="1"/>
  <c r="D1201" i="1"/>
  <c r="D1055" i="1"/>
  <c r="D947" i="1"/>
  <c r="D1057" i="1"/>
  <c r="D1119" i="1"/>
  <c r="D912" i="1"/>
  <c r="D468" i="1"/>
  <c r="D844" i="1"/>
  <c r="D1062" i="1"/>
  <c r="D315" i="1"/>
  <c r="D1064" i="1"/>
  <c r="D1065" i="1"/>
  <c r="D1066" i="1"/>
  <c r="D1067" i="1"/>
  <c r="D1059" i="1"/>
  <c r="D1069" i="1"/>
  <c r="D1070" i="1"/>
  <c r="D1071" i="1"/>
  <c r="D531" i="1"/>
  <c r="D714" i="1"/>
  <c r="D1074" i="1"/>
  <c r="D949" i="1"/>
  <c r="D1076" i="1"/>
  <c r="D226" i="1"/>
  <c r="D1148" i="1"/>
  <c r="D1079" i="1"/>
  <c r="D1080" i="1"/>
  <c r="D593" i="1"/>
  <c r="D407" i="1"/>
  <c r="D885" i="1"/>
  <c r="D123" i="1"/>
  <c r="D14" i="1"/>
  <c r="D1086" i="1"/>
  <c r="D1087" i="1"/>
  <c r="D1088" i="1"/>
  <c r="D1089" i="1"/>
  <c r="D1082" i="1"/>
  <c r="D1091" i="1"/>
  <c r="D872" i="1"/>
  <c r="D1093" i="1"/>
  <c r="D1094" i="1"/>
  <c r="D1095" i="1"/>
  <c r="D1096" i="1"/>
  <c r="D219" i="1"/>
  <c r="D1098" i="1"/>
  <c r="D1099" i="1"/>
  <c r="D1100" i="1"/>
  <c r="D850" i="1"/>
  <c r="D1102" i="1"/>
  <c r="D674" i="1"/>
  <c r="D521" i="1"/>
  <c r="D509" i="1"/>
  <c r="D903" i="1"/>
  <c r="D1107" i="1"/>
  <c r="D1108" i="1"/>
  <c r="D1109" i="1"/>
  <c r="D1110" i="1"/>
  <c r="D1111" i="1"/>
  <c r="D1112" i="1"/>
  <c r="D1113" i="1"/>
  <c r="D817" i="1"/>
  <c r="D1115" i="1"/>
  <c r="D1116" i="1"/>
  <c r="D1117" i="1"/>
  <c r="D1118" i="1"/>
  <c r="D876" i="1"/>
  <c r="D1120" i="1"/>
  <c r="D1121" i="1"/>
  <c r="D1122" i="1"/>
  <c r="D848" i="1"/>
  <c r="D1124" i="1"/>
  <c r="D996" i="1"/>
  <c r="D1126" i="1"/>
  <c r="D1127" i="1"/>
  <c r="D837" i="1"/>
  <c r="D1129" i="1"/>
  <c r="D232" i="1"/>
  <c r="D1131" i="1"/>
  <c r="D555" i="1"/>
  <c r="D600" i="1"/>
  <c r="D1134" i="1"/>
  <c r="D597" i="1"/>
  <c r="D85" i="1"/>
  <c r="D1103" i="1"/>
  <c r="D1172" i="1"/>
  <c r="D463" i="1"/>
  <c r="D1140" i="1"/>
  <c r="D253" i="1"/>
  <c r="D1142" i="1"/>
  <c r="D1143" i="1"/>
  <c r="D1144" i="1"/>
  <c r="D856" i="1"/>
  <c r="D1146" i="1"/>
  <c r="D1147" i="1"/>
  <c r="D1006" i="1"/>
  <c r="D1149" i="1"/>
  <c r="D1150" i="1"/>
  <c r="D412" i="1"/>
  <c r="D1152" i="1"/>
  <c r="D925" i="1"/>
  <c r="D1154" i="1"/>
  <c r="D1155" i="1"/>
  <c r="D1156" i="1"/>
  <c r="D95" i="1"/>
  <c r="D607" i="1"/>
  <c r="D1159" i="1"/>
  <c r="D1160" i="1"/>
  <c r="D1161" i="1"/>
  <c r="D1162" i="1"/>
  <c r="D820" i="1"/>
  <c r="D1164" i="1"/>
  <c r="D195" i="1"/>
  <c r="D1166" i="1"/>
  <c r="D877" i="1"/>
  <c r="D931" i="1"/>
  <c r="D1169" i="1"/>
  <c r="D1170" i="1"/>
  <c r="D1171" i="1"/>
  <c r="D878" i="1"/>
  <c r="D1173" i="1"/>
  <c r="D1174" i="1"/>
  <c r="D1175" i="1"/>
  <c r="D1176" i="1"/>
  <c r="D29" i="1"/>
  <c r="D263" i="1"/>
  <c r="D1179" i="1"/>
  <c r="D363" i="1"/>
  <c r="D268" i="1"/>
  <c r="D1182" i="1"/>
  <c r="D840" i="1"/>
  <c r="D1184" i="1"/>
  <c r="D1185" i="1"/>
  <c r="D862" i="1"/>
  <c r="D466" i="1"/>
  <c r="D1188" i="1"/>
  <c r="D726" i="1"/>
  <c r="D398" i="1"/>
  <c r="D1191" i="1"/>
  <c r="D1192" i="1"/>
  <c r="D395" i="1"/>
  <c r="D1194" i="1"/>
  <c r="D1195" i="1"/>
  <c r="D841" i="1"/>
  <c r="D215" i="1"/>
  <c r="D1198" i="1"/>
  <c r="D1199" i="1"/>
  <c r="D1200" i="1"/>
  <c r="D56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D6C676-648B-4DF3-B65F-FBB7E10A373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A5609EC-EDAC-4FFF-A6E3-24124A57E927}" name="WorksheetConnection_realistic_mis_dataset.xlsx!order" type="102" refreshedVersion="7" minRefreshableVersion="5">
    <extLst>
      <ext xmlns:x15="http://schemas.microsoft.com/office/spreadsheetml/2010/11/main" uri="{DE250136-89BD-433C-8126-D09CA5730AF9}">
        <x15:connection id="order" autoDelete="1">
          <x15:rangePr sourceName="_xlcn.WorksheetConnection_realistic_mis_dataset.xlsxorder1"/>
        </x15:connection>
      </ext>
    </extLst>
  </connection>
</connections>
</file>

<file path=xl/sharedStrings.xml><?xml version="1.0" encoding="utf-8"?>
<sst xmlns="http://schemas.openxmlformats.org/spreadsheetml/2006/main" count="5478" uniqueCount="94">
  <si>
    <t>order_id</t>
  </si>
  <si>
    <t>order_date</t>
  </si>
  <si>
    <t>customer_id</t>
  </si>
  <si>
    <t>product_id</t>
  </si>
  <si>
    <t>quantity</t>
  </si>
  <si>
    <t>selling_price</t>
  </si>
  <si>
    <t>discount</t>
  </si>
  <si>
    <t>region</t>
  </si>
  <si>
    <t>order_status</t>
  </si>
  <si>
    <t>South</t>
  </si>
  <si>
    <t>Cancelled</t>
  </si>
  <si>
    <t>East</t>
  </si>
  <si>
    <t>Delivered</t>
  </si>
  <si>
    <t>West</t>
  </si>
  <si>
    <t>Pending</t>
  </si>
  <si>
    <t>North</t>
  </si>
  <si>
    <t>customer_name</t>
  </si>
  <si>
    <t>city</t>
  </si>
  <si>
    <t>state</t>
  </si>
  <si>
    <t>signup_date</t>
  </si>
  <si>
    <t>Manish Yadav</t>
  </si>
  <si>
    <t>Chennai</t>
  </si>
  <si>
    <t>Tamil Nadu</t>
  </si>
  <si>
    <t>Aarav Sharma</t>
  </si>
  <si>
    <t>Delhi</t>
  </si>
  <si>
    <t>Vikram Singh</t>
  </si>
  <si>
    <t>Bangalore</t>
  </si>
  <si>
    <t>Karnataka</t>
  </si>
  <si>
    <t>Pune</t>
  </si>
  <si>
    <t>Maharashtra</t>
  </si>
  <si>
    <t>Pooja Nair</t>
  </si>
  <si>
    <t>Arjun Nair</t>
  </si>
  <si>
    <t>Ahmedabad</t>
  </si>
  <si>
    <t>Gujarat</t>
  </si>
  <si>
    <t>Sneha Iyer</t>
  </si>
  <si>
    <t>Hyderabad</t>
  </si>
  <si>
    <t>Telangana</t>
  </si>
  <si>
    <t>Rahul Mehta</t>
  </si>
  <si>
    <t>Ishita Bose</t>
  </si>
  <si>
    <t>Siddharth Jain</t>
  </si>
  <si>
    <t>Mumbai</t>
  </si>
  <si>
    <t>Meera Joshi</t>
  </si>
  <si>
    <t>Ananya Gupta</t>
  </si>
  <si>
    <t>Rohit Verma</t>
  </si>
  <si>
    <t>Priya Reddy</t>
  </si>
  <si>
    <t>Neha Kapoor</t>
  </si>
  <si>
    <t>Karan Patel</t>
  </si>
  <si>
    <t>product_name</t>
  </si>
  <si>
    <t>category</t>
  </si>
  <si>
    <t>cost_price</t>
  </si>
  <si>
    <t>iPhone 13</t>
  </si>
  <si>
    <t>Electronics</t>
  </si>
  <si>
    <t>Samsung Galaxy S21</t>
  </si>
  <si>
    <t>Nike Air Max Shoes</t>
  </si>
  <si>
    <t>Fashion</t>
  </si>
  <si>
    <t>Levi's Slim Fit Jeans</t>
  </si>
  <si>
    <t>Prestige Pressure Cooker 5L</t>
  </si>
  <si>
    <t>Home &amp; Kitchen</t>
  </si>
  <si>
    <t>Philips Air Fryer</t>
  </si>
  <si>
    <t>Sony WH-1000XM4 Headphones</t>
  </si>
  <si>
    <t>Adidas Ultraboost Shoes</t>
  </si>
  <si>
    <t>Milton Thermosteel Bottle</t>
  </si>
  <si>
    <t>LG 43 Inch Smart TV</t>
  </si>
  <si>
    <t>shipment_id</t>
  </si>
  <si>
    <t>ship_date</t>
  </si>
  <si>
    <t>delivery_date</t>
  </si>
  <si>
    <t>courier</t>
  </si>
  <si>
    <t>delivery_status</t>
  </si>
  <si>
    <t>BlueDart</t>
  </si>
  <si>
    <t>Delayed</t>
  </si>
  <si>
    <t>Delhivery</t>
  </si>
  <si>
    <t>Ekart</t>
  </si>
  <si>
    <t>DTDC</t>
  </si>
  <si>
    <t>Customer_name</t>
  </si>
  <si>
    <t>City</t>
  </si>
  <si>
    <t>State</t>
  </si>
  <si>
    <t>profit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</si>
  <si>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</si>
  <si>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</si>
  <si>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</si>
  <si>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</si>
  <si>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</si>
  <si>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</si>
  <si>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</si>
  <si>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</si>
  <si>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</si>
  <si>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</si>
  <si>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</si>
  <si>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</si>
  <si>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</si>
  <si>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</si>
  <si>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</si>
  <si>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Sum of Revenue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</si>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</sst>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6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4" borderId="1" xfId="0" applyFont="1" applyFill="1" applyBorder="1"/>
    <xf numFmtId="0" fontId="0" fillId="0" borderId="0" xfId="0" applyNumberFormat="1"/>
    <xf numFmtId="0" fontId="1" fillId="2" borderId="0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0" fontId="0" fillId="3" borderId="5" xfId="0" applyFont="1" applyFill="1" applyBorder="1"/>
    <xf numFmtId="0" fontId="0" fillId="3" borderId="1" xfId="0" applyFont="1" applyFill="1" applyBorder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166" formatCode="[$-409]m/d/yy\ h:mm\ AM/PM;@"/>
    </dxf>
    <dxf>
      <numFmt numFmtId="166" formatCode="[$-409]m/d/yy\ h:mm\ AM/PM;@"/>
    </dxf>
    <dxf>
      <numFmt numFmtId="166" formatCode="[$-409]m/d/yy\ h:mm\ AM/PM;@"/>
    </dxf>
    <dxf>
      <numFmt numFmtId="0" formatCode="General"/>
    </dxf>
    <dxf>
      <numFmt numFmtId="164" formatCode="yyyy\-mm\-dd\ h:mm:ss"/>
    </dxf>
    <dxf>
      <numFmt numFmtId="164" formatCode="yyyy\-mm\-dd\ 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03.231587847222" backgroundQuery="1" createdVersion="7" refreshedVersion="7" minRefreshableVersion="3" recordCount="0" supportSubquery="1" supportAdvancedDrill="1" xr:uid="{52DDD9CA-5438-464C-AE2F-15CAFF9D4DCE}">
  <cacheSource type="external" connectionId="1"/>
  <cacheFields count="2">
    <cacheField name="[order].[region].[region]" caption="region" numFmtId="0" hierarchy="8" level="1">
      <sharedItems count="4">
        <s v="East"/>
        <s v="North"/>
        <s v="South"/>
        <s v="West"/>
      </sharedItems>
    </cacheField>
    <cacheField name="[Measures].[Sum of Revenue]" caption="Sum of Revenue" numFmtId="0" hierarchy="24" level="32767"/>
  </cacheFields>
  <cacheHierarchies count="26"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order_date]" caption="order_date" attribute="1" time="1" defaultMemberUniqueName="[order].[order_date].[All]" allUniqueName="[order].[order_date].[All]" dimensionUniqueName="[order]" displayFolder="" count="2" memberValueDatatype="7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20" unbalanced="0"/>
    <cacheHierarchy uniqueName="[order].[Customer_name]" caption="Customer_name" attribute="1" defaultMemberUniqueName="[order].[Customer_name].[All]" allUniqueName="[order].[Customer_name].[All]" dimensionUniqueName="[order]" displayFolder="" count="0" memberValueDatatype="130" unbalanced="0"/>
    <cacheHierarchy uniqueName="[order].[product_id]" caption="product_id" attribute="1" defaultMemberUniqueName="[order].[product_id].[All]" allUniqueName="[order].[product_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selling_price]" caption="selling_price" attribute="1" defaultMemberUniqueName="[order].[selling_price].[All]" allUniqueName="[order].[selling_price].[All]" dimensionUniqueName="[order]" displayFolder="" count="0" memberValueDatatype="20" unbalanced="0"/>
    <cacheHierarchy uniqueName="[order].[discount]" caption="discount" attribute="1" defaultMemberUniqueName="[order].[discount].[All]" allUniqueName="[order].[discount].[All]" dimensionUniqueName="[order]" displayFolder="" count="0" memberValueDatatype="20" unbalanced="0"/>
    <cacheHierarchy uniqueName="[order].[region]" caption="region" attribute="1" defaultMemberUniqueName="[order].[region].[All]" allUniqueName="[order].[region].[All]" dimensionUniqueName="[order]" displayFolder="" count="2" memberValueDatatype="130" unbalanced="0">
      <fieldsUsage count="2">
        <fieldUsage x="-1"/>
        <fieldUsage x="0"/>
      </fieldsUsage>
    </cacheHierarchy>
    <cacheHierarchy uniqueName="[order].[order_status]" caption="order_status" attribute="1" defaultMemberUniqueName="[order].[order_status].[All]" allUniqueName="[order].[order_status].[All]" dimensionUniqueName="[order]" displayFolder="" count="0" memberValueDatatype="130" unbalanced="0"/>
    <cacheHierarchy uniqueName="[order].[City]" caption="City" attribute="1" defaultMemberUniqueName="[order].[City].[All]" allUniqueName="[order].[City].[All]" dimensionUniqueName="[order]" displayFolder="" count="0" memberValueDatatype="130" unbalanced="0"/>
    <cacheHierarchy uniqueName="[order].[State]" caption="State" attribute="1" defaultMemberUniqueName="[order].[State].[All]" allUniqueName="[order].[State].[All]" dimensionUniqueName="[order]" displayFolder="" count="0" memberValueDatatype="130" unbalanced="0"/>
    <cacheHierarchy uniqueName="[order].[product_name]" caption="product_name" attribute="1" defaultMemberUniqueName="[order].[product_name].[All]" allUniqueName="[order].[product_name].[All]" dimensionUniqueName="[order]" displayFolder="" count="0" memberValueDatatype="130" unbalanced="0"/>
    <cacheHierarchy uniqueName="[order].[category]" caption="category" attribute="1" defaultMemberUniqueName="[order].[category].[All]" allUniqueName="[order].[category].[All]" dimensionUniqueName="[order]" displayFolder="" count="0" memberValueDatatype="130" unbalanced="0"/>
    <cacheHierarchy uniqueName="[order].[cost_price]" caption="cost_price" attribute="1" defaultMemberUniqueName="[order].[cost_price].[All]" allUniqueName="[order].[cost_price].[All]" dimensionUniqueName="[order]" displayFolder="" count="0" memberValueDatatype="20" unbalanced="0"/>
    <cacheHierarchy uniqueName="[order].[ship_date]" caption="ship_date" attribute="1" time="1" defaultMemberUniqueName="[order].[ship_date].[All]" allUniqueName="[order].[ship_date].[All]" dimensionUniqueName="[order]" displayFolder="" count="0" memberValueDatatype="7" unbalanced="0"/>
    <cacheHierarchy uniqueName="[order].[delivery_date]" caption="delivery_date" attribute="1" time="1" defaultMemberUniqueName="[order].[delivery_date].[All]" allUniqueName="[order].[delivery_date].[All]" dimensionUniqueName="[order]" displayFolder="" count="0" memberValueDatatype="7" unbalanced="0"/>
    <cacheHierarchy uniqueName="[order].[courier]" caption="courier" attribute="1" defaultMemberUniqueName="[order].[courier].[All]" allUniqueName="[order].[courier].[All]" dimensionUniqueName="[order]" displayFolder="" count="0" memberValueDatatype="130" unbalanced="0"/>
    <cacheHierarchy uniqueName="[order].[profit]" caption="profit" attribute="1" defaultMemberUniqueName="[order].[profit].[All]" allUniqueName="[order].[profit].[All]" dimensionUniqueName="[order]" displayFolder="" count="0" memberValueDatatype="20" unbalanced="0"/>
    <cacheHierarchy uniqueName="[order].[Revenue]" caption="Revenue" attribute="1" defaultMemberUniqueName="[order].[Revenue].[All]" allUniqueName="[order].[Revenue].[All]" dimensionUniqueName="[order]" displayFolder="" count="0" memberValueDatatype="20" unbalanced="0"/>
    <cacheHierarchy uniqueName="[order].[order_date (Month)]" caption="order_date (Month)" attribute="1" defaultMemberUniqueName="[order].[order_date (Month)].[All]" allUniqueName="[order].[order_date (Month)].[All]" dimensionUniqueName="[order]" displayFolder="" count="2" memberValueDatatype="130" unbalanced="0"/>
    <cacheHierarchy uniqueName="[order].[order_date (Month Index)]" caption="order_date (Month Index)" attribute="1" defaultMemberUniqueName="[order].[order_date (Month Index)].[All]" allUniqueName="[order].[order_date (Month Index)].[All]" dimensionUniqueName="[order]" displayFolder="" count="0" memberValueDatatype="20" unbalanced="0" hidden="1"/>
    <cacheHierarchy uniqueName="[Measures].[__XL_Count order]" caption="__XL_Count order" measure="1" displayFolder="" measureGroup="order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ord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order" uniqueName="[order]" caption="order"/>
  </dimensions>
  <measureGroups count="1">
    <measureGroup name="order" caption="order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03.23173136574" backgroundQuery="1" createdVersion="7" refreshedVersion="7" minRefreshableVersion="3" recordCount="0" supportSubquery="1" supportAdvancedDrill="1" xr:uid="{94798770-6B32-40B9-BB64-B6606C9ECB5D}">
  <cacheSource type="external" connectionId="1"/>
  <cacheFields count="3">
    <cacheField name="[Measures].[Sum of Revenue]" caption="Sum of Revenue" numFmtId="0" hierarchy="24" level="32767"/>
    <cacheField name="[Measures].[Sum of profit]" caption="Sum of profit" numFmtId="0" hierarchy="25" level="32767"/>
    <cacheField name="[order].[order_date (Month)].[order_date (Month)]" caption="order_date (Month)" numFmtId="0" hierarchy="2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6">
    <cacheHierarchy uniqueName="[order].[order_id]" caption="order_id" attribute="1" defaultMemberUniqueName="[order].[order_id].[All]" allUniqueName="[order].[order_id].[All]" dimensionUniqueName="[order]" displayFolder="" count="0" memberValueDatatype="20" unbalanced="0"/>
    <cacheHierarchy uniqueName="[order].[order_date]" caption="order_date" attribute="1" time="1" defaultMemberUniqueName="[order].[order_date].[All]" allUniqueName="[order].[order_date].[All]" dimensionUniqueName="[order]" displayFolder="" count="2" memberValueDatatype="7" unbalanced="0"/>
    <cacheHierarchy uniqueName="[order].[customer_id]" caption="customer_id" attribute="1" defaultMemberUniqueName="[order].[customer_id].[All]" allUniqueName="[order].[customer_id].[All]" dimensionUniqueName="[order]" displayFolder="" count="0" memberValueDatatype="20" unbalanced="0"/>
    <cacheHierarchy uniqueName="[order].[Customer_name]" caption="Customer_name" attribute="1" defaultMemberUniqueName="[order].[Customer_name].[All]" allUniqueName="[order].[Customer_name].[All]" dimensionUniqueName="[order]" displayFolder="" count="0" memberValueDatatype="130" unbalanced="0"/>
    <cacheHierarchy uniqueName="[order].[product_id]" caption="product_id" attribute="1" defaultMemberUniqueName="[order].[product_id].[All]" allUniqueName="[order].[product_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selling_price]" caption="selling_price" attribute="1" defaultMemberUniqueName="[order].[selling_price].[All]" allUniqueName="[order].[selling_price].[All]" dimensionUniqueName="[order]" displayFolder="" count="0" memberValueDatatype="20" unbalanced="0"/>
    <cacheHierarchy uniqueName="[order].[discount]" caption="discount" attribute="1" defaultMemberUniqueName="[order].[discount].[All]" allUniqueName="[order].[discount].[All]" dimensionUniqueName="[order]" displayFolder="" count="0" memberValueDatatype="20" unbalanced="0"/>
    <cacheHierarchy uniqueName="[order].[region]" caption="region" attribute="1" defaultMemberUniqueName="[order].[region].[All]" allUniqueName="[order].[region].[All]" dimensionUniqueName="[order]" displayFolder="" count="0" memberValueDatatype="130" unbalanced="0"/>
    <cacheHierarchy uniqueName="[order].[order_status]" caption="order_status" attribute="1" defaultMemberUniqueName="[order].[order_status].[All]" allUniqueName="[order].[order_status].[All]" dimensionUniqueName="[order]" displayFolder="" count="0" memberValueDatatype="130" unbalanced="0"/>
    <cacheHierarchy uniqueName="[order].[City]" caption="City" attribute="1" defaultMemberUniqueName="[order].[City].[All]" allUniqueName="[order].[City].[All]" dimensionUniqueName="[order]" displayFolder="" count="0" memberValueDatatype="130" unbalanced="0"/>
    <cacheHierarchy uniqueName="[order].[State]" caption="State" attribute="1" defaultMemberUniqueName="[order].[State].[All]" allUniqueName="[order].[State].[All]" dimensionUniqueName="[order]" displayFolder="" count="0" memberValueDatatype="130" unbalanced="0"/>
    <cacheHierarchy uniqueName="[order].[product_name]" caption="product_name" attribute="1" defaultMemberUniqueName="[order].[product_name].[All]" allUniqueName="[order].[product_name].[All]" dimensionUniqueName="[order]" displayFolder="" count="0" memberValueDatatype="130" unbalanced="0"/>
    <cacheHierarchy uniqueName="[order].[category]" caption="category" attribute="1" defaultMemberUniqueName="[order].[category].[All]" allUniqueName="[order].[category].[All]" dimensionUniqueName="[order]" displayFolder="" count="0" memberValueDatatype="130" unbalanced="0"/>
    <cacheHierarchy uniqueName="[order].[cost_price]" caption="cost_price" attribute="1" defaultMemberUniqueName="[order].[cost_price].[All]" allUniqueName="[order].[cost_price].[All]" dimensionUniqueName="[order]" displayFolder="" count="0" memberValueDatatype="20" unbalanced="0"/>
    <cacheHierarchy uniqueName="[order].[ship_date]" caption="ship_date" attribute="1" time="1" defaultMemberUniqueName="[order].[ship_date].[All]" allUniqueName="[order].[ship_date].[All]" dimensionUniqueName="[order]" displayFolder="" count="0" memberValueDatatype="7" unbalanced="0"/>
    <cacheHierarchy uniqueName="[order].[delivery_date]" caption="delivery_date" attribute="1" time="1" defaultMemberUniqueName="[order].[delivery_date].[All]" allUniqueName="[order].[delivery_date].[All]" dimensionUniqueName="[order]" displayFolder="" count="0" memberValueDatatype="7" unbalanced="0"/>
    <cacheHierarchy uniqueName="[order].[courier]" caption="courier" attribute="1" defaultMemberUniqueName="[order].[courier].[All]" allUniqueName="[order].[courier].[All]" dimensionUniqueName="[order]" displayFolder="" count="0" memberValueDatatype="130" unbalanced="0"/>
    <cacheHierarchy uniqueName="[order].[profit]" caption="profit" attribute="1" defaultMemberUniqueName="[order].[profit].[All]" allUniqueName="[order].[profit].[All]" dimensionUniqueName="[order]" displayFolder="" count="0" memberValueDatatype="20" unbalanced="0"/>
    <cacheHierarchy uniqueName="[order].[Revenue]" caption="Revenue" attribute="1" defaultMemberUniqueName="[order].[Revenue].[All]" allUniqueName="[order].[Revenue].[All]" dimensionUniqueName="[order]" displayFolder="" count="0" memberValueDatatype="20" unbalanced="0"/>
    <cacheHierarchy uniqueName="[order].[order_date (Month)]" caption="order_date (Month)" attribute="1" defaultMemberUniqueName="[order].[order_date (Month)].[All]" allUniqueName="[order].[order_date (Month)].[All]" dimensionUniqueName="[order]" displayFolder="" count="2" memberValueDatatype="130" unbalanced="0">
      <fieldsUsage count="2">
        <fieldUsage x="-1"/>
        <fieldUsage x="2"/>
      </fieldsUsage>
    </cacheHierarchy>
    <cacheHierarchy uniqueName="[order].[order_date (Month Index)]" caption="order_date (Month Index)" attribute="1" defaultMemberUniqueName="[order].[order_date (Month Index)].[All]" allUniqueName="[order].[order_date (Month Index)].[All]" dimensionUniqueName="[order]" displayFolder="" count="0" memberValueDatatype="20" unbalanced="0" hidden="1"/>
    <cacheHierarchy uniqueName="[Measures].[__XL_Count order]" caption="__XL_Count order" measure="1" displayFolder="" measureGroup="order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order" uniqueName="[order]" caption="order"/>
  </dimensions>
  <measureGroups count="1">
    <measureGroup name="order" caption="order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DE1ED-CAD5-458C-B7AB-DCF51005E57A}" name="PivotTable3" cacheId="4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Revenue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alistic_mis_dataset.xlsx!order"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5CAE8-233D-4CFB-B783-061270F782C0}" name="PivotTable2" cacheId="5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sortType="descending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3">
    <i>
      <x v="4"/>
    </i>
    <i>
      <x v="2"/>
    </i>
    <i>
      <x v="7"/>
    </i>
    <i>
      <x/>
    </i>
    <i>
      <x v="11"/>
    </i>
    <i>
      <x v="1"/>
    </i>
    <i>
      <x v="10"/>
    </i>
    <i>
      <x v="3"/>
    </i>
    <i>
      <x v="8"/>
    </i>
    <i>
      <x v="9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0" baseField="0" baseItem="0"/>
    <dataField name="Sum of profit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alistic_mis_dataset.xlsx!order"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2B3AB-39ED-4765-9FFB-BE70925C683C}" name="order" displayName="order" ref="A1:T1201" totalsRowShown="0">
  <autoFilter ref="A1:T1201" xr:uid="{0D12B3AB-39ED-4765-9FFB-BE70925C683C}"/>
  <sortState xmlns:xlrd2="http://schemas.microsoft.com/office/spreadsheetml/2017/richdata2" ref="A3:S1201">
    <sortCondition descending="1" ref="O1:O1201"/>
  </sortState>
  <tableColumns count="20">
    <tableColumn id="1" xr3:uid="{8C92A947-C229-45A1-B7E0-E14D4455389B}" name="order_id"/>
    <tableColumn id="2" xr3:uid="{6E453BA8-5EBD-4B5B-8D9A-1CCF0E266A98}" name="order_date" dataDxfId="4"/>
    <tableColumn id="3" xr3:uid="{D753E718-E6CC-4BDD-ACBE-98DD4E781E35}" name="customer_id"/>
    <tableColumn id="12" xr3:uid="{8F06085E-C46E-4D9B-9CE2-3BD0C405C47F}" name="Customer_name" dataDxfId="19">
      <calculatedColumnFormula>_xlfn.XLOOKUP(order[[#This Row],[customer_id]],customer[customer_id],customer[customer_name])</calculatedColumnFormula>
    </tableColumn>
    <tableColumn id="4" xr3:uid="{6CB9773A-C512-41BE-BD02-3DBF1A394CFD}" name="product_id"/>
    <tableColumn id="5" xr3:uid="{671BAF7B-2CCF-4159-B8DE-73CBB7DA93E9}" name="quantity"/>
    <tableColumn id="6" xr3:uid="{5A4E6AB2-CBC0-46C4-8900-91752AF6BDE8}" name="selling_price"/>
    <tableColumn id="7" xr3:uid="{3859A5F0-D5E8-4D71-9DE9-204419D62E57}" name="discount"/>
    <tableColumn id="8" xr3:uid="{B3B7B5B5-4B52-4ECB-97C0-69D3920C7444}" name="region"/>
    <tableColumn id="9" xr3:uid="{74A08574-90E6-47BA-BFE2-5ADE77361690}" name="order_status"/>
    <tableColumn id="13" xr3:uid="{AD3E9155-0BEE-403B-8A0B-6FF29E4FEFDC}" name="City" dataDxfId="18">
      <calculatedColumnFormula>_xlfn.XLOOKUP(order[[#This Row],[customer_id]],customer[customer_id],customer[city])</calculatedColumnFormula>
    </tableColumn>
    <tableColumn id="14" xr3:uid="{B3185025-BDBB-4B1E-BE5C-FCFEBCE4C4B0}" name="State" dataDxfId="17">
      <calculatedColumnFormula>_xlfn.XLOOKUP(order[[#This Row],[customer_id]],customer[customer_id],customer[state])</calculatedColumnFormula>
    </tableColumn>
    <tableColumn id="15" xr3:uid="{21CF10E1-73EB-4B73-8222-CDE79A8A89A6}" name="product_name" dataDxfId="16">
      <calculatedColumnFormula>_xlfn.XLOOKUP(order[[#This Row],[product_id]],products!$A$2:$A$11,products!$B$2:$B$11)</calculatedColumnFormula>
    </tableColumn>
    <tableColumn id="16" xr3:uid="{30746A38-C4C8-4EFB-9D19-D13D23100FCC}" name="category" dataDxfId="15">
      <calculatedColumnFormula>_xlfn.XLOOKUP(order[[#This Row],[product_id]],products!$A$2:$A$11,products!$C$2:$C$11)</calculatedColumnFormula>
    </tableColumn>
    <tableColumn id="18" xr3:uid="{FAB8BAF6-D968-4888-A7EE-918C14A81B38}" name="cost_price" dataDxfId="6">
      <calculatedColumnFormula>_xlfn.XLOOKUP(order[[#This Row],[product_id]],Table4[product_id],Table4[cost_price])</calculatedColumnFormula>
    </tableColumn>
    <tableColumn id="19" xr3:uid="{4E5971BC-D7CF-44E6-93C7-F475B3CDE3B9}" name="ship_date" dataDxfId="5">
      <calculatedColumnFormula>_xlfn.XLOOKUP(order[[#This Row],[order_id]],shipment[order_id],shipment[ship_date])</calculatedColumnFormula>
    </tableColumn>
    <tableColumn id="20" xr3:uid="{C828EAD3-9734-40C1-8BED-157E57417A14}" name="delivery_date" dataDxfId="3">
      <calculatedColumnFormula>_xlfn.XLOOKUP(order[[#This Row],[order_id]],shipment[order_id],shipment[delivery_date])</calculatedColumnFormula>
    </tableColumn>
    <tableColumn id="21" xr3:uid="{3A137EDF-0A0B-4405-B67E-6B76738C9A87}" name="courier" dataDxfId="2">
      <calculatedColumnFormula>_xlfn.XLOOKUP(order[[#This Row],[order_id]],shipment[shipment_id],shipment[courier])</calculatedColumnFormula>
    </tableColumn>
    <tableColumn id="22" xr3:uid="{517DA2FE-BAFD-43BC-9EF4-CD34A9C2B653}" name="profit" dataDxfId="1">
      <calculatedColumnFormula>order[[#This Row],[selling_price]]-order[[#This Row],[cost_price]]*order[[#This Row],[quantity]]-order[[#This Row],[discount]]</calculatedColumnFormula>
    </tableColumn>
    <tableColumn id="23" xr3:uid="{B338A84A-1E96-46F0-9EBF-E412CBCDE03C}" name="Revenue" dataDxfId="0">
      <calculatedColumnFormula>order[[#This Row],[quantity]]*order[[#This Row],[selling_price]]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CE1091-7A69-4A53-AFF0-35B42EDE910A}" name="customer" displayName="customer" ref="A1:E201" totalsRowShown="0">
  <autoFilter ref="A1:E201" xr:uid="{1CCE1091-7A69-4A53-AFF0-35B42EDE910A}"/>
  <tableColumns count="5">
    <tableColumn id="1" xr3:uid="{A4C30407-717B-4943-A4E8-26587C7D9CA8}" name="customer_id"/>
    <tableColumn id="2" xr3:uid="{3A2419E2-4780-4878-B58F-B7FFCEE2D540}" name="customer_name"/>
    <tableColumn id="3" xr3:uid="{FE755A86-7F22-4A7D-9883-0A9C85586130}" name="city"/>
    <tableColumn id="4" xr3:uid="{D42BC3FC-AE47-40C3-B237-2EA61D407430}" name="state"/>
    <tableColumn id="5" xr3:uid="{5759640D-0CD5-45AC-8235-F8073A1C9C8C}" name="signup_date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F4802F-DB43-4E3A-8E86-30E46DB0BA20}" name="Table4" displayName="Table4" ref="A1:D11" totalsRowShown="0" headerRowDxfId="9" dataDxfId="10">
  <autoFilter ref="A1:D11" xr:uid="{43F4802F-DB43-4E3A-8E86-30E46DB0BA20}"/>
  <tableColumns count="4">
    <tableColumn id="1" xr3:uid="{FB529B43-0C45-4A05-B832-3AAEE95B7EBE}" name="product_id" dataDxfId="14"/>
    <tableColumn id="2" xr3:uid="{69A71386-A1F6-43AE-96E1-41D87F7C7AE6}" name="product_name" dataDxfId="13"/>
    <tableColumn id="3" xr3:uid="{9E9897D3-7F3E-4BE4-AD42-04E335EE508B}" name="category" dataDxfId="12"/>
    <tableColumn id="4" xr3:uid="{DF5B84F2-FBAA-4E79-A64E-E8100D94AE9A}" name="cost_price" dataDxfId="1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476BF7-3971-4880-8546-CED3EC606AAB}" name="shipment" displayName="shipment" ref="A1:F1201" totalsRowShown="0">
  <autoFilter ref="A1:F1201" xr:uid="{8B476BF7-3971-4880-8546-CED3EC606AAB}"/>
  <tableColumns count="6">
    <tableColumn id="1" xr3:uid="{491CD17B-B693-4193-9E01-840FD70281C7}" name="shipment_id"/>
    <tableColumn id="2" xr3:uid="{28D68D19-EE18-42A9-A532-161C2F4D8CFE}" name="order_id"/>
    <tableColumn id="3" xr3:uid="{7E8716FB-261F-4BD6-8F1C-6DEF6446799D}" name="ship_date" dataDxfId="8"/>
    <tableColumn id="4" xr3:uid="{FD5BE282-2E1B-4862-B7DD-757AA15BD071}" name="delivery_date" dataDxfId="7"/>
    <tableColumn id="5" xr3:uid="{DB9EB119-4357-4934-A0BE-B867C9F8E317}" name="courier"/>
    <tableColumn id="6" xr3:uid="{7B11416B-3833-4824-AE16-A68E8958581D}" name="delivery_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0DAA-F8BA-4D18-AD0E-C28F693200B7}">
  <dimension ref="A3:F16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2.109375" bestFit="1" customWidth="1"/>
    <col min="5" max="5" width="12.5546875" bestFit="1" customWidth="1"/>
    <col min="6" max="6" width="14.88671875" bestFit="1" customWidth="1"/>
  </cols>
  <sheetData>
    <row r="3" spans="1:6" x14ac:dyDescent="0.3">
      <c r="A3" s="12" t="s">
        <v>77</v>
      </c>
      <c r="B3" t="s">
        <v>92</v>
      </c>
      <c r="C3" t="s">
        <v>93</v>
      </c>
      <c r="E3" s="12" t="s">
        <v>77</v>
      </c>
      <c r="F3" t="s">
        <v>92</v>
      </c>
    </row>
    <row r="4" spans="1:6" x14ac:dyDescent="0.3">
      <c r="A4" s="13" t="s">
        <v>83</v>
      </c>
      <c r="B4" s="3">
        <v>9952204</v>
      </c>
      <c r="C4" s="3">
        <v>-717081</v>
      </c>
      <c r="E4" s="13" t="s">
        <v>9</v>
      </c>
      <c r="F4" s="3">
        <v>27299096</v>
      </c>
    </row>
    <row r="5" spans="1:6" x14ac:dyDescent="0.3">
      <c r="A5" s="13" t="s">
        <v>81</v>
      </c>
      <c r="B5" s="3">
        <v>9448223</v>
      </c>
      <c r="C5" s="3">
        <v>-2027670</v>
      </c>
      <c r="E5" s="13" t="s">
        <v>11</v>
      </c>
      <c r="F5" s="3">
        <v>25825804</v>
      </c>
    </row>
    <row r="6" spans="1:6" x14ac:dyDescent="0.3">
      <c r="A6" s="13" t="s">
        <v>86</v>
      </c>
      <c r="B6" s="3">
        <v>9122764</v>
      </c>
      <c r="C6" s="3">
        <v>-828716</v>
      </c>
      <c r="E6" s="13" t="s">
        <v>13</v>
      </c>
      <c r="F6" s="3">
        <v>24902740</v>
      </c>
    </row>
    <row r="7" spans="1:6" x14ac:dyDescent="0.3">
      <c r="A7" s="13" t="s">
        <v>79</v>
      </c>
      <c r="B7" s="3">
        <v>9082515</v>
      </c>
      <c r="C7" s="3">
        <v>-1028892</v>
      </c>
      <c r="E7" s="13" t="s">
        <v>15</v>
      </c>
      <c r="F7" s="3">
        <v>24518864</v>
      </c>
    </row>
    <row r="8" spans="1:6" x14ac:dyDescent="0.3">
      <c r="A8" s="13" t="s">
        <v>90</v>
      </c>
      <c r="B8" s="3">
        <v>8824628</v>
      </c>
      <c r="C8" s="3">
        <v>-646468</v>
      </c>
      <c r="E8" s="13" t="s">
        <v>78</v>
      </c>
      <c r="F8" s="3">
        <v>102546504</v>
      </c>
    </row>
    <row r="9" spans="1:6" x14ac:dyDescent="0.3">
      <c r="A9" s="13" t="s">
        <v>80</v>
      </c>
      <c r="B9" s="3">
        <v>8795167</v>
      </c>
      <c r="C9" s="3">
        <v>-890226</v>
      </c>
    </row>
    <row r="10" spans="1:6" x14ac:dyDescent="0.3">
      <c r="A10" s="13" t="s">
        <v>89</v>
      </c>
      <c r="B10" s="3">
        <v>8438851</v>
      </c>
      <c r="C10" s="3">
        <v>-2204371</v>
      </c>
    </row>
    <row r="11" spans="1:6" x14ac:dyDescent="0.3">
      <c r="A11" s="13" t="s">
        <v>82</v>
      </c>
      <c r="B11" s="3">
        <v>8284518</v>
      </c>
      <c r="C11" s="3">
        <v>-1653288</v>
      </c>
    </row>
    <row r="12" spans="1:6" x14ac:dyDescent="0.3">
      <c r="A12" s="13" t="s">
        <v>87</v>
      </c>
      <c r="B12" s="3">
        <v>8181210</v>
      </c>
      <c r="C12" s="3">
        <v>-1398139</v>
      </c>
    </row>
    <row r="13" spans="1:6" x14ac:dyDescent="0.3">
      <c r="A13" s="13" t="s">
        <v>88</v>
      </c>
      <c r="B13" s="3">
        <v>7690421</v>
      </c>
      <c r="C13" s="3">
        <v>-832101</v>
      </c>
    </row>
    <row r="14" spans="1:6" x14ac:dyDescent="0.3">
      <c r="A14" s="13" t="s">
        <v>84</v>
      </c>
      <c r="B14" s="3">
        <v>7483431</v>
      </c>
      <c r="C14" s="3">
        <v>-572144</v>
      </c>
    </row>
    <row r="15" spans="1:6" x14ac:dyDescent="0.3">
      <c r="A15" s="13" t="s">
        <v>85</v>
      </c>
      <c r="B15" s="3">
        <v>7242572</v>
      </c>
      <c r="C15" s="3">
        <v>-1190417</v>
      </c>
    </row>
    <row r="16" spans="1:6" x14ac:dyDescent="0.3">
      <c r="A16" s="13" t="s">
        <v>78</v>
      </c>
      <c r="B16" s="3">
        <v>102546504</v>
      </c>
      <c r="C16" s="3">
        <v>-13989513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opLeftCell="C1" zoomScaleNormal="100" workbookViewId="0">
      <selection activeCell="T3" sqref="T3"/>
    </sheetView>
  </sheetViews>
  <sheetFormatPr defaultRowHeight="14.4" x14ac:dyDescent="0.3"/>
  <cols>
    <col min="1" max="1" width="10" customWidth="1"/>
    <col min="2" max="2" width="17" style="11" bestFit="1" customWidth="1"/>
    <col min="3" max="3" width="6.109375" customWidth="1"/>
    <col min="4" max="4" width="12.6640625" customWidth="1"/>
    <col min="5" max="5" width="5.5546875" customWidth="1"/>
    <col min="6" max="6" width="6.21875" customWidth="1"/>
    <col min="7" max="7" width="8" customWidth="1"/>
    <col min="8" max="8" width="10.109375" customWidth="1"/>
    <col min="10" max="10" width="9.6640625" customWidth="1"/>
    <col min="11" max="11" width="10.6640625" bestFit="1" customWidth="1"/>
    <col min="12" max="12" width="11.44140625" bestFit="1" customWidth="1"/>
    <col min="13" max="13" width="27.6640625" bestFit="1" customWidth="1"/>
    <col min="14" max="14" width="14.44140625" customWidth="1"/>
    <col min="16" max="17" width="16.88671875" style="11" bestFit="1" customWidth="1"/>
  </cols>
  <sheetData>
    <row r="1" spans="1:20" x14ac:dyDescent="0.3">
      <c r="A1" t="s">
        <v>0</v>
      </c>
      <c r="B1" s="11" t="s">
        <v>1</v>
      </c>
      <c r="C1" t="s">
        <v>2</v>
      </c>
      <c r="D1" t="s">
        <v>73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74</v>
      </c>
      <c r="L1" t="s">
        <v>75</v>
      </c>
      <c r="M1" t="s">
        <v>47</v>
      </c>
      <c r="N1" t="s">
        <v>48</v>
      </c>
      <c r="O1" t="s">
        <v>49</v>
      </c>
      <c r="P1" s="11" t="s">
        <v>64</v>
      </c>
      <c r="Q1" s="11" t="s">
        <v>65</v>
      </c>
      <c r="R1" t="s">
        <v>66</v>
      </c>
      <c r="S1" t="s">
        <v>76</v>
      </c>
      <c r="T1" t="s">
        <v>91</v>
      </c>
    </row>
    <row r="2" spans="1:20" x14ac:dyDescent="0.3">
      <c r="A2">
        <v>1</v>
      </c>
      <c r="B2" s="11">
        <v>45373</v>
      </c>
      <c r="C2">
        <v>160</v>
      </c>
      <c r="D2" t="str">
        <f>_xlfn.XLOOKUP(order[[#This Row],[customer_id]],customer[customer_id],customer[customer_name])</f>
        <v>Arjun Nair</v>
      </c>
      <c r="E2">
        <v>207</v>
      </c>
      <c r="F2">
        <v>2</v>
      </c>
      <c r="G2">
        <v>58397</v>
      </c>
      <c r="H2">
        <v>2079</v>
      </c>
      <c r="I2" t="s">
        <v>9</v>
      </c>
      <c r="J2" t="s">
        <v>10</v>
      </c>
      <c r="K2" t="str">
        <f>_xlfn.XLOOKUP(order[[#This Row],[customer_id]],customer[customer_id],customer[city])</f>
        <v>Delhi</v>
      </c>
      <c r="L2" t="str">
        <f>_xlfn.XLOOKUP(order[[#This Row],[customer_id]],customer[customer_id],customer[state])</f>
        <v>Delhi</v>
      </c>
      <c r="M2" t="str">
        <f>_xlfn.XLOOKUP(order[[#This Row],[product_id]],products!$A$2:$A$11,products!$B$2:$B$11)</f>
        <v>Sony WH-1000XM4 Headphones</v>
      </c>
      <c r="N2" s="3" t="str">
        <f>_xlfn.XLOOKUP(order[[#This Row],[product_id]],products!$A$2:$A$11,products!$C$2:$C$11)</f>
        <v>Electronics</v>
      </c>
      <c r="O2" s="3">
        <f>_xlfn.XLOOKUP(order[[#This Row],[product_id]],Table4[product_id],Table4[cost_price])</f>
        <v>20000</v>
      </c>
      <c r="P2" s="11">
        <f>_xlfn.XLOOKUP(order[[#This Row],[order_id]],shipment[order_id],shipment[ship_date])</f>
        <v>45598</v>
      </c>
      <c r="Q2" s="11">
        <f>_xlfn.XLOOKUP(order[[#This Row],[order_id]],shipment[order_id],shipment[delivery_date])</f>
        <v>45599</v>
      </c>
      <c r="R2" s="3" t="str">
        <f>_xlfn.XLOOKUP(order[[#This Row],[order_id]],shipment[shipment_id],shipment[courier])</f>
        <v>BlueDart</v>
      </c>
      <c r="S2" s="3">
        <f>order[[#This Row],[selling_price]]-order[[#This Row],[cost_price]]*order[[#This Row],[quantity]]-order[[#This Row],[discount]]</f>
        <v>16318</v>
      </c>
      <c r="T2" s="3">
        <f>order[[#This Row],[quantity]]*order[[#This Row],[selling_price]]</f>
        <v>116794</v>
      </c>
    </row>
    <row r="3" spans="1:20" x14ac:dyDescent="0.3">
      <c r="A3">
        <v>304</v>
      </c>
      <c r="B3" s="11">
        <v>45295</v>
      </c>
      <c r="C3">
        <v>237</v>
      </c>
      <c r="D3" t="str">
        <f>_xlfn.XLOOKUP(order[[#This Row],[customer_id]],customer[customer_id],customer[customer_name])</f>
        <v>Ananya Gupta</v>
      </c>
      <c r="E3">
        <v>201</v>
      </c>
      <c r="F3">
        <v>2</v>
      </c>
      <c r="G3">
        <v>16842</v>
      </c>
      <c r="H3">
        <v>4990</v>
      </c>
      <c r="I3" t="s">
        <v>13</v>
      </c>
      <c r="J3" t="s">
        <v>14</v>
      </c>
      <c r="K3" t="str">
        <f>_xlfn.XLOOKUP(order[[#This Row],[customer_id]],customer[customer_id],customer[city])</f>
        <v>Hyderabad</v>
      </c>
      <c r="L3" t="str">
        <f>_xlfn.XLOOKUP(order[[#This Row],[customer_id]],customer[customer_id],customer[state])</f>
        <v>Telangana</v>
      </c>
      <c r="M3" t="str">
        <f>_xlfn.XLOOKUP(order[[#This Row],[product_id]],products!$A$2:$A$11,products!$B$2:$B$11)</f>
        <v>iPhone 13</v>
      </c>
      <c r="N3" s="3" t="str">
        <f>_xlfn.XLOOKUP(order[[#This Row],[product_id]],products!$A$2:$A$11,products!$C$2:$C$11)</f>
        <v>Electronics</v>
      </c>
      <c r="O3" s="3">
        <f>_xlfn.XLOOKUP(order[[#This Row],[product_id]],Table4[product_id],Table4[cost_price])</f>
        <v>52000</v>
      </c>
      <c r="P3" s="11">
        <f>_xlfn.XLOOKUP(order[[#This Row],[order_id]],shipment[order_id],shipment[ship_date])</f>
        <v>45358</v>
      </c>
      <c r="Q3" s="11">
        <f>_xlfn.XLOOKUP(order[[#This Row],[order_id]],shipment[order_id],shipment[delivery_date])</f>
        <v>45364</v>
      </c>
      <c r="R3" s="3" t="str">
        <f>_xlfn.XLOOKUP(order[[#This Row],[order_id]],shipment[shipment_id],shipment[courier])</f>
        <v>BlueDart</v>
      </c>
      <c r="S3" s="3">
        <f>order[[#This Row],[selling_price]]-order[[#This Row],[cost_price]]*order[[#This Row],[quantity]]-order[[#This Row],[discount]]</f>
        <v>-92148</v>
      </c>
      <c r="T3" s="3">
        <f>order[[#This Row],[quantity]]*order[[#This Row],[selling_price]]</f>
        <v>33684</v>
      </c>
    </row>
    <row r="4" spans="1:20" x14ac:dyDescent="0.3">
      <c r="A4">
        <v>586</v>
      </c>
      <c r="B4" s="11">
        <v>45546</v>
      </c>
      <c r="C4">
        <v>211</v>
      </c>
      <c r="D4" t="str">
        <f>_xlfn.XLOOKUP(order[[#This Row],[customer_id]],customer[customer_id],customer[customer_name])</f>
        <v>Aarav Sharma</v>
      </c>
      <c r="E4">
        <v>201</v>
      </c>
      <c r="F4">
        <v>2</v>
      </c>
      <c r="G4">
        <v>37043</v>
      </c>
      <c r="H4">
        <v>4981</v>
      </c>
      <c r="I4" t="s">
        <v>11</v>
      </c>
      <c r="J4" t="s">
        <v>10</v>
      </c>
      <c r="K4" t="str">
        <f>_xlfn.XLOOKUP(order[[#This Row],[customer_id]],customer[customer_id],customer[city])</f>
        <v>Ahmedabad</v>
      </c>
      <c r="L4" t="str">
        <f>_xlfn.XLOOKUP(order[[#This Row],[customer_id]],customer[customer_id],customer[state])</f>
        <v>Gujarat</v>
      </c>
      <c r="M4" t="str">
        <f>_xlfn.XLOOKUP(order[[#This Row],[product_id]],products!$A$2:$A$11,products!$B$2:$B$11)</f>
        <v>iPhone 13</v>
      </c>
      <c r="N4" s="3" t="str">
        <f>_xlfn.XLOOKUP(order[[#This Row],[product_id]],products!$A$2:$A$11,products!$C$2:$C$11)</f>
        <v>Electronics</v>
      </c>
      <c r="O4" s="3">
        <f>_xlfn.XLOOKUP(order[[#This Row],[product_id]],Table4[product_id],Table4[cost_price])</f>
        <v>52000</v>
      </c>
      <c r="P4" s="11">
        <f>_xlfn.XLOOKUP(order[[#This Row],[order_id]],shipment[order_id],shipment[ship_date])</f>
        <v>45637</v>
      </c>
      <c r="Q4" s="11">
        <f>_xlfn.XLOOKUP(order[[#This Row],[order_id]],shipment[order_id],shipment[delivery_date])</f>
        <v>45642</v>
      </c>
      <c r="R4" s="3" t="str">
        <f>_xlfn.XLOOKUP(order[[#This Row],[order_id]],shipment[shipment_id],shipment[courier])</f>
        <v>Ekart</v>
      </c>
      <c r="S4" s="3">
        <f>order[[#This Row],[selling_price]]-order[[#This Row],[cost_price]]*order[[#This Row],[quantity]]-order[[#This Row],[discount]]</f>
        <v>-71938</v>
      </c>
      <c r="T4" s="3">
        <f>order[[#This Row],[quantity]]*order[[#This Row],[selling_price]]</f>
        <v>74086</v>
      </c>
    </row>
    <row r="5" spans="1:20" x14ac:dyDescent="0.3">
      <c r="A5">
        <v>4</v>
      </c>
      <c r="B5" s="11">
        <v>45357</v>
      </c>
      <c r="C5">
        <v>163</v>
      </c>
      <c r="D5" t="str">
        <f>_xlfn.XLOOKUP(order[[#This Row],[customer_id]],customer[customer_id],customer[customer_name])</f>
        <v>Ananya Gupta</v>
      </c>
      <c r="E5">
        <v>204</v>
      </c>
      <c r="F5">
        <v>2</v>
      </c>
      <c r="G5">
        <v>56025</v>
      </c>
      <c r="H5">
        <v>3451</v>
      </c>
      <c r="I5" t="s">
        <v>13</v>
      </c>
      <c r="J5" t="s">
        <v>10</v>
      </c>
      <c r="K5" t="str">
        <f>_xlfn.XLOOKUP(order[[#This Row],[customer_id]],customer[customer_id],customer[city])</f>
        <v>Chennai</v>
      </c>
      <c r="L5" t="str">
        <f>_xlfn.XLOOKUP(order[[#This Row],[customer_id]],customer[customer_id],customer[state])</f>
        <v>Tamil Nadu</v>
      </c>
      <c r="M5" t="str">
        <f>_xlfn.XLOOKUP(order[[#This Row],[product_id]],products!$A$2:$A$11,products!$B$2:$B$11)</f>
        <v>Levi's Slim Fit Jeans</v>
      </c>
      <c r="N5" s="3" t="str">
        <f>_xlfn.XLOOKUP(order[[#This Row],[product_id]],products!$A$2:$A$11,products!$C$2:$C$11)</f>
        <v>Fashion</v>
      </c>
      <c r="O5" s="3">
        <f>_xlfn.XLOOKUP(order[[#This Row],[product_id]],Table4[product_id],Table4[cost_price])</f>
        <v>1800</v>
      </c>
      <c r="P5" s="11">
        <f>_xlfn.XLOOKUP(order[[#This Row],[order_id]],shipment[order_id],shipment[ship_date])</f>
        <v>45657</v>
      </c>
      <c r="Q5" s="11">
        <f>_xlfn.XLOOKUP(order[[#This Row],[order_id]],shipment[order_id],shipment[delivery_date])</f>
        <v>45661</v>
      </c>
      <c r="R5" s="3" t="str">
        <f>_xlfn.XLOOKUP(order[[#This Row],[order_id]],shipment[shipment_id],shipment[courier])</f>
        <v>Delhivery</v>
      </c>
      <c r="S5" s="3">
        <f>order[[#This Row],[selling_price]]-order[[#This Row],[cost_price]]*order[[#This Row],[quantity]]-order[[#This Row],[discount]]</f>
        <v>48974</v>
      </c>
      <c r="T5" s="3">
        <f>order[[#This Row],[quantity]]*order[[#This Row],[selling_price]]</f>
        <v>112050</v>
      </c>
    </row>
    <row r="6" spans="1:20" x14ac:dyDescent="0.3">
      <c r="A6">
        <v>5</v>
      </c>
      <c r="B6" s="11">
        <v>45412</v>
      </c>
      <c r="C6">
        <v>257</v>
      </c>
      <c r="D6" t="str">
        <f>_xlfn.XLOOKUP(order[[#This Row],[customer_id]],customer[customer_id],customer[customer_name])</f>
        <v>Siddharth Jain</v>
      </c>
      <c r="E6">
        <v>206</v>
      </c>
      <c r="F6">
        <v>1</v>
      </c>
      <c r="G6">
        <v>58741</v>
      </c>
      <c r="H6">
        <v>2418</v>
      </c>
      <c r="I6" t="s">
        <v>13</v>
      </c>
      <c r="J6" t="s">
        <v>14</v>
      </c>
      <c r="K6" t="str">
        <f>_xlfn.XLOOKUP(order[[#This Row],[customer_id]],customer[customer_id],customer[city])</f>
        <v>Pune</v>
      </c>
      <c r="L6" t="str">
        <f>_xlfn.XLOOKUP(order[[#This Row],[customer_id]],customer[customer_id],customer[state])</f>
        <v>Maharashtra</v>
      </c>
      <c r="M6" t="str">
        <f>_xlfn.XLOOKUP(order[[#This Row],[product_id]],products!$A$2:$A$11,products!$B$2:$B$11)</f>
        <v>Philips Air Fryer</v>
      </c>
      <c r="N6" s="3" t="str">
        <f>_xlfn.XLOOKUP(order[[#This Row],[product_id]],products!$A$2:$A$11,products!$C$2:$C$11)</f>
        <v>Home &amp; Kitchen</v>
      </c>
      <c r="O6" s="3">
        <f>_xlfn.XLOOKUP(order[[#This Row],[product_id]],Table4[product_id],Table4[cost_price])</f>
        <v>7000</v>
      </c>
      <c r="P6" s="11">
        <f>_xlfn.XLOOKUP(order[[#This Row],[order_id]],shipment[order_id],shipment[ship_date])</f>
        <v>45407</v>
      </c>
      <c r="Q6" s="11">
        <f>_xlfn.XLOOKUP(order[[#This Row],[order_id]],shipment[order_id],shipment[delivery_date])</f>
        <v>45412</v>
      </c>
      <c r="R6" s="3" t="str">
        <f>_xlfn.XLOOKUP(order[[#This Row],[order_id]],shipment[shipment_id],shipment[courier])</f>
        <v>Ekart</v>
      </c>
      <c r="S6" s="3">
        <f>order[[#This Row],[selling_price]]-order[[#This Row],[cost_price]]*order[[#This Row],[quantity]]-order[[#This Row],[discount]]</f>
        <v>49323</v>
      </c>
      <c r="T6" s="3">
        <f>order[[#This Row],[quantity]]*order[[#This Row],[selling_price]]</f>
        <v>58741</v>
      </c>
    </row>
    <row r="7" spans="1:20" x14ac:dyDescent="0.3">
      <c r="A7">
        <v>6</v>
      </c>
      <c r="B7" s="11">
        <v>45449</v>
      </c>
      <c r="C7">
        <v>286</v>
      </c>
      <c r="D7" t="str">
        <f>_xlfn.XLOOKUP(order[[#This Row],[customer_id]],customer[customer_id],customer[customer_name])</f>
        <v>Arjun Nair</v>
      </c>
      <c r="E7">
        <v>206</v>
      </c>
      <c r="F7">
        <v>1</v>
      </c>
      <c r="G7">
        <v>22097</v>
      </c>
      <c r="H7">
        <v>2668</v>
      </c>
      <c r="I7" t="s">
        <v>15</v>
      </c>
      <c r="J7" t="s">
        <v>10</v>
      </c>
      <c r="K7" t="str">
        <f>_xlfn.XLOOKUP(order[[#This Row],[customer_id]],customer[customer_id],customer[city])</f>
        <v>Hyderabad</v>
      </c>
      <c r="L7" t="str">
        <f>_xlfn.XLOOKUP(order[[#This Row],[customer_id]],customer[customer_id],customer[state])</f>
        <v>Telangana</v>
      </c>
      <c r="M7" t="str">
        <f>_xlfn.XLOOKUP(order[[#This Row],[product_id]],products!$A$2:$A$11,products!$B$2:$B$11)</f>
        <v>Philips Air Fryer</v>
      </c>
      <c r="N7" s="3" t="str">
        <f>_xlfn.XLOOKUP(order[[#This Row],[product_id]],products!$A$2:$A$11,products!$C$2:$C$11)</f>
        <v>Home &amp; Kitchen</v>
      </c>
      <c r="O7" s="3">
        <f>_xlfn.XLOOKUP(order[[#This Row],[product_id]],Table4[product_id],Table4[cost_price])</f>
        <v>7000</v>
      </c>
      <c r="P7" s="11">
        <f>_xlfn.XLOOKUP(order[[#This Row],[order_id]],shipment[order_id],shipment[ship_date])</f>
        <v>45609</v>
      </c>
      <c r="Q7" s="11">
        <f>_xlfn.XLOOKUP(order[[#This Row],[order_id]],shipment[order_id],shipment[delivery_date])</f>
        <v>45613</v>
      </c>
      <c r="R7" s="3" t="str">
        <f>_xlfn.XLOOKUP(order[[#This Row],[order_id]],shipment[shipment_id],shipment[courier])</f>
        <v>Ekart</v>
      </c>
      <c r="S7" s="3">
        <f>order[[#This Row],[selling_price]]-order[[#This Row],[cost_price]]*order[[#This Row],[quantity]]-order[[#This Row],[discount]]</f>
        <v>12429</v>
      </c>
      <c r="T7" s="3">
        <f>order[[#This Row],[quantity]]*order[[#This Row],[selling_price]]</f>
        <v>22097</v>
      </c>
    </row>
    <row r="8" spans="1:20" x14ac:dyDescent="0.3">
      <c r="A8">
        <v>7</v>
      </c>
      <c r="B8" s="11">
        <v>45421</v>
      </c>
      <c r="C8">
        <v>145</v>
      </c>
      <c r="D8" t="str">
        <f>_xlfn.XLOOKUP(order[[#This Row],[customer_id]],customer[customer_id],customer[customer_name])</f>
        <v>Meera Joshi</v>
      </c>
      <c r="E8">
        <v>204</v>
      </c>
      <c r="F8">
        <v>3</v>
      </c>
      <c r="G8">
        <v>63189</v>
      </c>
      <c r="H8">
        <v>4594</v>
      </c>
      <c r="I8" t="s">
        <v>13</v>
      </c>
      <c r="J8" t="s">
        <v>12</v>
      </c>
      <c r="K8" t="str">
        <f>_xlfn.XLOOKUP(order[[#This Row],[customer_id]],customer[customer_id],customer[city])</f>
        <v>Ahmedabad</v>
      </c>
      <c r="L8" t="str">
        <f>_xlfn.XLOOKUP(order[[#This Row],[customer_id]],customer[customer_id],customer[state])</f>
        <v>Gujarat</v>
      </c>
      <c r="M8" t="str">
        <f>_xlfn.XLOOKUP(order[[#This Row],[product_id]],products!$A$2:$A$11,products!$B$2:$B$11)</f>
        <v>Levi's Slim Fit Jeans</v>
      </c>
      <c r="N8" s="3" t="str">
        <f>_xlfn.XLOOKUP(order[[#This Row],[product_id]],products!$A$2:$A$11,products!$C$2:$C$11)</f>
        <v>Fashion</v>
      </c>
      <c r="O8" s="3">
        <f>_xlfn.XLOOKUP(order[[#This Row],[product_id]],Table4[product_id],Table4[cost_price])</f>
        <v>1800</v>
      </c>
      <c r="P8" s="11">
        <f>_xlfn.XLOOKUP(order[[#This Row],[order_id]],shipment[order_id],shipment[ship_date])</f>
        <v>45637</v>
      </c>
      <c r="Q8" s="11">
        <f>_xlfn.XLOOKUP(order[[#This Row],[order_id]],shipment[order_id],shipment[delivery_date])</f>
        <v>45647</v>
      </c>
      <c r="R8" s="3" t="str">
        <f>_xlfn.XLOOKUP(order[[#This Row],[order_id]],shipment[shipment_id],shipment[courier])</f>
        <v>BlueDart</v>
      </c>
      <c r="S8" s="3">
        <f>order[[#This Row],[selling_price]]-order[[#This Row],[cost_price]]*order[[#This Row],[quantity]]-order[[#This Row],[discount]]</f>
        <v>53195</v>
      </c>
      <c r="T8" s="3">
        <f>order[[#This Row],[quantity]]*order[[#This Row],[selling_price]]</f>
        <v>189567</v>
      </c>
    </row>
    <row r="9" spans="1:20" x14ac:dyDescent="0.3">
      <c r="A9">
        <v>1047</v>
      </c>
      <c r="B9" s="11">
        <v>45545</v>
      </c>
      <c r="C9">
        <v>139</v>
      </c>
      <c r="D9" t="str">
        <f>_xlfn.XLOOKUP(order[[#This Row],[customer_id]],customer[customer_id],customer[customer_name])</f>
        <v>Neha Kapoor</v>
      </c>
      <c r="E9">
        <v>201</v>
      </c>
      <c r="F9">
        <v>2</v>
      </c>
      <c r="G9">
        <v>10882</v>
      </c>
      <c r="H9">
        <v>4848</v>
      </c>
      <c r="I9" t="s">
        <v>9</v>
      </c>
      <c r="J9" t="s">
        <v>12</v>
      </c>
      <c r="K9" t="str">
        <f>_xlfn.XLOOKUP(order[[#This Row],[customer_id]],customer[customer_id],customer[city])</f>
        <v>Chennai</v>
      </c>
      <c r="L9" t="str">
        <f>_xlfn.XLOOKUP(order[[#This Row],[customer_id]],customer[customer_id],customer[state])</f>
        <v>Tamil Nadu</v>
      </c>
      <c r="M9" t="str">
        <f>_xlfn.XLOOKUP(order[[#This Row],[product_id]],products!$A$2:$A$11,products!$B$2:$B$11)</f>
        <v>iPhone 13</v>
      </c>
      <c r="N9" s="3" t="str">
        <f>_xlfn.XLOOKUP(order[[#This Row],[product_id]],products!$A$2:$A$11,products!$C$2:$C$11)</f>
        <v>Electronics</v>
      </c>
      <c r="O9" s="3">
        <f>_xlfn.XLOOKUP(order[[#This Row],[product_id]],Table4[product_id],Table4[cost_price])</f>
        <v>52000</v>
      </c>
      <c r="P9" s="11">
        <f>_xlfn.XLOOKUP(order[[#This Row],[order_id]],shipment[order_id],shipment[ship_date])</f>
        <v>45608</v>
      </c>
      <c r="Q9" s="11">
        <f>_xlfn.XLOOKUP(order[[#This Row],[order_id]],shipment[order_id],shipment[delivery_date])</f>
        <v>45609</v>
      </c>
      <c r="R9" s="3" t="str">
        <f>_xlfn.XLOOKUP(order[[#This Row],[order_id]],shipment[shipment_id],shipment[courier])</f>
        <v>Delhivery</v>
      </c>
      <c r="S9" s="3">
        <f>order[[#This Row],[selling_price]]-order[[#This Row],[cost_price]]*order[[#This Row],[quantity]]-order[[#This Row],[discount]]</f>
        <v>-97966</v>
      </c>
      <c r="T9" s="3">
        <f>order[[#This Row],[quantity]]*order[[#This Row],[selling_price]]</f>
        <v>21764</v>
      </c>
    </row>
    <row r="10" spans="1:20" x14ac:dyDescent="0.3">
      <c r="A10">
        <v>772</v>
      </c>
      <c r="B10" s="11">
        <v>45453</v>
      </c>
      <c r="C10">
        <v>108</v>
      </c>
      <c r="D10" t="str">
        <f>_xlfn.XLOOKUP(order[[#This Row],[customer_id]],customer[customer_id],customer[customer_name])</f>
        <v>Arjun Nair</v>
      </c>
      <c r="E10">
        <v>201</v>
      </c>
      <c r="F10">
        <v>4</v>
      </c>
      <c r="G10">
        <v>13039</v>
      </c>
      <c r="H10">
        <v>4846</v>
      </c>
      <c r="I10" t="s">
        <v>11</v>
      </c>
      <c r="J10" t="s">
        <v>14</v>
      </c>
      <c r="K10" t="str">
        <f>_xlfn.XLOOKUP(order[[#This Row],[customer_id]],customer[customer_id],customer[city])</f>
        <v>Ahmedabad</v>
      </c>
      <c r="L10" t="str">
        <f>_xlfn.XLOOKUP(order[[#This Row],[customer_id]],customer[customer_id],customer[state])</f>
        <v>Gujarat</v>
      </c>
      <c r="M10" t="str">
        <f>_xlfn.XLOOKUP(order[[#This Row],[product_id]],products!$A$2:$A$11,products!$B$2:$B$11)</f>
        <v>iPhone 13</v>
      </c>
      <c r="N10" s="3" t="str">
        <f>_xlfn.XLOOKUP(order[[#This Row],[product_id]],products!$A$2:$A$11,products!$C$2:$C$11)</f>
        <v>Electronics</v>
      </c>
      <c r="O10" s="3">
        <f>_xlfn.XLOOKUP(order[[#This Row],[product_id]],Table4[product_id],Table4[cost_price])</f>
        <v>52000</v>
      </c>
      <c r="P10" s="11">
        <f>_xlfn.XLOOKUP(order[[#This Row],[order_id]],shipment[order_id],shipment[ship_date])</f>
        <v>45472</v>
      </c>
      <c r="Q10" s="11">
        <f>_xlfn.XLOOKUP(order[[#This Row],[order_id]],shipment[order_id],shipment[delivery_date])</f>
        <v>45474</v>
      </c>
      <c r="R10" s="3" t="str">
        <f>_xlfn.XLOOKUP(order[[#This Row],[order_id]],shipment[shipment_id],shipment[courier])</f>
        <v>Delhivery</v>
      </c>
      <c r="S10" s="3">
        <f>order[[#This Row],[selling_price]]-order[[#This Row],[cost_price]]*order[[#This Row],[quantity]]-order[[#This Row],[discount]]</f>
        <v>-199807</v>
      </c>
      <c r="T10" s="3">
        <f>order[[#This Row],[quantity]]*order[[#This Row],[selling_price]]</f>
        <v>52156</v>
      </c>
    </row>
    <row r="11" spans="1:20" x14ac:dyDescent="0.3">
      <c r="A11">
        <v>570</v>
      </c>
      <c r="B11" s="11">
        <v>45576</v>
      </c>
      <c r="C11">
        <v>205</v>
      </c>
      <c r="D11" t="str">
        <f>_xlfn.XLOOKUP(order[[#This Row],[customer_id]],customer[customer_id],customer[customer_name])</f>
        <v>Siddharth Jain</v>
      </c>
      <c r="E11">
        <v>201</v>
      </c>
      <c r="F11">
        <v>1</v>
      </c>
      <c r="G11">
        <v>46635</v>
      </c>
      <c r="H11">
        <v>4738</v>
      </c>
      <c r="I11" t="s">
        <v>15</v>
      </c>
      <c r="J11" t="s">
        <v>10</v>
      </c>
      <c r="K11" t="str">
        <f>_xlfn.XLOOKUP(order[[#This Row],[customer_id]],customer[customer_id],customer[city])</f>
        <v>Hyderabad</v>
      </c>
      <c r="L11" t="str">
        <f>_xlfn.XLOOKUP(order[[#This Row],[customer_id]],customer[customer_id],customer[state])</f>
        <v>Telangana</v>
      </c>
      <c r="M11" t="str">
        <f>_xlfn.XLOOKUP(order[[#This Row],[product_id]],products!$A$2:$A$11,products!$B$2:$B$11)</f>
        <v>iPhone 13</v>
      </c>
      <c r="N11" s="3" t="str">
        <f>_xlfn.XLOOKUP(order[[#This Row],[product_id]],products!$A$2:$A$11,products!$C$2:$C$11)</f>
        <v>Electronics</v>
      </c>
      <c r="O11" s="3">
        <f>_xlfn.XLOOKUP(order[[#This Row],[product_id]],Table4[product_id],Table4[cost_price])</f>
        <v>52000</v>
      </c>
      <c r="P11" s="11">
        <f>_xlfn.XLOOKUP(order[[#This Row],[order_id]],shipment[order_id],shipment[ship_date])</f>
        <v>45615</v>
      </c>
      <c r="Q11" s="11">
        <f>_xlfn.XLOOKUP(order[[#This Row],[order_id]],shipment[order_id],shipment[delivery_date])</f>
        <v>45625</v>
      </c>
      <c r="R11" s="3" t="str">
        <f>_xlfn.XLOOKUP(order[[#This Row],[order_id]],shipment[shipment_id],shipment[courier])</f>
        <v>Delhivery</v>
      </c>
      <c r="S11" s="3">
        <f>order[[#This Row],[selling_price]]-order[[#This Row],[cost_price]]*order[[#This Row],[quantity]]-order[[#This Row],[discount]]</f>
        <v>-10103</v>
      </c>
      <c r="T11" s="3">
        <f>order[[#This Row],[quantity]]*order[[#This Row],[selling_price]]</f>
        <v>46635</v>
      </c>
    </row>
    <row r="12" spans="1:20" x14ac:dyDescent="0.3">
      <c r="A12">
        <v>11</v>
      </c>
      <c r="B12" s="11">
        <v>45526</v>
      </c>
      <c r="C12">
        <v>102</v>
      </c>
      <c r="D12" t="str">
        <f>_xlfn.XLOOKUP(order[[#This Row],[customer_id]],customer[customer_id],customer[customer_name])</f>
        <v>Aarav Sharma</v>
      </c>
      <c r="E12">
        <v>204</v>
      </c>
      <c r="F12">
        <v>2</v>
      </c>
      <c r="G12">
        <v>32731</v>
      </c>
      <c r="H12">
        <v>1640</v>
      </c>
      <c r="I12" t="s">
        <v>9</v>
      </c>
      <c r="J12" t="s">
        <v>14</v>
      </c>
      <c r="K12" t="str">
        <f>_xlfn.XLOOKUP(order[[#This Row],[customer_id]],customer[customer_id],customer[city])</f>
        <v>Delhi</v>
      </c>
      <c r="L12" t="str">
        <f>_xlfn.XLOOKUP(order[[#This Row],[customer_id]],customer[customer_id],customer[state])</f>
        <v>Delhi</v>
      </c>
      <c r="M12" t="str">
        <f>_xlfn.XLOOKUP(order[[#This Row],[product_id]],products!$A$2:$A$11,products!$B$2:$B$11)</f>
        <v>Levi's Slim Fit Jeans</v>
      </c>
      <c r="N12" s="3" t="str">
        <f>_xlfn.XLOOKUP(order[[#This Row],[product_id]],products!$A$2:$A$11,products!$C$2:$C$11)</f>
        <v>Fashion</v>
      </c>
      <c r="O12" s="3">
        <f>_xlfn.XLOOKUP(order[[#This Row],[product_id]],Table4[product_id],Table4[cost_price])</f>
        <v>1800</v>
      </c>
      <c r="P12" s="11">
        <f>_xlfn.XLOOKUP(order[[#This Row],[order_id]],shipment[order_id],shipment[ship_date])</f>
        <v>45345</v>
      </c>
      <c r="Q12" s="11">
        <f>_xlfn.XLOOKUP(order[[#This Row],[order_id]],shipment[order_id],shipment[delivery_date])</f>
        <v>45347</v>
      </c>
      <c r="R12" s="3" t="str">
        <f>_xlfn.XLOOKUP(order[[#This Row],[order_id]],shipment[shipment_id],shipment[courier])</f>
        <v>Delhivery</v>
      </c>
      <c r="S12" s="3">
        <f>order[[#This Row],[selling_price]]-order[[#This Row],[cost_price]]*order[[#This Row],[quantity]]-order[[#This Row],[discount]]</f>
        <v>27491</v>
      </c>
      <c r="T12" s="3">
        <f>order[[#This Row],[quantity]]*order[[#This Row],[selling_price]]</f>
        <v>65462</v>
      </c>
    </row>
    <row r="13" spans="1:20" x14ac:dyDescent="0.3">
      <c r="A13">
        <v>114</v>
      </c>
      <c r="B13" s="11">
        <v>45516</v>
      </c>
      <c r="C13">
        <v>264</v>
      </c>
      <c r="D13" t="str">
        <f>_xlfn.XLOOKUP(order[[#This Row],[customer_id]],customer[customer_id],customer[customer_name])</f>
        <v>Ishita Bose</v>
      </c>
      <c r="E13">
        <v>201</v>
      </c>
      <c r="F13">
        <v>2</v>
      </c>
      <c r="G13">
        <v>17340</v>
      </c>
      <c r="H13">
        <v>4582</v>
      </c>
      <c r="I13" t="s">
        <v>15</v>
      </c>
      <c r="J13" t="s">
        <v>12</v>
      </c>
      <c r="K13" t="str">
        <f>_xlfn.XLOOKUP(order[[#This Row],[customer_id]],customer[customer_id],customer[city])</f>
        <v>Delhi</v>
      </c>
      <c r="L13" t="str">
        <f>_xlfn.XLOOKUP(order[[#This Row],[customer_id]],customer[customer_id],customer[state])</f>
        <v>Delhi</v>
      </c>
      <c r="M13" t="str">
        <f>_xlfn.XLOOKUP(order[[#This Row],[product_id]],products!$A$2:$A$11,products!$B$2:$B$11)</f>
        <v>iPhone 13</v>
      </c>
      <c r="N13" s="3" t="str">
        <f>_xlfn.XLOOKUP(order[[#This Row],[product_id]],products!$A$2:$A$11,products!$C$2:$C$11)</f>
        <v>Electronics</v>
      </c>
      <c r="O13" s="3">
        <f>_xlfn.XLOOKUP(order[[#This Row],[product_id]],Table4[product_id],Table4[cost_price])</f>
        <v>52000</v>
      </c>
      <c r="P13" s="11">
        <f>_xlfn.XLOOKUP(order[[#This Row],[order_id]],shipment[order_id],shipment[ship_date])</f>
        <v>45565</v>
      </c>
      <c r="Q13" s="11">
        <f>_xlfn.XLOOKUP(order[[#This Row],[order_id]],shipment[order_id],shipment[delivery_date])</f>
        <v>45573</v>
      </c>
      <c r="R13" s="3" t="str">
        <f>_xlfn.XLOOKUP(order[[#This Row],[order_id]],shipment[shipment_id],shipment[courier])</f>
        <v>BlueDart</v>
      </c>
      <c r="S13" s="3">
        <f>order[[#This Row],[selling_price]]-order[[#This Row],[cost_price]]*order[[#This Row],[quantity]]-order[[#This Row],[discount]]</f>
        <v>-91242</v>
      </c>
      <c r="T13" s="3">
        <f>order[[#This Row],[quantity]]*order[[#This Row],[selling_price]]</f>
        <v>34680</v>
      </c>
    </row>
    <row r="14" spans="1:20" x14ac:dyDescent="0.3">
      <c r="A14">
        <v>1084</v>
      </c>
      <c r="B14" s="11">
        <v>45593</v>
      </c>
      <c r="C14">
        <v>135</v>
      </c>
      <c r="D14" t="str">
        <f>_xlfn.XLOOKUP(order[[#This Row],[customer_id]],customer[customer_id],customer[customer_name])</f>
        <v>Manish Yadav</v>
      </c>
      <c r="E14">
        <v>201</v>
      </c>
      <c r="F14">
        <v>3</v>
      </c>
      <c r="G14">
        <v>28345</v>
      </c>
      <c r="H14">
        <v>4563</v>
      </c>
      <c r="I14" t="s">
        <v>15</v>
      </c>
      <c r="J14" t="s">
        <v>14</v>
      </c>
      <c r="K14" t="str">
        <f>_xlfn.XLOOKUP(order[[#This Row],[customer_id]],customer[customer_id],customer[city])</f>
        <v>Bangalore</v>
      </c>
      <c r="L14" t="str">
        <f>_xlfn.XLOOKUP(order[[#This Row],[customer_id]],customer[customer_id],customer[state])</f>
        <v>Karnataka</v>
      </c>
      <c r="M14" t="str">
        <f>_xlfn.XLOOKUP(order[[#This Row],[product_id]],products!$A$2:$A$11,products!$B$2:$B$11)</f>
        <v>iPhone 13</v>
      </c>
      <c r="N14" s="3" t="str">
        <f>_xlfn.XLOOKUP(order[[#This Row],[product_id]],products!$A$2:$A$11,products!$C$2:$C$11)</f>
        <v>Electronics</v>
      </c>
      <c r="O14" s="3">
        <f>_xlfn.XLOOKUP(order[[#This Row],[product_id]],Table4[product_id],Table4[cost_price])</f>
        <v>52000</v>
      </c>
      <c r="P14" s="11">
        <f>_xlfn.XLOOKUP(order[[#This Row],[order_id]],shipment[order_id],shipment[ship_date])</f>
        <v>45570</v>
      </c>
      <c r="Q14" s="11">
        <f>_xlfn.XLOOKUP(order[[#This Row],[order_id]],shipment[order_id],shipment[delivery_date])</f>
        <v>45571</v>
      </c>
      <c r="R14" s="3" t="str">
        <f>_xlfn.XLOOKUP(order[[#This Row],[order_id]],shipment[shipment_id],shipment[courier])</f>
        <v>DTDC</v>
      </c>
      <c r="S14" s="3">
        <f>order[[#This Row],[selling_price]]-order[[#This Row],[cost_price]]*order[[#This Row],[quantity]]-order[[#This Row],[discount]]</f>
        <v>-132218</v>
      </c>
      <c r="T14" s="3">
        <f>order[[#This Row],[quantity]]*order[[#This Row],[selling_price]]</f>
        <v>85035</v>
      </c>
    </row>
    <row r="15" spans="1:20" x14ac:dyDescent="0.3">
      <c r="A15">
        <v>878</v>
      </c>
      <c r="B15" s="11">
        <v>45365</v>
      </c>
      <c r="C15">
        <v>290</v>
      </c>
      <c r="D15" t="str">
        <f>_xlfn.XLOOKUP(order[[#This Row],[customer_id]],customer[customer_id],customer[customer_name])</f>
        <v>Karan Patel</v>
      </c>
      <c r="E15">
        <v>201</v>
      </c>
      <c r="F15">
        <v>4</v>
      </c>
      <c r="G15">
        <v>52841</v>
      </c>
      <c r="H15">
        <v>4557</v>
      </c>
      <c r="I15" t="s">
        <v>9</v>
      </c>
      <c r="J15" t="s">
        <v>10</v>
      </c>
      <c r="K15" t="str">
        <f>_xlfn.XLOOKUP(order[[#This Row],[customer_id]],customer[customer_id],customer[city])</f>
        <v>Pune</v>
      </c>
      <c r="L15" t="str">
        <f>_xlfn.XLOOKUP(order[[#This Row],[customer_id]],customer[customer_id],customer[state])</f>
        <v>Maharashtra</v>
      </c>
      <c r="M15" t="str">
        <f>_xlfn.XLOOKUP(order[[#This Row],[product_id]],products!$A$2:$A$11,products!$B$2:$B$11)</f>
        <v>iPhone 13</v>
      </c>
      <c r="N15" s="3" t="str">
        <f>_xlfn.XLOOKUP(order[[#This Row],[product_id]],products!$A$2:$A$11,products!$C$2:$C$11)</f>
        <v>Electronics</v>
      </c>
      <c r="O15" s="3">
        <f>_xlfn.XLOOKUP(order[[#This Row],[product_id]],Table4[product_id],Table4[cost_price])</f>
        <v>52000</v>
      </c>
      <c r="P15" s="11">
        <f>_xlfn.XLOOKUP(order[[#This Row],[order_id]],shipment[order_id],shipment[ship_date])</f>
        <v>45642</v>
      </c>
      <c r="Q15" s="11">
        <f>_xlfn.XLOOKUP(order[[#This Row],[order_id]],shipment[order_id],shipment[delivery_date])</f>
        <v>45652</v>
      </c>
      <c r="R15" s="3" t="str">
        <f>_xlfn.XLOOKUP(order[[#This Row],[order_id]],shipment[shipment_id],shipment[courier])</f>
        <v>BlueDart</v>
      </c>
      <c r="S15" s="3">
        <f>order[[#This Row],[selling_price]]-order[[#This Row],[cost_price]]*order[[#This Row],[quantity]]-order[[#This Row],[discount]]</f>
        <v>-159716</v>
      </c>
      <c r="T15" s="3">
        <f>order[[#This Row],[quantity]]*order[[#This Row],[selling_price]]</f>
        <v>211364</v>
      </c>
    </row>
    <row r="16" spans="1:20" x14ac:dyDescent="0.3">
      <c r="A16">
        <v>15</v>
      </c>
      <c r="B16" s="11">
        <v>45598</v>
      </c>
      <c r="C16">
        <v>236</v>
      </c>
      <c r="D16" t="str">
        <f>_xlfn.XLOOKUP(order[[#This Row],[customer_id]],customer[customer_id],customer[customer_name])</f>
        <v>Priya Reddy</v>
      </c>
      <c r="E16">
        <v>205</v>
      </c>
      <c r="F16">
        <v>1</v>
      </c>
      <c r="G16">
        <v>43894</v>
      </c>
      <c r="H16">
        <v>2561</v>
      </c>
      <c r="I16" t="s">
        <v>11</v>
      </c>
      <c r="J16" t="s">
        <v>14</v>
      </c>
      <c r="K16" t="str">
        <f>_xlfn.XLOOKUP(order[[#This Row],[customer_id]],customer[customer_id],customer[city])</f>
        <v>Ahmedabad</v>
      </c>
      <c r="L16" t="str">
        <f>_xlfn.XLOOKUP(order[[#This Row],[customer_id]],customer[customer_id],customer[state])</f>
        <v>Gujarat</v>
      </c>
      <c r="M16" t="str">
        <f>_xlfn.XLOOKUP(order[[#This Row],[product_id]],products!$A$2:$A$11,products!$B$2:$B$11)</f>
        <v>Prestige Pressure Cooker 5L</v>
      </c>
      <c r="N16" s="3" t="str">
        <f>_xlfn.XLOOKUP(order[[#This Row],[product_id]],products!$A$2:$A$11,products!$C$2:$C$11)</f>
        <v>Home &amp; Kitchen</v>
      </c>
      <c r="O16" s="3">
        <f>_xlfn.XLOOKUP(order[[#This Row],[product_id]],Table4[product_id],Table4[cost_price])</f>
        <v>1200</v>
      </c>
      <c r="P16" s="11">
        <f>_xlfn.XLOOKUP(order[[#This Row],[order_id]],shipment[order_id],shipment[ship_date])</f>
        <v>45403</v>
      </c>
      <c r="Q16" s="11">
        <f>_xlfn.XLOOKUP(order[[#This Row],[order_id]],shipment[order_id],shipment[delivery_date])</f>
        <v>45409</v>
      </c>
      <c r="R16" s="3" t="str">
        <f>_xlfn.XLOOKUP(order[[#This Row],[order_id]],shipment[shipment_id],shipment[courier])</f>
        <v>Ekart</v>
      </c>
      <c r="S16" s="3">
        <f>order[[#This Row],[selling_price]]-order[[#This Row],[cost_price]]*order[[#This Row],[quantity]]-order[[#This Row],[discount]]</f>
        <v>40133</v>
      </c>
      <c r="T16" s="3">
        <f>order[[#This Row],[quantity]]*order[[#This Row],[selling_price]]</f>
        <v>43894</v>
      </c>
    </row>
    <row r="17" spans="1:20" x14ac:dyDescent="0.3">
      <c r="A17">
        <v>937</v>
      </c>
      <c r="B17" s="11">
        <v>45342</v>
      </c>
      <c r="C17">
        <v>256</v>
      </c>
      <c r="D17" t="str">
        <f>_xlfn.XLOOKUP(order[[#This Row],[customer_id]],customer[customer_id],customer[customer_name])</f>
        <v>Priya Reddy</v>
      </c>
      <c r="E17">
        <v>201</v>
      </c>
      <c r="F17">
        <v>3</v>
      </c>
      <c r="G17">
        <v>53110</v>
      </c>
      <c r="H17">
        <v>4546</v>
      </c>
      <c r="I17" t="s">
        <v>9</v>
      </c>
      <c r="J17" t="s">
        <v>10</v>
      </c>
      <c r="K17" t="str">
        <f>_xlfn.XLOOKUP(order[[#This Row],[customer_id]],customer[customer_id],customer[city])</f>
        <v>Hyderabad</v>
      </c>
      <c r="L17" t="str">
        <f>_xlfn.XLOOKUP(order[[#This Row],[customer_id]],customer[customer_id],customer[state])</f>
        <v>Telangana</v>
      </c>
      <c r="M17" t="str">
        <f>_xlfn.XLOOKUP(order[[#This Row],[product_id]],products!$A$2:$A$11,products!$B$2:$B$11)</f>
        <v>iPhone 13</v>
      </c>
      <c r="N17" s="3" t="str">
        <f>_xlfn.XLOOKUP(order[[#This Row],[product_id]],products!$A$2:$A$11,products!$C$2:$C$11)</f>
        <v>Electronics</v>
      </c>
      <c r="O17" s="3">
        <f>_xlfn.XLOOKUP(order[[#This Row],[product_id]],Table4[product_id],Table4[cost_price])</f>
        <v>52000</v>
      </c>
      <c r="P17" s="11">
        <f>_xlfn.XLOOKUP(order[[#This Row],[order_id]],shipment[order_id],shipment[ship_date])</f>
        <v>45357</v>
      </c>
      <c r="Q17" s="11">
        <f>_xlfn.XLOOKUP(order[[#This Row],[order_id]],shipment[order_id],shipment[delivery_date])</f>
        <v>45363</v>
      </c>
      <c r="R17" s="3" t="str">
        <f>_xlfn.XLOOKUP(order[[#This Row],[order_id]],shipment[shipment_id],shipment[courier])</f>
        <v>BlueDart</v>
      </c>
      <c r="S17" s="3">
        <f>order[[#This Row],[selling_price]]-order[[#This Row],[cost_price]]*order[[#This Row],[quantity]]-order[[#This Row],[discount]]</f>
        <v>-107436</v>
      </c>
      <c r="T17" s="3">
        <f>order[[#This Row],[quantity]]*order[[#This Row],[selling_price]]</f>
        <v>159330</v>
      </c>
    </row>
    <row r="18" spans="1:20" x14ac:dyDescent="0.3">
      <c r="A18">
        <v>17</v>
      </c>
      <c r="B18" s="11">
        <v>45348</v>
      </c>
      <c r="C18">
        <v>115</v>
      </c>
      <c r="D18" t="str">
        <f>_xlfn.XLOOKUP(order[[#This Row],[customer_id]],customer[customer_id],customer[customer_name])</f>
        <v>Siddharth Jain</v>
      </c>
      <c r="E18">
        <v>210</v>
      </c>
      <c r="F18">
        <v>1</v>
      </c>
      <c r="G18">
        <v>39322</v>
      </c>
      <c r="H18">
        <v>1408</v>
      </c>
      <c r="I18" t="s">
        <v>13</v>
      </c>
      <c r="J18" t="s">
        <v>14</v>
      </c>
      <c r="K18" t="str">
        <f>_xlfn.XLOOKUP(order[[#This Row],[customer_id]],customer[customer_id],customer[city])</f>
        <v>Delhi</v>
      </c>
      <c r="L18" t="str">
        <f>_xlfn.XLOOKUP(order[[#This Row],[customer_id]],customer[customer_id],customer[state])</f>
        <v>Delhi</v>
      </c>
      <c r="M18" t="str">
        <f>_xlfn.XLOOKUP(order[[#This Row],[product_id]],products!$A$2:$A$11,products!$B$2:$B$11)</f>
        <v>LG 43 Inch Smart TV</v>
      </c>
      <c r="N18" s="3" t="str">
        <f>_xlfn.XLOOKUP(order[[#This Row],[product_id]],products!$A$2:$A$11,products!$C$2:$C$11)</f>
        <v>Electronics</v>
      </c>
      <c r="O18" s="3">
        <f>_xlfn.XLOOKUP(order[[#This Row],[product_id]],Table4[product_id],Table4[cost_price])</f>
        <v>30000</v>
      </c>
      <c r="P18" s="11">
        <f>_xlfn.XLOOKUP(order[[#This Row],[order_id]],shipment[order_id],shipment[ship_date])</f>
        <v>45433</v>
      </c>
      <c r="Q18" s="11">
        <f>_xlfn.XLOOKUP(order[[#This Row],[order_id]],shipment[order_id],shipment[delivery_date])</f>
        <v>45437</v>
      </c>
      <c r="R18" s="3" t="str">
        <f>_xlfn.XLOOKUP(order[[#This Row],[order_id]],shipment[shipment_id],shipment[courier])</f>
        <v>DTDC</v>
      </c>
      <c r="S18" s="3">
        <f>order[[#This Row],[selling_price]]-order[[#This Row],[cost_price]]*order[[#This Row],[quantity]]-order[[#This Row],[discount]]</f>
        <v>7914</v>
      </c>
      <c r="T18" s="3">
        <f>order[[#This Row],[quantity]]*order[[#This Row],[selling_price]]</f>
        <v>39322</v>
      </c>
    </row>
    <row r="19" spans="1:20" x14ac:dyDescent="0.3">
      <c r="A19">
        <v>107</v>
      </c>
      <c r="B19" s="11">
        <v>45653</v>
      </c>
      <c r="C19">
        <v>170</v>
      </c>
      <c r="D19" t="str">
        <f>_xlfn.XLOOKUP(order[[#This Row],[customer_id]],customer[customer_id],customer[customer_name])</f>
        <v>Siddharth Jain</v>
      </c>
      <c r="E19">
        <v>201</v>
      </c>
      <c r="F19">
        <v>1</v>
      </c>
      <c r="G19">
        <v>53645</v>
      </c>
      <c r="H19">
        <v>4500</v>
      </c>
      <c r="I19" t="s">
        <v>13</v>
      </c>
      <c r="J19" t="s">
        <v>14</v>
      </c>
      <c r="K19" t="str">
        <f>_xlfn.XLOOKUP(order[[#This Row],[customer_id]],customer[customer_id],customer[city])</f>
        <v>Pune</v>
      </c>
      <c r="L19" t="str">
        <f>_xlfn.XLOOKUP(order[[#This Row],[customer_id]],customer[customer_id],customer[state])</f>
        <v>Maharashtra</v>
      </c>
      <c r="M19" t="str">
        <f>_xlfn.XLOOKUP(order[[#This Row],[product_id]],products!$A$2:$A$11,products!$B$2:$B$11)</f>
        <v>iPhone 13</v>
      </c>
      <c r="N19" s="3" t="str">
        <f>_xlfn.XLOOKUP(order[[#This Row],[product_id]],products!$A$2:$A$11,products!$C$2:$C$11)</f>
        <v>Electronics</v>
      </c>
      <c r="O19" s="3">
        <f>_xlfn.XLOOKUP(order[[#This Row],[product_id]],Table4[product_id],Table4[cost_price])</f>
        <v>52000</v>
      </c>
      <c r="P19" s="11">
        <f>_xlfn.XLOOKUP(order[[#This Row],[order_id]],shipment[order_id],shipment[ship_date])</f>
        <v>45547</v>
      </c>
      <c r="Q19" s="11">
        <f>_xlfn.XLOOKUP(order[[#This Row],[order_id]],shipment[order_id],shipment[delivery_date])</f>
        <v>45555</v>
      </c>
      <c r="R19" s="3" t="str">
        <f>_xlfn.XLOOKUP(order[[#This Row],[order_id]],shipment[shipment_id],shipment[courier])</f>
        <v>DTDC</v>
      </c>
      <c r="S19" s="3">
        <f>order[[#This Row],[selling_price]]-order[[#This Row],[cost_price]]*order[[#This Row],[quantity]]-order[[#This Row],[discount]]</f>
        <v>-2855</v>
      </c>
      <c r="T19" s="3">
        <f>order[[#This Row],[quantity]]*order[[#This Row],[selling_price]]</f>
        <v>53645</v>
      </c>
    </row>
    <row r="20" spans="1:20" x14ac:dyDescent="0.3">
      <c r="A20">
        <v>19</v>
      </c>
      <c r="B20" s="11">
        <v>45316</v>
      </c>
      <c r="C20">
        <v>184</v>
      </c>
      <c r="D20" t="str">
        <f>_xlfn.XLOOKUP(order[[#This Row],[customer_id]],customer[customer_id],customer[customer_name])</f>
        <v>Arjun Nair</v>
      </c>
      <c r="E20">
        <v>204</v>
      </c>
      <c r="F20">
        <v>4</v>
      </c>
      <c r="G20">
        <v>44766</v>
      </c>
      <c r="H20">
        <v>2236</v>
      </c>
      <c r="I20" t="s">
        <v>13</v>
      </c>
      <c r="J20" t="s">
        <v>12</v>
      </c>
      <c r="K20" t="str">
        <f>_xlfn.XLOOKUP(order[[#This Row],[customer_id]],customer[customer_id],customer[city])</f>
        <v>Delhi</v>
      </c>
      <c r="L20" t="str">
        <f>_xlfn.XLOOKUP(order[[#This Row],[customer_id]],customer[customer_id],customer[state])</f>
        <v>Delhi</v>
      </c>
      <c r="M20" t="str">
        <f>_xlfn.XLOOKUP(order[[#This Row],[product_id]],products!$A$2:$A$11,products!$B$2:$B$11)</f>
        <v>Levi's Slim Fit Jeans</v>
      </c>
      <c r="N20" s="3" t="str">
        <f>_xlfn.XLOOKUP(order[[#This Row],[product_id]],products!$A$2:$A$11,products!$C$2:$C$11)</f>
        <v>Fashion</v>
      </c>
      <c r="O20" s="3">
        <f>_xlfn.XLOOKUP(order[[#This Row],[product_id]],Table4[product_id],Table4[cost_price])</f>
        <v>1800</v>
      </c>
      <c r="P20" s="11">
        <f>_xlfn.XLOOKUP(order[[#This Row],[order_id]],shipment[order_id],shipment[ship_date])</f>
        <v>45480</v>
      </c>
      <c r="Q20" s="11">
        <f>_xlfn.XLOOKUP(order[[#This Row],[order_id]],shipment[order_id],shipment[delivery_date])</f>
        <v>45481</v>
      </c>
      <c r="R20" s="3" t="str">
        <f>_xlfn.XLOOKUP(order[[#This Row],[order_id]],shipment[shipment_id],shipment[courier])</f>
        <v>DTDC</v>
      </c>
      <c r="S20" s="3">
        <f>order[[#This Row],[selling_price]]-order[[#This Row],[cost_price]]*order[[#This Row],[quantity]]-order[[#This Row],[discount]]</f>
        <v>35330</v>
      </c>
      <c r="T20" s="3">
        <f>order[[#This Row],[quantity]]*order[[#This Row],[selling_price]]</f>
        <v>179064</v>
      </c>
    </row>
    <row r="21" spans="1:20" x14ac:dyDescent="0.3">
      <c r="A21">
        <v>20</v>
      </c>
      <c r="B21" s="11">
        <v>45589</v>
      </c>
      <c r="C21">
        <v>162</v>
      </c>
      <c r="D21" t="str">
        <f>_xlfn.XLOOKUP(order[[#This Row],[customer_id]],customer[customer_id],customer[customer_name])</f>
        <v>Ananya Gupta</v>
      </c>
      <c r="E21">
        <v>209</v>
      </c>
      <c r="F21">
        <v>2</v>
      </c>
      <c r="G21">
        <v>20593</v>
      </c>
      <c r="H21">
        <v>4043</v>
      </c>
      <c r="I21" t="s">
        <v>15</v>
      </c>
      <c r="J21" t="s">
        <v>10</v>
      </c>
      <c r="K21" t="str">
        <f>_xlfn.XLOOKUP(order[[#This Row],[customer_id]],customer[customer_id],customer[city])</f>
        <v>Ahmedabad</v>
      </c>
      <c r="L21" t="str">
        <f>_xlfn.XLOOKUP(order[[#This Row],[customer_id]],customer[customer_id],customer[state])</f>
        <v>Gujarat</v>
      </c>
      <c r="M21" t="str">
        <f>_xlfn.XLOOKUP(order[[#This Row],[product_id]],products!$A$2:$A$11,products!$B$2:$B$11)</f>
        <v>Milton Thermosteel Bottle</v>
      </c>
      <c r="N21" s="3" t="str">
        <f>_xlfn.XLOOKUP(order[[#This Row],[product_id]],products!$A$2:$A$11,products!$C$2:$C$11)</f>
        <v>Home &amp; Kitchen</v>
      </c>
      <c r="O21" s="3">
        <f>_xlfn.XLOOKUP(order[[#This Row],[product_id]],Table4[product_id],Table4[cost_price])</f>
        <v>800</v>
      </c>
      <c r="P21" s="11">
        <f>_xlfn.XLOOKUP(order[[#This Row],[order_id]],shipment[order_id],shipment[ship_date])</f>
        <v>45655</v>
      </c>
      <c r="Q21" s="11">
        <f>_xlfn.XLOOKUP(order[[#This Row],[order_id]],shipment[order_id],shipment[delivery_date])</f>
        <v>45660</v>
      </c>
      <c r="R21" s="3" t="str">
        <f>_xlfn.XLOOKUP(order[[#This Row],[order_id]],shipment[shipment_id],shipment[courier])</f>
        <v>Delhivery</v>
      </c>
      <c r="S21" s="3">
        <f>order[[#This Row],[selling_price]]-order[[#This Row],[cost_price]]*order[[#This Row],[quantity]]-order[[#This Row],[discount]]</f>
        <v>14950</v>
      </c>
      <c r="T21" s="3">
        <f>order[[#This Row],[quantity]]*order[[#This Row],[selling_price]]</f>
        <v>41186</v>
      </c>
    </row>
    <row r="22" spans="1:20" x14ac:dyDescent="0.3">
      <c r="A22">
        <v>21</v>
      </c>
      <c r="B22" s="11">
        <v>45502</v>
      </c>
      <c r="C22">
        <v>202</v>
      </c>
      <c r="D22" t="str">
        <f>_xlfn.XLOOKUP(order[[#This Row],[customer_id]],customer[customer_id],customer[customer_name])</f>
        <v>Meera Joshi</v>
      </c>
      <c r="E22">
        <v>205</v>
      </c>
      <c r="F22">
        <v>3</v>
      </c>
      <c r="G22">
        <v>20586</v>
      </c>
      <c r="H22">
        <v>1926</v>
      </c>
      <c r="I22" t="s">
        <v>13</v>
      </c>
      <c r="J22" t="s">
        <v>14</v>
      </c>
      <c r="K22" t="str">
        <f>_xlfn.XLOOKUP(order[[#This Row],[customer_id]],customer[customer_id],customer[city])</f>
        <v>Chennai</v>
      </c>
      <c r="L22" t="str">
        <f>_xlfn.XLOOKUP(order[[#This Row],[customer_id]],customer[customer_id],customer[state])</f>
        <v>Tamil Nadu</v>
      </c>
      <c r="M22" t="str">
        <f>_xlfn.XLOOKUP(order[[#This Row],[product_id]],products!$A$2:$A$11,products!$B$2:$B$11)</f>
        <v>Prestige Pressure Cooker 5L</v>
      </c>
      <c r="N22" s="3" t="str">
        <f>_xlfn.XLOOKUP(order[[#This Row],[product_id]],products!$A$2:$A$11,products!$C$2:$C$11)</f>
        <v>Home &amp; Kitchen</v>
      </c>
      <c r="O22" s="3">
        <f>_xlfn.XLOOKUP(order[[#This Row],[product_id]],Table4[product_id],Table4[cost_price])</f>
        <v>1200</v>
      </c>
      <c r="P22" s="11">
        <f>_xlfn.XLOOKUP(order[[#This Row],[order_id]],shipment[order_id],shipment[ship_date])</f>
        <v>45523</v>
      </c>
      <c r="Q22" s="11">
        <f>_xlfn.XLOOKUP(order[[#This Row],[order_id]],shipment[order_id],shipment[delivery_date])</f>
        <v>45529</v>
      </c>
      <c r="R22" s="3" t="str">
        <f>_xlfn.XLOOKUP(order[[#This Row],[order_id]],shipment[shipment_id],shipment[courier])</f>
        <v>BlueDart</v>
      </c>
      <c r="S22" s="3">
        <f>order[[#This Row],[selling_price]]-order[[#This Row],[cost_price]]*order[[#This Row],[quantity]]-order[[#This Row],[discount]]</f>
        <v>15060</v>
      </c>
      <c r="T22" s="3">
        <f>order[[#This Row],[quantity]]*order[[#This Row],[selling_price]]</f>
        <v>61758</v>
      </c>
    </row>
    <row r="23" spans="1:20" x14ac:dyDescent="0.3">
      <c r="A23">
        <v>22</v>
      </c>
      <c r="B23" s="11">
        <v>45381</v>
      </c>
      <c r="C23">
        <v>133</v>
      </c>
      <c r="D23" t="str">
        <f>_xlfn.XLOOKUP(order[[#This Row],[customer_id]],customer[customer_id],customer[customer_name])</f>
        <v>Manish Yadav</v>
      </c>
      <c r="E23">
        <v>204</v>
      </c>
      <c r="F23">
        <v>2</v>
      </c>
      <c r="G23">
        <v>34006</v>
      </c>
      <c r="H23">
        <v>2561</v>
      </c>
      <c r="I23" t="s">
        <v>9</v>
      </c>
      <c r="J23" t="s">
        <v>12</v>
      </c>
      <c r="K23" t="str">
        <f>_xlfn.XLOOKUP(order[[#This Row],[customer_id]],customer[customer_id],customer[city])</f>
        <v>Hyderabad</v>
      </c>
      <c r="L23" t="str">
        <f>_xlfn.XLOOKUP(order[[#This Row],[customer_id]],customer[customer_id],customer[state])</f>
        <v>Telangana</v>
      </c>
      <c r="M23" t="str">
        <f>_xlfn.XLOOKUP(order[[#This Row],[product_id]],products!$A$2:$A$11,products!$B$2:$B$11)</f>
        <v>Levi's Slim Fit Jeans</v>
      </c>
      <c r="N23" s="3" t="str">
        <f>_xlfn.XLOOKUP(order[[#This Row],[product_id]],products!$A$2:$A$11,products!$C$2:$C$11)</f>
        <v>Fashion</v>
      </c>
      <c r="O23" s="3">
        <f>_xlfn.XLOOKUP(order[[#This Row],[product_id]],Table4[product_id],Table4[cost_price])</f>
        <v>1800</v>
      </c>
      <c r="P23" s="11">
        <f>_xlfn.XLOOKUP(order[[#This Row],[order_id]],shipment[order_id],shipment[ship_date])</f>
        <v>45508</v>
      </c>
      <c r="Q23" s="11">
        <f>_xlfn.XLOOKUP(order[[#This Row],[order_id]],shipment[order_id],shipment[delivery_date])</f>
        <v>45513</v>
      </c>
      <c r="R23" s="3" t="str">
        <f>_xlfn.XLOOKUP(order[[#This Row],[order_id]],shipment[shipment_id],shipment[courier])</f>
        <v>Delhivery</v>
      </c>
      <c r="S23" s="3">
        <f>order[[#This Row],[selling_price]]-order[[#This Row],[cost_price]]*order[[#This Row],[quantity]]-order[[#This Row],[discount]]</f>
        <v>27845</v>
      </c>
      <c r="T23" s="3">
        <f>order[[#This Row],[quantity]]*order[[#This Row],[selling_price]]</f>
        <v>68012</v>
      </c>
    </row>
    <row r="24" spans="1:20" x14ac:dyDescent="0.3">
      <c r="A24">
        <v>819</v>
      </c>
      <c r="B24" s="11">
        <v>45527</v>
      </c>
      <c r="C24">
        <v>228</v>
      </c>
      <c r="D24" t="str">
        <f>_xlfn.XLOOKUP(order[[#This Row],[customer_id]],customer[customer_id],customer[customer_name])</f>
        <v>Priya Reddy</v>
      </c>
      <c r="E24">
        <v>201</v>
      </c>
      <c r="F24">
        <v>3</v>
      </c>
      <c r="G24">
        <v>4265</v>
      </c>
      <c r="H24">
        <v>4481</v>
      </c>
      <c r="I24" t="s">
        <v>9</v>
      </c>
      <c r="J24" t="s">
        <v>10</v>
      </c>
      <c r="K24" t="str">
        <f>_xlfn.XLOOKUP(order[[#This Row],[customer_id]],customer[customer_id],customer[city])</f>
        <v>Chennai</v>
      </c>
      <c r="L24" t="str">
        <f>_xlfn.XLOOKUP(order[[#This Row],[customer_id]],customer[customer_id],customer[state])</f>
        <v>Tamil Nadu</v>
      </c>
      <c r="M24" t="str">
        <f>_xlfn.XLOOKUP(order[[#This Row],[product_id]],products!$A$2:$A$11,products!$B$2:$B$11)</f>
        <v>iPhone 13</v>
      </c>
      <c r="N24" s="3" t="str">
        <f>_xlfn.XLOOKUP(order[[#This Row],[product_id]],products!$A$2:$A$11,products!$C$2:$C$11)</f>
        <v>Electronics</v>
      </c>
      <c r="O24" s="3">
        <f>_xlfn.XLOOKUP(order[[#This Row],[product_id]],Table4[product_id],Table4[cost_price])</f>
        <v>52000</v>
      </c>
      <c r="P24" s="11">
        <f>_xlfn.XLOOKUP(order[[#This Row],[order_id]],shipment[order_id],shipment[ship_date])</f>
        <v>45632</v>
      </c>
      <c r="Q24" s="11">
        <f>_xlfn.XLOOKUP(order[[#This Row],[order_id]],shipment[order_id],shipment[delivery_date])</f>
        <v>45641</v>
      </c>
      <c r="R24" s="3" t="str">
        <f>_xlfn.XLOOKUP(order[[#This Row],[order_id]],shipment[shipment_id],shipment[courier])</f>
        <v>Ekart</v>
      </c>
      <c r="S24" s="3">
        <f>order[[#This Row],[selling_price]]-order[[#This Row],[cost_price]]*order[[#This Row],[quantity]]-order[[#This Row],[discount]]</f>
        <v>-156216</v>
      </c>
      <c r="T24" s="3">
        <f>order[[#This Row],[quantity]]*order[[#This Row],[selling_price]]</f>
        <v>12795</v>
      </c>
    </row>
    <row r="25" spans="1:20" x14ac:dyDescent="0.3">
      <c r="A25">
        <v>726</v>
      </c>
      <c r="B25" s="11">
        <v>45555</v>
      </c>
      <c r="C25">
        <v>285</v>
      </c>
      <c r="D25" t="str">
        <f>_xlfn.XLOOKUP(order[[#This Row],[customer_id]],customer[customer_id],customer[customer_name])</f>
        <v>Priya Reddy</v>
      </c>
      <c r="E25">
        <v>201</v>
      </c>
      <c r="F25">
        <v>2</v>
      </c>
      <c r="G25">
        <v>18851</v>
      </c>
      <c r="H25">
        <v>4467</v>
      </c>
      <c r="I25" t="s">
        <v>9</v>
      </c>
      <c r="J25" t="s">
        <v>10</v>
      </c>
      <c r="K25" t="str">
        <f>_xlfn.XLOOKUP(order[[#This Row],[customer_id]],customer[customer_id],customer[city])</f>
        <v>Delhi</v>
      </c>
      <c r="L25" t="str">
        <f>_xlfn.XLOOKUP(order[[#This Row],[customer_id]],customer[customer_id],customer[state])</f>
        <v>Delhi</v>
      </c>
      <c r="M25" t="str">
        <f>_xlfn.XLOOKUP(order[[#This Row],[product_id]],products!$A$2:$A$11,products!$B$2:$B$11)</f>
        <v>iPhone 13</v>
      </c>
      <c r="N25" s="3" t="str">
        <f>_xlfn.XLOOKUP(order[[#This Row],[product_id]],products!$A$2:$A$11,products!$C$2:$C$11)</f>
        <v>Electronics</v>
      </c>
      <c r="O25" s="3">
        <f>_xlfn.XLOOKUP(order[[#This Row],[product_id]],Table4[product_id],Table4[cost_price])</f>
        <v>52000</v>
      </c>
      <c r="P25" s="11">
        <f>_xlfn.XLOOKUP(order[[#This Row],[order_id]],shipment[order_id],shipment[ship_date])</f>
        <v>45544</v>
      </c>
      <c r="Q25" s="11">
        <f>_xlfn.XLOOKUP(order[[#This Row],[order_id]],shipment[order_id],shipment[delivery_date])</f>
        <v>45553</v>
      </c>
      <c r="R25" s="3" t="str">
        <f>_xlfn.XLOOKUP(order[[#This Row],[order_id]],shipment[shipment_id],shipment[courier])</f>
        <v>Ekart</v>
      </c>
      <c r="S25" s="3">
        <f>order[[#This Row],[selling_price]]-order[[#This Row],[cost_price]]*order[[#This Row],[quantity]]-order[[#This Row],[discount]]</f>
        <v>-89616</v>
      </c>
      <c r="T25" s="3">
        <f>order[[#This Row],[quantity]]*order[[#This Row],[selling_price]]</f>
        <v>37702</v>
      </c>
    </row>
    <row r="26" spans="1:20" x14ac:dyDescent="0.3">
      <c r="A26">
        <v>25</v>
      </c>
      <c r="B26" s="11">
        <v>45608</v>
      </c>
      <c r="C26">
        <v>122</v>
      </c>
      <c r="D26" t="str">
        <f>_xlfn.XLOOKUP(order[[#This Row],[customer_id]],customer[customer_id],customer[customer_name])</f>
        <v>Priya Reddy</v>
      </c>
      <c r="E26">
        <v>204</v>
      </c>
      <c r="F26">
        <v>2</v>
      </c>
      <c r="G26">
        <v>14747</v>
      </c>
      <c r="H26">
        <v>2341</v>
      </c>
      <c r="I26" t="s">
        <v>9</v>
      </c>
      <c r="J26" t="s">
        <v>14</v>
      </c>
      <c r="K26" t="str">
        <f>_xlfn.XLOOKUP(order[[#This Row],[customer_id]],customer[customer_id],customer[city])</f>
        <v>Hyderabad</v>
      </c>
      <c r="L26" t="str">
        <f>_xlfn.XLOOKUP(order[[#This Row],[customer_id]],customer[customer_id],customer[state])</f>
        <v>Telangana</v>
      </c>
      <c r="M26" t="str">
        <f>_xlfn.XLOOKUP(order[[#This Row],[product_id]],products!$A$2:$A$11,products!$B$2:$B$11)</f>
        <v>Levi's Slim Fit Jeans</v>
      </c>
      <c r="N26" s="3" t="str">
        <f>_xlfn.XLOOKUP(order[[#This Row],[product_id]],products!$A$2:$A$11,products!$C$2:$C$11)</f>
        <v>Fashion</v>
      </c>
      <c r="O26" s="3">
        <f>_xlfn.XLOOKUP(order[[#This Row],[product_id]],Table4[product_id],Table4[cost_price])</f>
        <v>1800</v>
      </c>
      <c r="P26" s="11">
        <f>_xlfn.XLOOKUP(order[[#This Row],[order_id]],shipment[order_id],shipment[ship_date])</f>
        <v>45616</v>
      </c>
      <c r="Q26" s="11">
        <f>_xlfn.XLOOKUP(order[[#This Row],[order_id]],shipment[order_id],shipment[delivery_date])</f>
        <v>45623</v>
      </c>
      <c r="R26" s="3" t="str">
        <f>_xlfn.XLOOKUP(order[[#This Row],[order_id]],shipment[shipment_id],shipment[courier])</f>
        <v>Delhivery</v>
      </c>
      <c r="S26" s="3">
        <f>order[[#This Row],[selling_price]]-order[[#This Row],[cost_price]]*order[[#This Row],[quantity]]-order[[#This Row],[discount]]</f>
        <v>8806</v>
      </c>
      <c r="T26" s="3">
        <f>order[[#This Row],[quantity]]*order[[#This Row],[selling_price]]</f>
        <v>29494</v>
      </c>
    </row>
    <row r="27" spans="1:20" x14ac:dyDescent="0.3">
      <c r="A27">
        <v>403</v>
      </c>
      <c r="B27" s="11">
        <v>45429</v>
      </c>
      <c r="C27">
        <v>146</v>
      </c>
      <c r="D27" t="str">
        <f>_xlfn.XLOOKUP(order[[#This Row],[customer_id]],customer[customer_id],customer[customer_name])</f>
        <v>Siddharth Jain</v>
      </c>
      <c r="E27">
        <v>201</v>
      </c>
      <c r="F27">
        <v>2</v>
      </c>
      <c r="G27">
        <v>63797</v>
      </c>
      <c r="H27">
        <v>4450</v>
      </c>
      <c r="I27" t="s">
        <v>13</v>
      </c>
      <c r="J27" t="s">
        <v>12</v>
      </c>
      <c r="K27" t="str">
        <f>_xlfn.XLOOKUP(order[[#This Row],[customer_id]],customer[customer_id],customer[city])</f>
        <v>Hyderabad</v>
      </c>
      <c r="L27" t="str">
        <f>_xlfn.XLOOKUP(order[[#This Row],[customer_id]],customer[customer_id],customer[state])</f>
        <v>Telangana</v>
      </c>
      <c r="M27" t="str">
        <f>_xlfn.XLOOKUP(order[[#This Row],[product_id]],products!$A$2:$A$11,products!$B$2:$B$11)</f>
        <v>iPhone 13</v>
      </c>
      <c r="N27" s="3" t="str">
        <f>_xlfn.XLOOKUP(order[[#This Row],[product_id]],products!$A$2:$A$11,products!$C$2:$C$11)</f>
        <v>Electronics</v>
      </c>
      <c r="O27" s="3">
        <f>_xlfn.XLOOKUP(order[[#This Row],[product_id]],Table4[product_id],Table4[cost_price])</f>
        <v>52000</v>
      </c>
      <c r="P27" s="11">
        <f>_xlfn.XLOOKUP(order[[#This Row],[order_id]],shipment[order_id],shipment[ship_date])</f>
        <v>45311</v>
      </c>
      <c r="Q27" s="11">
        <f>_xlfn.XLOOKUP(order[[#This Row],[order_id]],shipment[order_id],shipment[delivery_date])</f>
        <v>45312</v>
      </c>
      <c r="R27" s="3" t="str">
        <f>_xlfn.XLOOKUP(order[[#This Row],[order_id]],shipment[shipment_id],shipment[courier])</f>
        <v>DTDC</v>
      </c>
      <c r="S27" s="3">
        <f>order[[#This Row],[selling_price]]-order[[#This Row],[cost_price]]*order[[#This Row],[quantity]]-order[[#This Row],[discount]]</f>
        <v>-44653</v>
      </c>
      <c r="T27" s="3">
        <f>order[[#This Row],[quantity]]*order[[#This Row],[selling_price]]</f>
        <v>127594</v>
      </c>
    </row>
    <row r="28" spans="1:20" x14ac:dyDescent="0.3">
      <c r="A28">
        <v>27</v>
      </c>
      <c r="B28" s="11">
        <v>45377</v>
      </c>
      <c r="C28">
        <v>293</v>
      </c>
      <c r="D28" t="str">
        <f>_xlfn.XLOOKUP(order[[#This Row],[customer_id]],customer[customer_id],customer[customer_name])</f>
        <v>Sneha Iyer</v>
      </c>
      <c r="E28">
        <v>203</v>
      </c>
      <c r="F28">
        <v>1</v>
      </c>
      <c r="G28">
        <v>65583</v>
      </c>
      <c r="H28">
        <v>2030</v>
      </c>
      <c r="I28" t="s">
        <v>9</v>
      </c>
      <c r="J28" t="s">
        <v>12</v>
      </c>
      <c r="K28" t="str">
        <f>_xlfn.XLOOKUP(order[[#This Row],[customer_id]],customer[customer_id],customer[city])</f>
        <v>Pune</v>
      </c>
      <c r="L28" t="str">
        <f>_xlfn.XLOOKUP(order[[#This Row],[customer_id]],customer[customer_id],customer[state])</f>
        <v>Maharashtra</v>
      </c>
      <c r="M28" t="str">
        <f>_xlfn.XLOOKUP(order[[#This Row],[product_id]],products!$A$2:$A$11,products!$B$2:$B$11)</f>
        <v>Nike Air Max Shoes</v>
      </c>
      <c r="N28" s="3" t="str">
        <f>_xlfn.XLOOKUP(order[[#This Row],[product_id]],products!$A$2:$A$11,products!$C$2:$C$11)</f>
        <v>Fashion</v>
      </c>
      <c r="O28" s="3">
        <f>_xlfn.XLOOKUP(order[[#This Row],[product_id]],Table4[product_id],Table4[cost_price])</f>
        <v>4000</v>
      </c>
      <c r="P28" s="11">
        <f>_xlfn.XLOOKUP(order[[#This Row],[order_id]],shipment[order_id],shipment[ship_date])</f>
        <v>45563</v>
      </c>
      <c r="Q28" s="11">
        <f>_xlfn.XLOOKUP(order[[#This Row],[order_id]],shipment[order_id],shipment[delivery_date])</f>
        <v>45565</v>
      </c>
      <c r="R28" s="3" t="str">
        <f>_xlfn.XLOOKUP(order[[#This Row],[order_id]],shipment[shipment_id],shipment[courier])</f>
        <v>BlueDart</v>
      </c>
      <c r="S28" s="3">
        <f>order[[#This Row],[selling_price]]-order[[#This Row],[cost_price]]*order[[#This Row],[quantity]]-order[[#This Row],[discount]]</f>
        <v>59553</v>
      </c>
      <c r="T28" s="3">
        <f>order[[#This Row],[quantity]]*order[[#This Row],[selling_price]]</f>
        <v>65583</v>
      </c>
    </row>
    <row r="29" spans="1:20" x14ac:dyDescent="0.3">
      <c r="A29">
        <v>1176</v>
      </c>
      <c r="B29" s="11">
        <v>45552</v>
      </c>
      <c r="C29">
        <v>300</v>
      </c>
      <c r="D29" t="str">
        <f>_xlfn.XLOOKUP(order[[#This Row],[customer_id]],customer[customer_id],customer[customer_name])</f>
        <v>Pooja Nair</v>
      </c>
      <c r="E29">
        <v>201</v>
      </c>
      <c r="F29">
        <v>3</v>
      </c>
      <c r="G29">
        <v>9425</v>
      </c>
      <c r="H29">
        <v>4415</v>
      </c>
      <c r="I29" t="s">
        <v>13</v>
      </c>
      <c r="J29" t="s">
        <v>12</v>
      </c>
      <c r="K29" t="str">
        <f>_xlfn.XLOOKUP(order[[#This Row],[customer_id]],customer[customer_id],customer[city])</f>
        <v>Bangalore</v>
      </c>
      <c r="L29" t="str">
        <f>_xlfn.XLOOKUP(order[[#This Row],[customer_id]],customer[customer_id],customer[state])</f>
        <v>Karnataka</v>
      </c>
      <c r="M29" t="str">
        <f>_xlfn.XLOOKUP(order[[#This Row],[product_id]],products!$A$2:$A$11,products!$B$2:$B$11)</f>
        <v>iPhone 13</v>
      </c>
      <c r="N29" s="3" t="str">
        <f>_xlfn.XLOOKUP(order[[#This Row],[product_id]],products!$A$2:$A$11,products!$C$2:$C$11)</f>
        <v>Electronics</v>
      </c>
      <c r="O29" s="3">
        <f>_xlfn.XLOOKUP(order[[#This Row],[product_id]],Table4[product_id],Table4[cost_price])</f>
        <v>52000</v>
      </c>
      <c r="P29" s="11">
        <f>_xlfn.XLOOKUP(order[[#This Row],[order_id]],shipment[order_id],shipment[ship_date])</f>
        <v>45575</v>
      </c>
      <c r="Q29" s="11">
        <f>_xlfn.XLOOKUP(order[[#This Row],[order_id]],shipment[order_id],shipment[delivery_date])</f>
        <v>45581</v>
      </c>
      <c r="R29" s="3" t="str">
        <f>_xlfn.XLOOKUP(order[[#This Row],[order_id]],shipment[shipment_id],shipment[courier])</f>
        <v>Delhivery</v>
      </c>
      <c r="S29" s="3">
        <f>order[[#This Row],[selling_price]]-order[[#This Row],[cost_price]]*order[[#This Row],[quantity]]-order[[#This Row],[discount]]</f>
        <v>-150990</v>
      </c>
      <c r="T29" s="3">
        <f>order[[#This Row],[quantity]]*order[[#This Row],[selling_price]]</f>
        <v>28275</v>
      </c>
    </row>
    <row r="30" spans="1:20" x14ac:dyDescent="0.3">
      <c r="A30">
        <v>1036</v>
      </c>
      <c r="B30" s="11">
        <v>45363</v>
      </c>
      <c r="C30">
        <v>262</v>
      </c>
      <c r="D30" t="str">
        <f>_xlfn.XLOOKUP(order[[#This Row],[customer_id]],customer[customer_id],customer[customer_name])</f>
        <v>Karan Patel</v>
      </c>
      <c r="E30">
        <v>201</v>
      </c>
      <c r="F30">
        <v>2</v>
      </c>
      <c r="G30">
        <v>3931</v>
      </c>
      <c r="H30">
        <v>4412</v>
      </c>
      <c r="I30" t="s">
        <v>13</v>
      </c>
      <c r="J30" t="s">
        <v>14</v>
      </c>
      <c r="K30" t="str">
        <f>_xlfn.XLOOKUP(order[[#This Row],[customer_id]],customer[customer_id],customer[city])</f>
        <v>Bangalore</v>
      </c>
      <c r="L30" t="str">
        <f>_xlfn.XLOOKUP(order[[#This Row],[customer_id]],customer[customer_id],customer[state])</f>
        <v>Karnataka</v>
      </c>
      <c r="M30" t="str">
        <f>_xlfn.XLOOKUP(order[[#This Row],[product_id]],products!$A$2:$A$11,products!$B$2:$B$11)</f>
        <v>iPhone 13</v>
      </c>
      <c r="N30" s="3" t="str">
        <f>_xlfn.XLOOKUP(order[[#This Row],[product_id]],products!$A$2:$A$11,products!$C$2:$C$11)</f>
        <v>Electronics</v>
      </c>
      <c r="O30" s="3">
        <f>_xlfn.XLOOKUP(order[[#This Row],[product_id]],Table4[product_id],Table4[cost_price])</f>
        <v>52000</v>
      </c>
      <c r="P30" s="11">
        <f>_xlfn.XLOOKUP(order[[#This Row],[order_id]],shipment[order_id],shipment[ship_date])</f>
        <v>45353</v>
      </c>
      <c r="Q30" s="11">
        <f>_xlfn.XLOOKUP(order[[#This Row],[order_id]],shipment[order_id],shipment[delivery_date])</f>
        <v>45363</v>
      </c>
      <c r="R30" s="3" t="str">
        <f>_xlfn.XLOOKUP(order[[#This Row],[order_id]],shipment[shipment_id],shipment[courier])</f>
        <v>Ekart</v>
      </c>
      <c r="S30" s="3">
        <f>order[[#This Row],[selling_price]]-order[[#This Row],[cost_price]]*order[[#This Row],[quantity]]-order[[#This Row],[discount]]</f>
        <v>-104481</v>
      </c>
      <c r="T30" s="3">
        <f>order[[#This Row],[quantity]]*order[[#This Row],[selling_price]]</f>
        <v>7862</v>
      </c>
    </row>
    <row r="31" spans="1:20" x14ac:dyDescent="0.3">
      <c r="A31">
        <v>30</v>
      </c>
      <c r="B31" s="11">
        <v>45335</v>
      </c>
      <c r="C31">
        <v>156</v>
      </c>
      <c r="D31" t="str">
        <f>_xlfn.XLOOKUP(order[[#This Row],[customer_id]],customer[customer_id],customer[customer_name])</f>
        <v>Arjun Nair</v>
      </c>
      <c r="E31">
        <v>209</v>
      </c>
      <c r="F31">
        <v>1</v>
      </c>
      <c r="G31">
        <v>32050</v>
      </c>
      <c r="H31">
        <v>2487</v>
      </c>
      <c r="I31" t="s">
        <v>15</v>
      </c>
      <c r="J31" t="s">
        <v>12</v>
      </c>
      <c r="K31" t="str">
        <f>_xlfn.XLOOKUP(order[[#This Row],[customer_id]],customer[customer_id],customer[city])</f>
        <v>Bangalore</v>
      </c>
      <c r="L31" t="str">
        <f>_xlfn.XLOOKUP(order[[#This Row],[customer_id]],customer[customer_id],customer[state])</f>
        <v>Karnataka</v>
      </c>
      <c r="M31" t="str">
        <f>_xlfn.XLOOKUP(order[[#This Row],[product_id]],products!$A$2:$A$11,products!$B$2:$B$11)</f>
        <v>Milton Thermosteel Bottle</v>
      </c>
      <c r="N31" s="3" t="str">
        <f>_xlfn.XLOOKUP(order[[#This Row],[product_id]],products!$A$2:$A$11,products!$C$2:$C$11)</f>
        <v>Home &amp; Kitchen</v>
      </c>
      <c r="O31" s="3">
        <f>_xlfn.XLOOKUP(order[[#This Row],[product_id]],Table4[product_id],Table4[cost_price])</f>
        <v>800</v>
      </c>
      <c r="P31" s="11">
        <f>_xlfn.XLOOKUP(order[[#This Row],[order_id]],shipment[order_id],shipment[ship_date])</f>
        <v>45450</v>
      </c>
      <c r="Q31" s="11">
        <f>_xlfn.XLOOKUP(order[[#This Row],[order_id]],shipment[order_id],shipment[delivery_date])</f>
        <v>45455</v>
      </c>
      <c r="R31" s="3" t="str">
        <f>_xlfn.XLOOKUP(order[[#This Row],[order_id]],shipment[shipment_id],shipment[courier])</f>
        <v>Ekart</v>
      </c>
      <c r="S31" s="3">
        <f>order[[#This Row],[selling_price]]-order[[#This Row],[cost_price]]*order[[#This Row],[quantity]]-order[[#This Row],[discount]]</f>
        <v>28763</v>
      </c>
      <c r="T31" s="3">
        <f>order[[#This Row],[quantity]]*order[[#This Row],[selling_price]]</f>
        <v>32050</v>
      </c>
    </row>
    <row r="32" spans="1:20" x14ac:dyDescent="0.3">
      <c r="A32">
        <v>31</v>
      </c>
      <c r="B32" s="11">
        <v>45544</v>
      </c>
      <c r="C32">
        <v>169</v>
      </c>
      <c r="D32" t="str">
        <f>_xlfn.XLOOKUP(order[[#This Row],[customer_id]],customer[customer_id],customer[customer_name])</f>
        <v>Vikram Singh</v>
      </c>
      <c r="E32">
        <v>204</v>
      </c>
      <c r="F32">
        <v>3</v>
      </c>
      <c r="G32">
        <v>27100</v>
      </c>
      <c r="H32">
        <v>2045</v>
      </c>
      <c r="I32" t="s">
        <v>13</v>
      </c>
      <c r="J32" t="s">
        <v>14</v>
      </c>
      <c r="K32" t="str">
        <f>_xlfn.XLOOKUP(order[[#This Row],[customer_id]],customer[customer_id],customer[city])</f>
        <v>Ahmedabad</v>
      </c>
      <c r="L32" t="str">
        <f>_xlfn.XLOOKUP(order[[#This Row],[customer_id]],customer[customer_id],customer[state])</f>
        <v>Gujarat</v>
      </c>
      <c r="M32" t="str">
        <f>_xlfn.XLOOKUP(order[[#This Row],[product_id]],products!$A$2:$A$11,products!$B$2:$B$11)</f>
        <v>Levi's Slim Fit Jeans</v>
      </c>
      <c r="N32" s="3" t="str">
        <f>_xlfn.XLOOKUP(order[[#This Row],[product_id]],products!$A$2:$A$11,products!$C$2:$C$11)</f>
        <v>Fashion</v>
      </c>
      <c r="O32" s="3">
        <f>_xlfn.XLOOKUP(order[[#This Row],[product_id]],Table4[product_id],Table4[cost_price])</f>
        <v>1800</v>
      </c>
      <c r="P32" s="11">
        <f>_xlfn.XLOOKUP(order[[#This Row],[order_id]],shipment[order_id],shipment[ship_date])</f>
        <v>45470</v>
      </c>
      <c r="Q32" s="11">
        <f>_xlfn.XLOOKUP(order[[#This Row],[order_id]],shipment[order_id],shipment[delivery_date])</f>
        <v>45473</v>
      </c>
      <c r="R32" s="3" t="str">
        <f>_xlfn.XLOOKUP(order[[#This Row],[order_id]],shipment[shipment_id],shipment[courier])</f>
        <v>DTDC</v>
      </c>
      <c r="S32" s="3">
        <f>order[[#This Row],[selling_price]]-order[[#This Row],[cost_price]]*order[[#This Row],[quantity]]-order[[#This Row],[discount]]</f>
        <v>19655</v>
      </c>
      <c r="T32" s="3">
        <f>order[[#This Row],[quantity]]*order[[#This Row],[selling_price]]</f>
        <v>81300</v>
      </c>
    </row>
    <row r="33" spans="1:20" x14ac:dyDescent="0.3">
      <c r="A33">
        <v>32</v>
      </c>
      <c r="B33" s="11">
        <v>45496</v>
      </c>
      <c r="C33">
        <v>184</v>
      </c>
      <c r="D33" t="str">
        <f>_xlfn.XLOOKUP(order[[#This Row],[customer_id]],customer[customer_id],customer[customer_name])</f>
        <v>Arjun Nair</v>
      </c>
      <c r="E33">
        <v>203</v>
      </c>
      <c r="F33">
        <v>1</v>
      </c>
      <c r="G33">
        <v>33506</v>
      </c>
      <c r="H33">
        <v>3117</v>
      </c>
      <c r="I33" t="s">
        <v>9</v>
      </c>
      <c r="J33" t="s">
        <v>14</v>
      </c>
      <c r="K33" t="str">
        <f>_xlfn.XLOOKUP(order[[#This Row],[customer_id]],customer[customer_id],customer[city])</f>
        <v>Delhi</v>
      </c>
      <c r="L33" t="str">
        <f>_xlfn.XLOOKUP(order[[#This Row],[customer_id]],customer[customer_id],customer[state])</f>
        <v>Delhi</v>
      </c>
      <c r="M33" t="str">
        <f>_xlfn.XLOOKUP(order[[#This Row],[product_id]],products!$A$2:$A$11,products!$B$2:$B$11)</f>
        <v>Nike Air Max Shoes</v>
      </c>
      <c r="N33" s="3" t="str">
        <f>_xlfn.XLOOKUP(order[[#This Row],[product_id]],products!$A$2:$A$11,products!$C$2:$C$11)</f>
        <v>Fashion</v>
      </c>
      <c r="O33" s="3">
        <f>_xlfn.XLOOKUP(order[[#This Row],[product_id]],Table4[product_id],Table4[cost_price])</f>
        <v>4000</v>
      </c>
      <c r="P33" s="11">
        <f>_xlfn.XLOOKUP(order[[#This Row],[order_id]],shipment[order_id],shipment[ship_date])</f>
        <v>45352</v>
      </c>
      <c r="Q33" s="11">
        <f>_xlfn.XLOOKUP(order[[#This Row],[order_id]],shipment[order_id],shipment[delivery_date])</f>
        <v>45361</v>
      </c>
      <c r="R33" s="3" t="str">
        <f>_xlfn.XLOOKUP(order[[#This Row],[order_id]],shipment[shipment_id],shipment[courier])</f>
        <v>BlueDart</v>
      </c>
      <c r="S33" s="3">
        <f>order[[#This Row],[selling_price]]-order[[#This Row],[cost_price]]*order[[#This Row],[quantity]]-order[[#This Row],[discount]]</f>
        <v>26389</v>
      </c>
      <c r="T33" s="3">
        <f>order[[#This Row],[quantity]]*order[[#This Row],[selling_price]]</f>
        <v>33506</v>
      </c>
    </row>
    <row r="34" spans="1:20" x14ac:dyDescent="0.3">
      <c r="A34">
        <v>33</v>
      </c>
      <c r="B34" s="11">
        <v>45651</v>
      </c>
      <c r="C34">
        <v>115</v>
      </c>
      <c r="D34" t="str">
        <f>_xlfn.XLOOKUP(order[[#This Row],[customer_id]],customer[customer_id],customer[customer_name])</f>
        <v>Siddharth Jain</v>
      </c>
      <c r="E34">
        <v>208</v>
      </c>
      <c r="F34">
        <v>1</v>
      </c>
      <c r="G34">
        <v>19314</v>
      </c>
      <c r="H34">
        <v>246</v>
      </c>
      <c r="I34" t="s">
        <v>15</v>
      </c>
      <c r="J34" t="s">
        <v>14</v>
      </c>
      <c r="K34" t="str">
        <f>_xlfn.XLOOKUP(order[[#This Row],[customer_id]],customer[customer_id],customer[city])</f>
        <v>Delhi</v>
      </c>
      <c r="L34" t="str">
        <f>_xlfn.XLOOKUP(order[[#This Row],[customer_id]],customer[customer_id],customer[state])</f>
        <v>Delhi</v>
      </c>
      <c r="M34" t="str">
        <f>_xlfn.XLOOKUP(order[[#This Row],[product_id]],products!$A$2:$A$11,products!$B$2:$B$11)</f>
        <v>Adidas Ultraboost Shoes</v>
      </c>
      <c r="N34" s="3" t="str">
        <f>_xlfn.XLOOKUP(order[[#This Row],[product_id]],products!$A$2:$A$11,products!$C$2:$C$11)</f>
        <v>Fashion</v>
      </c>
      <c r="O34" s="3">
        <f>_xlfn.XLOOKUP(order[[#This Row],[product_id]],Table4[product_id],Table4[cost_price])</f>
        <v>9000</v>
      </c>
      <c r="P34" s="11">
        <f>_xlfn.XLOOKUP(order[[#This Row],[order_id]],shipment[order_id],shipment[ship_date])</f>
        <v>45572</v>
      </c>
      <c r="Q34" s="11">
        <f>_xlfn.XLOOKUP(order[[#This Row],[order_id]],shipment[order_id],shipment[delivery_date])</f>
        <v>45580</v>
      </c>
      <c r="R34" s="3" t="str">
        <f>_xlfn.XLOOKUP(order[[#This Row],[order_id]],shipment[shipment_id],shipment[courier])</f>
        <v>DTDC</v>
      </c>
      <c r="S34" s="3">
        <f>order[[#This Row],[selling_price]]-order[[#This Row],[cost_price]]*order[[#This Row],[quantity]]-order[[#This Row],[discount]]</f>
        <v>10068</v>
      </c>
      <c r="T34" s="3">
        <f>order[[#This Row],[quantity]]*order[[#This Row],[selling_price]]</f>
        <v>19314</v>
      </c>
    </row>
    <row r="35" spans="1:20" x14ac:dyDescent="0.3">
      <c r="A35">
        <v>34</v>
      </c>
      <c r="B35" s="11">
        <v>45388</v>
      </c>
      <c r="C35">
        <v>170</v>
      </c>
      <c r="D35" t="str">
        <f>_xlfn.XLOOKUP(order[[#This Row],[customer_id]],customer[customer_id],customer[customer_name])</f>
        <v>Siddharth Jain</v>
      </c>
      <c r="E35">
        <v>207</v>
      </c>
      <c r="F35">
        <v>1</v>
      </c>
      <c r="G35">
        <v>58695</v>
      </c>
      <c r="H35">
        <v>3041</v>
      </c>
      <c r="I35" t="s">
        <v>11</v>
      </c>
      <c r="J35" t="s">
        <v>10</v>
      </c>
      <c r="K35" t="str">
        <f>_xlfn.XLOOKUP(order[[#This Row],[customer_id]],customer[customer_id],customer[city])</f>
        <v>Pune</v>
      </c>
      <c r="L35" t="str">
        <f>_xlfn.XLOOKUP(order[[#This Row],[customer_id]],customer[customer_id],customer[state])</f>
        <v>Maharashtra</v>
      </c>
      <c r="M35" t="str">
        <f>_xlfn.XLOOKUP(order[[#This Row],[product_id]],products!$A$2:$A$11,products!$B$2:$B$11)</f>
        <v>Sony WH-1000XM4 Headphones</v>
      </c>
      <c r="N35" s="3" t="str">
        <f>_xlfn.XLOOKUP(order[[#This Row],[product_id]],products!$A$2:$A$11,products!$C$2:$C$11)</f>
        <v>Electronics</v>
      </c>
      <c r="O35" s="3">
        <f>_xlfn.XLOOKUP(order[[#This Row],[product_id]],Table4[product_id],Table4[cost_price])</f>
        <v>20000</v>
      </c>
      <c r="P35" s="11">
        <f>_xlfn.XLOOKUP(order[[#This Row],[order_id]],shipment[order_id],shipment[ship_date])</f>
        <v>45625</v>
      </c>
      <c r="Q35" s="11">
        <f>_xlfn.XLOOKUP(order[[#This Row],[order_id]],shipment[order_id],shipment[delivery_date])</f>
        <v>45632</v>
      </c>
      <c r="R35" s="3" t="str">
        <f>_xlfn.XLOOKUP(order[[#This Row],[order_id]],shipment[shipment_id],shipment[courier])</f>
        <v>BlueDart</v>
      </c>
      <c r="S35" s="3">
        <f>order[[#This Row],[selling_price]]-order[[#This Row],[cost_price]]*order[[#This Row],[quantity]]-order[[#This Row],[discount]]</f>
        <v>35654</v>
      </c>
      <c r="T35" s="3">
        <f>order[[#This Row],[quantity]]*order[[#This Row],[selling_price]]</f>
        <v>58695</v>
      </c>
    </row>
    <row r="36" spans="1:20" x14ac:dyDescent="0.3">
      <c r="A36">
        <v>35</v>
      </c>
      <c r="B36" s="11">
        <v>45633</v>
      </c>
      <c r="C36">
        <v>231</v>
      </c>
      <c r="D36" t="str">
        <f>_xlfn.XLOOKUP(order[[#This Row],[customer_id]],customer[customer_id],customer[customer_name])</f>
        <v>Neha Kapoor</v>
      </c>
      <c r="E36">
        <v>205</v>
      </c>
      <c r="F36">
        <v>1</v>
      </c>
      <c r="G36">
        <v>62617</v>
      </c>
      <c r="H36">
        <v>1107</v>
      </c>
      <c r="I36" t="s">
        <v>9</v>
      </c>
      <c r="J36" t="s">
        <v>14</v>
      </c>
      <c r="K36" t="str">
        <f>_xlfn.XLOOKUP(order[[#This Row],[customer_id]],customer[customer_id],customer[city])</f>
        <v>Hyderabad</v>
      </c>
      <c r="L36" t="str">
        <f>_xlfn.XLOOKUP(order[[#This Row],[customer_id]],customer[customer_id],customer[state])</f>
        <v>Telangana</v>
      </c>
      <c r="M36" t="str">
        <f>_xlfn.XLOOKUP(order[[#This Row],[product_id]],products!$A$2:$A$11,products!$B$2:$B$11)</f>
        <v>Prestige Pressure Cooker 5L</v>
      </c>
      <c r="N36" s="3" t="str">
        <f>_xlfn.XLOOKUP(order[[#This Row],[product_id]],products!$A$2:$A$11,products!$C$2:$C$11)</f>
        <v>Home &amp; Kitchen</v>
      </c>
      <c r="O36" s="3">
        <f>_xlfn.XLOOKUP(order[[#This Row],[product_id]],Table4[product_id],Table4[cost_price])</f>
        <v>1200</v>
      </c>
      <c r="P36" s="11">
        <f>_xlfn.XLOOKUP(order[[#This Row],[order_id]],shipment[order_id],shipment[ship_date])</f>
        <v>45481</v>
      </c>
      <c r="Q36" s="11">
        <f>_xlfn.XLOOKUP(order[[#This Row],[order_id]],shipment[order_id],shipment[delivery_date])</f>
        <v>45486</v>
      </c>
      <c r="R36" s="3" t="str">
        <f>_xlfn.XLOOKUP(order[[#This Row],[order_id]],shipment[shipment_id],shipment[courier])</f>
        <v>BlueDart</v>
      </c>
      <c r="S36" s="3">
        <f>order[[#This Row],[selling_price]]-order[[#This Row],[cost_price]]*order[[#This Row],[quantity]]-order[[#This Row],[discount]]</f>
        <v>60310</v>
      </c>
      <c r="T36" s="3">
        <f>order[[#This Row],[quantity]]*order[[#This Row],[selling_price]]</f>
        <v>62617</v>
      </c>
    </row>
    <row r="37" spans="1:20" x14ac:dyDescent="0.3">
      <c r="A37">
        <v>36</v>
      </c>
      <c r="B37" s="11">
        <v>45537</v>
      </c>
      <c r="C37">
        <v>198</v>
      </c>
      <c r="D37" t="str">
        <f>_xlfn.XLOOKUP(order[[#This Row],[customer_id]],customer[customer_id],customer[customer_name])</f>
        <v>Ananya Gupta</v>
      </c>
      <c r="E37">
        <v>206</v>
      </c>
      <c r="F37">
        <v>2</v>
      </c>
      <c r="G37">
        <v>65091</v>
      </c>
      <c r="H37">
        <v>2200</v>
      </c>
      <c r="I37" t="s">
        <v>11</v>
      </c>
      <c r="J37" t="s">
        <v>10</v>
      </c>
      <c r="K37" t="str">
        <f>_xlfn.XLOOKUP(order[[#This Row],[customer_id]],customer[customer_id],customer[city])</f>
        <v>Bangalore</v>
      </c>
      <c r="L37" t="str">
        <f>_xlfn.XLOOKUP(order[[#This Row],[customer_id]],customer[customer_id],customer[state])</f>
        <v>Karnataka</v>
      </c>
      <c r="M37" t="str">
        <f>_xlfn.XLOOKUP(order[[#This Row],[product_id]],products!$A$2:$A$11,products!$B$2:$B$11)</f>
        <v>Philips Air Fryer</v>
      </c>
      <c r="N37" s="3" t="str">
        <f>_xlfn.XLOOKUP(order[[#This Row],[product_id]],products!$A$2:$A$11,products!$C$2:$C$11)</f>
        <v>Home &amp; Kitchen</v>
      </c>
      <c r="O37" s="3">
        <f>_xlfn.XLOOKUP(order[[#This Row],[product_id]],Table4[product_id],Table4[cost_price])</f>
        <v>7000</v>
      </c>
      <c r="P37" s="11">
        <f>_xlfn.XLOOKUP(order[[#This Row],[order_id]],shipment[order_id],shipment[ship_date])</f>
        <v>45452</v>
      </c>
      <c r="Q37" s="11">
        <f>_xlfn.XLOOKUP(order[[#This Row],[order_id]],shipment[order_id],shipment[delivery_date])</f>
        <v>45453</v>
      </c>
      <c r="R37" s="3" t="str">
        <f>_xlfn.XLOOKUP(order[[#This Row],[order_id]],shipment[shipment_id],shipment[courier])</f>
        <v>Ekart</v>
      </c>
      <c r="S37" s="3">
        <f>order[[#This Row],[selling_price]]-order[[#This Row],[cost_price]]*order[[#This Row],[quantity]]-order[[#This Row],[discount]]</f>
        <v>48891</v>
      </c>
      <c r="T37" s="3">
        <f>order[[#This Row],[quantity]]*order[[#This Row],[selling_price]]</f>
        <v>130182</v>
      </c>
    </row>
    <row r="38" spans="1:20" x14ac:dyDescent="0.3">
      <c r="A38">
        <v>37</v>
      </c>
      <c r="B38" s="11">
        <v>45652</v>
      </c>
      <c r="C38">
        <v>149</v>
      </c>
      <c r="D38" t="str">
        <f>_xlfn.XLOOKUP(order[[#This Row],[customer_id]],customer[customer_id],customer[customer_name])</f>
        <v>Karan Patel</v>
      </c>
      <c r="E38">
        <v>208</v>
      </c>
      <c r="F38">
        <v>3</v>
      </c>
      <c r="G38">
        <v>38132</v>
      </c>
      <c r="H38">
        <v>3344</v>
      </c>
      <c r="I38" t="s">
        <v>9</v>
      </c>
      <c r="J38" t="s">
        <v>14</v>
      </c>
      <c r="K38" t="str">
        <f>_xlfn.XLOOKUP(order[[#This Row],[customer_id]],customer[customer_id],customer[city])</f>
        <v>Delhi</v>
      </c>
      <c r="L38" t="str">
        <f>_xlfn.XLOOKUP(order[[#This Row],[customer_id]],customer[customer_id],customer[state])</f>
        <v>Delhi</v>
      </c>
      <c r="M38" t="str">
        <f>_xlfn.XLOOKUP(order[[#This Row],[product_id]],products!$A$2:$A$11,products!$B$2:$B$11)</f>
        <v>Adidas Ultraboost Shoes</v>
      </c>
      <c r="N38" s="3" t="str">
        <f>_xlfn.XLOOKUP(order[[#This Row],[product_id]],products!$A$2:$A$11,products!$C$2:$C$11)</f>
        <v>Fashion</v>
      </c>
      <c r="O38" s="3">
        <f>_xlfn.XLOOKUP(order[[#This Row],[product_id]],Table4[product_id],Table4[cost_price])</f>
        <v>9000</v>
      </c>
      <c r="P38" s="11">
        <f>_xlfn.XLOOKUP(order[[#This Row],[order_id]],shipment[order_id],shipment[ship_date])</f>
        <v>45390</v>
      </c>
      <c r="Q38" s="11">
        <f>_xlfn.XLOOKUP(order[[#This Row],[order_id]],shipment[order_id],shipment[delivery_date])</f>
        <v>45399</v>
      </c>
      <c r="R38" s="3" t="str">
        <f>_xlfn.XLOOKUP(order[[#This Row],[order_id]],shipment[shipment_id],shipment[courier])</f>
        <v>Ekart</v>
      </c>
      <c r="S38" s="3">
        <f>order[[#This Row],[selling_price]]-order[[#This Row],[cost_price]]*order[[#This Row],[quantity]]-order[[#This Row],[discount]]</f>
        <v>7788</v>
      </c>
      <c r="T38" s="3">
        <f>order[[#This Row],[quantity]]*order[[#This Row],[selling_price]]</f>
        <v>114396</v>
      </c>
    </row>
    <row r="39" spans="1:20" x14ac:dyDescent="0.3">
      <c r="A39">
        <v>38</v>
      </c>
      <c r="B39" s="11">
        <v>45413</v>
      </c>
      <c r="C39">
        <v>237</v>
      </c>
      <c r="D39" t="str">
        <f>_xlfn.XLOOKUP(order[[#This Row],[customer_id]],customer[customer_id],customer[customer_name])</f>
        <v>Ananya Gupta</v>
      </c>
      <c r="E39">
        <v>208</v>
      </c>
      <c r="F39">
        <v>3</v>
      </c>
      <c r="G39">
        <v>46739</v>
      </c>
      <c r="H39">
        <v>769</v>
      </c>
      <c r="I39" t="s">
        <v>13</v>
      </c>
      <c r="J39" t="s">
        <v>12</v>
      </c>
      <c r="K39" t="str">
        <f>_xlfn.XLOOKUP(order[[#This Row],[customer_id]],customer[customer_id],customer[city])</f>
        <v>Hyderabad</v>
      </c>
      <c r="L39" t="str">
        <f>_xlfn.XLOOKUP(order[[#This Row],[customer_id]],customer[customer_id],customer[state])</f>
        <v>Telangana</v>
      </c>
      <c r="M39" t="str">
        <f>_xlfn.XLOOKUP(order[[#This Row],[product_id]],products!$A$2:$A$11,products!$B$2:$B$11)</f>
        <v>Adidas Ultraboost Shoes</v>
      </c>
      <c r="N39" s="3" t="str">
        <f>_xlfn.XLOOKUP(order[[#This Row],[product_id]],products!$A$2:$A$11,products!$C$2:$C$11)</f>
        <v>Fashion</v>
      </c>
      <c r="O39" s="3">
        <f>_xlfn.XLOOKUP(order[[#This Row],[product_id]],Table4[product_id],Table4[cost_price])</f>
        <v>9000</v>
      </c>
      <c r="P39" s="11">
        <f>_xlfn.XLOOKUP(order[[#This Row],[order_id]],shipment[order_id],shipment[ship_date])</f>
        <v>45455</v>
      </c>
      <c r="Q39" s="11">
        <f>_xlfn.XLOOKUP(order[[#This Row],[order_id]],shipment[order_id],shipment[delivery_date])</f>
        <v>45456</v>
      </c>
      <c r="R39" s="3" t="str">
        <f>_xlfn.XLOOKUP(order[[#This Row],[order_id]],shipment[shipment_id],shipment[courier])</f>
        <v>Delhivery</v>
      </c>
      <c r="S39" s="3">
        <f>order[[#This Row],[selling_price]]-order[[#This Row],[cost_price]]*order[[#This Row],[quantity]]-order[[#This Row],[discount]]</f>
        <v>18970</v>
      </c>
      <c r="T39" s="3">
        <f>order[[#This Row],[quantity]]*order[[#This Row],[selling_price]]</f>
        <v>140217</v>
      </c>
    </row>
    <row r="40" spans="1:20" x14ac:dyDescent="0.3">
      <c r="A40">
        <v>702</v>
      </c>
      <c r="B40" s="11">
        <v>45486</v>
      </c>
      <c r="C40">
        <v>134</v>
      </c>
      <c r="D40" t="str">
        <f>_xlfn.XLOOKUP(order[[#This Row],[customer_id]],customer[customer_id],customer[customer_name])</f>
        <v>Rohit Verma</v>
      </c>
      <c r="E40">
        <v>201</v>
      </c>
      <c r="F40">
        <v>3</v>
      </c>
      <c r="G40">
        <v>46150</v>
      </c>
      <c r="H40">
        <v>4302</v>
      </c>
      <c r="I40" t="s">
        <v>11</v>
      </c>
      <c r="J40" t="s">
        <v>14</v>
      </c>
      <c r="K40" t="str">
        <f>_xlfn.XLOOKUP(order[[#This Row],[customer_id]],customer[customer_id],customer[city])</f>
        <v>Hyderabad</v>
      </c>
      <c r="L40" t="str">
        <f>_xlfn.XLOOKUP(order[[#This Row],[customer_id]],customer[customer_id],customer[state])</f>
        <v>Telangana</v>
      </c>
      <c r="M40" t="str">
        <f>_xlfn.XLOOKUP(order[[#This Row],[product_id]],products!$A$2:$A$11,products!$B$2:$B$11)</f>
        <v>iPhone 13</v>
      </c>
      <c r="N40" s="3" t="str">
        <f>_xlfn.XLOOKUP(order[[#This Row],[product_id]],products!$A$2:$A$11,products!$C$2:$C$11)</f>
        <v>Electronics</v>
      </c>
      <c r="O40" s="3">
        <f>_xlfn.XLOOKUP(order[[#This Row],[product_id]],Table4[product_id],Table4[cost_price])</f>
        <v>52000</v>
      </c>
      <c r="P40" s="11">
        <f>_xlfn.XLOOKUP(order[[#This Row],[order_id]],shipment[order_id],shipment[ship_date])</f>
        <v>45535</v>
      </c>
      <c r="Q40" s="11">
        <f>_xlfn.XLOOKUP(order[[#This Row],[order_id]],shipment[order_id],shipment[delivery_date])</f>
        <v>45545</v>
      </c>
      <c r="R40" s="3" t="str">
        <f>_xlfn.XLOOKUP(order[[#This Row],[order_id]],shipment[shipment_id],shipment[courier])</f>
        <v>Delhivery</v>
      </c>
      <c r="S40" s="3">
        <f>order[[#This Row],[selling_price]]-order[[#This Row],[cost_price]]*order[[#This Row],[quantity]]-order[[#This Row],[discount]]</f>
        <v>-114152</v>
      </c>
      <c r="T40" s="3">
        <f>order[[#This Row],[quantity]]*order[[#This Row],[selling_price]]</f>
        <v>138450</v>
      </c>
    </row>
    <row r="41" spans="1:20" x14ac:dyDescent="0.3">
      <c r="A41">
        <v>9</v>
      </c>
      <c r="B41" s="11">
        <v>45585</v>
      </c>
      <c r="C41">
        <v>287</v>
      </c>
      <c r="D41" t="str">
        <f>_xlfn.XLOOKUP(order[[#This Row],[customer_id]],customer[customer_id],customer[customer_name])</f>
        <v>Karan Patel</v>
      </c>
      <c r="E41">
        <v>201</v>
      </c>
      <c r="F41">
        <v>1</v>
      </c>
      <c r="G41">
        <v>15816</v>
      </c>
      <c r="H41">
        <v>4223</v>
      </c>
      <c r="I41" t="s">
        <v>11</v>
      </c>
      <c r="J41" t="s">
        <v>12</v>
      </c>
      <c r="K41" t="str">
        <f>_xlfn.XLOOKUP(order[[#This Row],[customer_id]],customer[customer_id],customer[city])</f>
        <v>Chennai</v>
      </c>
      <c r="L41" t="str">
        <f>_xlfn.XLOOKUP(order[[#This Row],[customer_id]],customer[customer_id],customer[state])</f>
        <v>Tamil Nadu</v>
      </c>
      <c r="M41" t="str">
        <f>_xlfn.XLOOKUP(order[[#This Row],[product_id]],products!$A$2:$A$11,products!$B$2:$B$11)</f>
        <v>iPhone 13</v>
      </c>
      <c r="N41" s="3" t="str">
        <f>_xlfn.XLOOKUP(order[[#This Row],[product_id]],products!$A$2:$A$11,products!$C$2:$C$11)</f>
        <v>Electronics</v>
      </c>
      <c r="O41" s="3">
        <f>_xlfn.XLOOKUP(order[[#This Row],[product_id]],Table4[product_id],Table4[cost_price])</f>
        <v>52000</v>
      </c>
      <c r="P41" s="11">
        <f>_xlfn.XLOOKUP(order[[#This Row],[order_id]],shipment[order_id],shipment[ship_date])</f>
        <v>45536</v>
      </c>
      <c r="Q41" s="11">
        <f>_xlfn.XLOOKUP(order[[#This Row],[order_id]],shipment[order_id],shipment[delivery_date])</f>
        <v>45544</v>
      </c>
      <c r="R41" s="3" t="str">
        <f>_xlfn.XLOOKUP(order[[#This Row],[order_id]],shipment[shipment_id],shipment[courier])</f>
        <v>BlueDart</v>
      </c>
      <c r="S41" s="3">
        <f>order[[#This Row],[selling_price]]-order[[#This Row],[cost_price]]*order[[#This Row],[quantity]]-order[[#This Row],[discount]]</f>
        <v>-40407</v>
      </c>
      <c r="T41" s="3">
        <f>order[[#This Row],[quantity]]*order[[#This Row],[selling_price]]</f>
        <v>15816</v>
      </c>
    </row>
    <row r="42" spans="1:20" x14ac:dyDescent="0.3">
      <c r="A42">
        <v>41</v>
      </c>
      <c r="B42" s="11">
        <v>45530</v>
      </c>
      <c r="C42">
        <v>134</v>
      </c>
      <c r="D42" t="str">
        <f>_xlfn.XLOOKUP(order[[#This Row],[customer_id]],customer[customer_id],customer[customer_name])</f>
        <v>Rohit Verma</v>
      </c>
      <c r="E42">
        <v>205</v>
      </c>
      <c r="F42">
        <v>1</v>
      </c>
      <c r="G42">
        <v>59685</v>
      </c>
      <c r="H42">
        <v>4762</v>
      </c>
      <c r="I42" t="s">
        <v>13</v>
      </c>
      <c r="J42" t="s">
        <v>14</v>
      </c>
      <c r="K42" t="str">
        <f>_xlfn.XLOOKUP(order[[#This Row],[customer_id]],customer[customer_id],customer[city])</f>
        <v>Hyderabad</v>
      </c>
      <c r="L42" t="str">
        <f>_xlfn.XLOOKUP(order[[#This Row],[customer_id]],customer[customer_id],customer[state])</f>
        <v>Telangana</v>
      </c>
      <c r="M42" t="str">
        <f>_xlfn.XLOOKUP(order[[#This Row],[product_id]],products!$A$2:$A$11,products!$B$2:$B$11)</f>
        <v>Prestige Pressure Cooker 5L</v>
      </c>
      <c r="N42" s="3" t="str">
        <f>_xlfn.XLOOKUP(order[[#This Row],[product_id]],products!$A$2:$A$11,products!$C$2:$C$11)</f>
        <v>Home &amp; Kitchen</v>
      </c>
      <c r="O42" s="3">
        <f>_xlfn.XLOOKUP(order[[#This Row],[product_id]],Table4[product_id],Table4[cost_price])</f>
        <v>1200</v>
      </c>
      <c r="P42" s="11">
        <f>_xlfn.XLOOKUP(order[[#This Row],[order_id]],shipment[order_id],shipment[ship_date])</f>
        <v>45507</v>
      </c>
      <c r="Q42" s="11">
        <f>_xlfn.XLOOKUP(order[[#This Row],[order_id]],shipment[order_id],shipment[delivery_date])</f>
        <v>45514</v>
      </c>
      <c r="R42" s="3" t="str">
        <f>_xlfn.XLOOKUP(order[[#This Row],[order_id]],shipment[shipment_id],shipment[courier])</f>
        <v>Delhivery</v>
      </c>
      <c r="S42" s="3">
        <f>order[[#This Row],[selling_price]]-order[[#This Row],[cost_price]]*order[[#This Row],[quantity]]-order[[#This Row],[discount]]</f>
        <v>53723</v>
      </c>
      <c r="T42" s="3">
        <f>order[[#This Row],[quantity]]*order[[#This Row],[selling_price]]</f>
        <v>59685</v>
      </c>
    </row>
    <row r="43" spans="1:20" x14ac:dyDescent="0.3">
      <c r="A43">
        <v>441</v>
      </c>
      <c r="B43" s="11">
        <v>45391</v>
      </c>
      <c r="C43">
        <v>203</v>
      </c>
      <c r="D43" t="str">
        <f>_xlfn.XLOOKUP(order[[#This Row],[customer_id]],customer[customer_id],customer[customer_name])</f>
        <v>Vikram Singh</v>
      </c>
      <c r="E43">
        <v>201</v>
      </c>
      <c r="F43">
        <v>2</v>
      </c>
      <c r="G43">
        <v>8553</v>
      </c>
      <c r="H43">
        <v>4207</v>
      </c>
      <c r="I43" t="s">
        <v>9</v>
      </c>
      <c r="J43" t="s">
        <v>12</v>
      </c>
      <c r="K43" t="str">
        <f>_xlfn.XLOOKUP(order[[#This Row],[customer_id]],customer[customer_id],customer[city])</f>
        <v>Delhi</v>
      </c>
      <c r="L43" t="str">
        <f>_xlfn.XLOOKUP(order[[#This Row],[customer_id]],customer[customer_id],customer[state])</f>
        <v>Delhi</v>
      </c>
      <c r="M43" t="str">
        <f>_xlfn.XLOOKUP(order[[#This Row],[product_id]],products!$A$2:$A$11,products!$B$2:$B$11)</f>
        <v>iPhone 13</v>
      </c>
      <c r="N43" s="3" t="str">
        <f>_xlfn.XLOOKUP(order[[#This Row],[product_id]],products!$A$2:$A$11,products!$C$2:$C$11)</f>
        <v>Electronics</v>
      </c>
      <c r="O43" s="3">
        <f>_xlfn.XLOOKUP(order[[#This Row],[product_id]],Table4[product_id],Table4[cost_price])</f>
        <v>52000</v>
      </c>
      <c r="P43" s="11">
        <f>_xlfn.XLOOKUP(order[[#This Row],[order_id]],shipment[order_id],shipment[ship_date])</f>
        <v>45502</v>
      </c>
      <c r="Q43" s="11">
        <f>_xlfn.XLOOKUP(order[[#This Row],[order_id]],shipment[order_id],shipment[delivery_date])</f>
        <v>45507</v>
      </c>
      <c r="R43" s="3" t="str">
        <f>_xlfn.XLOOKUP(order[[#This Row],[order_id]],shipment[shipment_id],shipment[courier])</f>
        <v>DTDC</v>
      </c>
      <c r="S43" s="3">
        <f>order[[#This Row],[selling_price]]-order[[#This Row],[cost_price]]*order[[#This Row],[quantity]]-order[[#This Row],[discount]]</f>
        <v>-99654</v>
      </c>
      <c r="T43" s="3">
        <f>order[[#This Row],[quantity]]*order[[#This Row],[selling_price]]</f>
        <v>17106</v>
      </c>
    </row>
    <row r="44" spans="1:20" x14ac:dyDescent="0.3">
      <c r="A44">
        <v>43</v>
      </c>
      <c r="B44" s="11">
        <v>45544</v>
      </c>
      <c r="C44">
        <v>218</v>
      </c>
      <c r="D44" t="str">
        <f>_xlfn.XLOOKUP(order[[#This Row],[customer_id]],customer[customer_id],customer[customer_name])</f>
        <v>Manish Yadav</v>
      </c>
      <c r="E44">
        <v>208</v>
      </c>
      <c r="F44">
        <v>1</v>
      </c>
      <c r="G44">
        <v>36179</v>
      </c>
      <c r="H44">
        <v>4477</v>
      </c>
      <c r="I44" t="s">
        <v>15</v>
      </c>
      <c r="J44" t="s">
        <v>14</v>
      </c>
      <c r="K44" t="str">
        <f>_xlfn.XLOOKUP(order[[#This Row],[customer_id]],customer[customer_id],customer[city])</f>
        <v>Delhi</v>
      </c>
      <c r="L44" t="str">
        <f>_xlfn.XLOOKUP(order[[#This Row],[customer_id]],customer[customer_id],customer[state])</f>
        <v>Delhi</v>
      </c>
      <c r="M44" t="str">
        <f>_xlfn.XLOOKUP(order[[#This Row],[product_id]],products!$A$2:$A$11,products!$B$2:$B$11)</f>
        <v>Adidas Ultraboost Shoes</v>
      </c>
      <c r="N44" s="3" t="str">
        <f>_xlfn.XLOOKUP(order[[#This Row],[product_id]],products!$A$2:$A$11,products!$C$2:$C$11)</f>
        <v>Fashion</v>
      </c>
      <c r="O44" s="3">
        <f>_xlfn.XLOOKUP(order[[#This Row],[product_id]],Table4[product_id],Table4[cost_price])</f>
        <v>9000</v>
      </c>
      <c r="P44" s="11">
        <f>_xlfn.XLOOKUP(order[[#This Row],[order_id]],shipment[order_id],shipment[ship_date])</f>
        <v>45443</v>
      </c>
      <c r="Q44" s="11">
        <f>_xlfn.XLOOKUP(order[[#This Row],[order_id]],shipment[order_id],shipment[delivery_date])</f>
        <v>45447</v>
      </c>
      <c r="R44" s="3" t="str">
        <f>_xlfn.XLOOKUP(order[[#This Row],[order_id]],shipment[shipment_id],shipment[courier])</f>
        <v>BlueDart</v>
      </c>
      <c r="S44" s="3">
        <f>order[[#This Row],[selling_price]]-order[[#This Row],[cost_price]]*order[[#This Row],[quantity]]-order[[#This Row],[discount]]</f>
        <v>22702</v>
      </c>
      <c r="T44" s="3">
        <f>order[[#This Row],[quantity]]*order[[#This Row],[selling_price]]</f>
        <v>36179</v>
      </c>
    </row>
    <row r="45" spans="1:20" x14ac:dyDescent="0.3">
      <c r="A45">
        <v>44</v>
      </c>
      <c r="B45" s="11">
        <v>45345</v>
      </c>
      <c r="C45">
        <v>228</v>
      </c>
      <c r="D45" t="str">
        <f>_xlfn.XLOOKUP(order[[#This Row],[customer_id]],customer[customer_id],customer[customer_name])</f>
        <v>Priya Reddy</v>
      </c>
      <c r="E45">
        <v>209</v>
      </c>
      <c r="F45">
        <v>2</v>
      </c>
      <c r="G45">
        <v>65575</v>
      </c>
      <c r="H45">
        <v>2133</v>
      </c>
      <c r="I45" t="s">
        <v>11</v>
      </c>
      <c r="J45" t="s">
        <v>12</v>
      </c>
      <c r="K45" t="str">
        <f>_xlfn.XLOOKUP(order[[#This Row],[customer_id]],customer[customer_id],customer[city])</f>
        <v>Chennai</v>
      </c>
      <c r="L45" t="str">
        <f>_xlfn.XLOOKUP(order[[#This Row],[customer_id]],customer[customer_id],customer[state])</f>
        <v>Tamil Nadu</v>
      </c>
      <c r="M45" t="str">
        <f>_xlfn.XLOOKUP(order[[#This Row],[product_id]],products!$A$2:$A$11,products!$B$2:$B$11)</f>
        <v>Milton Thermosteel Bottle</v>
      </c>
      <c r="N45" s="3" t="str">
        <f>_xlfn.XLOOKUP(order[[#This Row],[product_id]],products!$A$2:$A$11,products!$C$2:$C$11)</f>
        <v>Home &amp; Kitchen</v>
      </c>
      <c r="O45" s="3">
        <f>_xlfn.XLOOKUP(order[[#This Row],[product_id]],Table4[product_id],Table4[cost_price])</f>
        <v>800</v>
      </c>
      <c r="P45" s="11">
        <f>_xlfn.XLOOKUP(order[[#This Row],[order_id]],shipment[order_id],shipment[ship_date])</f>
        <v>45542</v>
      </c>
      <c r="Q45" s="11">
        <f>_xlfn.XLOOKUP(order[[#This Row],[order_id]],shipment[order_id],shipment[delivery_date])</f>
        <v>45546</v>
      </c>
      <c r="R45" s="3" t="str">
        <f>_xlfn.XLOOKUP(order[[#This Row],[order_id]],shipment[shipment_id],shipment[courier])</f>
        <v>BlueDart</v>
      </c>
      <c r="S45" s="3">
        <f>order[[#This Row],[selling_price]]-order[[#This Row],[cost_price]]*order[[#This Row],[quantity]]-order[[#This Row],[discount]]</f>
        <v>61842</v>
      </c>
      <c r="T45" s="3">
        <f>order[[#This Row],[quantity]]*order[[#This Row],[selling_price]]</f>
        <v>131150</v>
      </c>
    </row>
    <row r="46" spans="1:20" x14ac:dyDescent="0.3">
      <c r="A46">
        <v>45</v>
      </c>
      <c r="B46" s="11">
        <v>45370</v>
      </c>
      <c r="C46">
        <v>134</v>
      </c>
      <c r="D46" t="str">
        <f>_xlfn.XLOOKUP(order[[#This Row],[customer_id]],customer[customer_id],customer[customer_name])</f>
        <v>Rohit Verma</v>
      </c>
      <c r="E46">
        <v>203</v>
      </c>
      <c r="F46">
        <v>2</v>
      </c>
      <c r="G46">
        <v>33364</v>
      </c>
      <c r="H46">
        <v>1123</v>
      </c>
      <c r="I46" t="s">
        <v>13</v>
      </c>
      <c r="J46" t="s">
        <v>14</v>
      </c>
      <c r="K46" t="str">
        <f>_xlfn.XLOOKUP(order[[#This Row],[customer_id]],customer[customer_id],customer[city])</f>
        <v>Hyderabad</v>
      </c>
      <c r="L46" t="str">
        <f>_xlfn.XLOOKUP(order[[#This Row],[customer_id]],customer[customer_id],customer[state])</f>
        <v>Telangana</v>
      </c>
      <c r="M46" t="str">
        <f>_xlfn.XLOOKUP(order[[#This Row],[product_id]],products!$A$2:$A$11,products!$B$2:$B$11)</f>
        <v>Nike Air Max Shoes</v>
      </c>
      <c r="N46" s="3" t="str">
        <f>_xlfn.XLOOKUP(order[[#This Row],[product_id]],products!$A$2:$A$11,products!$C$2:$C$11)</f>
        <v>Fashion</v>
      </c>
      <c r="O46" s="3">
        <f>_xlfn.XLOOKUP(order[[#This Row],[product_id]],Table4[product_id],Table4[cost_price])</f>
        <v>4000</v>
      </c>
      <c r="P46" s="11">
        <f>_xlfn.XLOOKUP(order[[#This Row],[order_id]],shipment[order_id],shipment[ship_date])</f>
        <v>45596</v>
      </c>
      <c r="Q46" s="11">
        <f>_xlfn.XLOOKUP(order[[#This Row],[order_id]],shipment[order_id],shipment[delivery_date])</f>
        <v>45597</v>
      </c>
      <c r="R46" s="3" t="str">
        <f>_xlfn.XLOOKUP(order[[#This Row],[order_id]],shipment[shipment_id],shipment[courier])</f>
        <v>BlueDart</v>
      </c>
      <c r="S46" s="3">
        <f>order[[#This Row],[selling_price]]-order[[#This Row],[cost_price]]*order[[#This Row],[quantity]]-order[[#This Row],[discount]]</f>
        <v>24241</v>
      </c>
      <c r="T46" s="3">
        <f>order[[#This Row],[quantity]]*order[[#This Row],[selling_price]]</f>
        <v>66728</v>
      </c>
    </row>
    <row r="47" spans="1:20" x14ac:dyDescent="0.3">
      <c r="A47">
        <v>46</v>
      </c>
      <c r="B47" s="11">
        <v>45638</v>
      </c>
      <c r="C47">
        <v>288</v>
      </c>
      <c r="D47" t="str">
        <f>_xlfn.XLOOKUP(order[[#This Row],[customer_id]],customer[customer_id],customer[customer_name])</f>
        <v>Pooja Nair</v>
      </c>
      <c r="E47">
        <v>208</v>
      </c>
      <c r="F47">
        <v>3</v>
      </c>
      <c r="G47">
        <v>48731</v>
      </c>
      <c r="H47">
        <v>3632</v>
      </c>
      <c r="I47" t="s">
        <v>15</v>
      </c>
      <c r="J47" t="s">
        <v>14</v>
      </c>
      <c r="K47" t="str">
        <f>_xlfn.XLOOKUP(order[[#This Row],[customer_id]],customer[customer_id],customer[city])</f>
        <v>Pune</v>
      </c>
      <c r="L47" t="str">
        <f>_xlfn.XLOOKUP(order[[#This Row],[customer_id]],customer[customer_id],customer[state])</f>
        <v>Maharashtra</v>
      </c>
      <c r="M47" t="str">
        <f>_xlfn.XLOOKUP(order[[#This Row],[product_id]],products!$A$2:$A$11,products!$B$2:$B$11)</f>
        <v>Adidas Ultraboost Shoes</v>
      </c>
      <c r="N47" s="3" t="str">
        <f>_xlfn.XLOOKUP(order[[#This Row],[product_id]],products!$A$2:$A$11,products!$C$2:$C$11)</f>
        <v>Fashion</v>
      </c>
      <c r="O47" s="3">
        <f>_xlfn.XLOOKUP(order[[#This Row],[product_id]],Table4[product_id],Table4[cost_price])</f>
        <v>9000</v>
      </c>
      <c r="P47" s="11">
        <f>_xlfn.XLOOKUP(order[[#This Row],[order_id]],shipment[order_id],shipment[ship_date])</f>
        <v>45399</v>
      </c>
      <c r="Q47" s="11">
        <f>_xlfn.XLOOKUP(order[[#This Row],[order_id]],shipment[order_id],shipment[delivery_date])</f>
        <v>45403</v>
      </c>
      <c r="R47" s="3" t="str">
        <f>_xlfn.XLOOKUP(order[[#This Row],[order_id]],shipment[shipment_id],shipment[courier])</f>
        <v>BlueDart</v>
      </c>
      <c r="S47" s="3">
        <f>order[[#This Row],[selling_price]]-order[[#This Row],[cost_price]]*order[[#This Row],[quantity]]-order[[#This Row],[discount]]</f>
        <v>18099</v>
      </c>
      <c r="T47" s="3">
        <f>order[[#This Row],[quantity]]*order[[#This Row],[selling_price]]</f>
        <v>146193</v>
      </c>
    </row>
    <row r="48" spans="1:20" x14ac:dyDescent="0.3">
      <c r="A48">
        <v>47</v>
      </c>
      <c r="B48" s="11">
        <v>45430</v>
      </c>
      <c r="C48">
        <v>299</v>
      </c>
      <c r="D48" t="str">
        <f>_xlfn.XLOOKUP(order[[#This Row],[customer_id]],customer[customer_id],customer[customer_name])</f>
        <v>Sneha Iyer</v>
      </c>
      <c r="E48">
        <v>203</v>
      </c>
      <c r="F48">
        <v>2</v>
      </c>
      <c r="G48">
        <v>62422</v>
      </c>
      <c r="H48">
        <v>1146</v>
      </c>
      <c r="I48" t="s">
        <v>9</v>
      </c>
      <c r="J48" t="s">
        <v>10</v>
      </c>
      <c r="K48" t="str">
        <f>_xlfn.XLOOKUP(order[[#This Row],[customer_id]],customer[customer_id],customer[city])</f>
        <v>Hyderabad</v>
      </c>
      <c r="L48" t="str">
        <f>_xlfn.XLOOKUP(order[[#This Row],[customer_id]],customer[customer_id],customer[state])</f>
        <v>Telangana</v>
      </c>
      <c r="M48" t="str">
        <f>_xlfn.XLOOKUP(order[[#This Row],[product_id]],products!$A$2:$A$11,products!$B$2:$B$11)</f>
        <v>Nike Air Max Shoes</v>
      </c>
      <c r="N48" s="3" t="str">
        <f>_xlfn.XLOOKUP(order[[#This Row],[product_id]],products!$A$2:$A$11,products!$C$2:$C$11)</f>
        <v>Fashion</v>
      </c>
      <c r="O48" s="3">
        <f>_xlfn.XLOOKUP(order[[#This Row],[product_id]],Table4[product_id],Table4[cost_price])</f>
        <v>4000</v>
      </c>
      <c r="P48" s="11">
        <f>_xlfn.XLOOKUP(order[[#This Row],[order_id]],shipment[order_id],shipment[ship_date])</f>
        <v>45654</v>
      </c>
      <c r="Q48" s="11">
        <f>_xlfn.XLOOKUP(order[[#This Row],[order_id]],shipment[order_id],shipment[delivery_date])</f>
        <v>45664</v>
      </c>
      <c r="R48" s="3" t="str">
        <f>_xlfn.XLOOKUP(order[[#This Row],[order_id]],shipment[shipment_id],shipment[courier])</f>
        <v>Delhivery</v>
      </c>
      <c r="S48" s="3">
        <f>order[[#This Row],[selling_price]]-order[[#This Row],[cost_price]]*order[[#This Row],[quantity]]-order[[#This Row],[discount]]</f>
        <v>53276</v>
      </c>
      <c r="T48" s="3">
        <f>order[[#This Row],[quantity]]*order[[#This Row],[selling_price]]</f>
        <v>124844</v>
      </c>
    </row>
    <row r="49" spans="1:20" x14ac:dyDescent="0.3">
      <c r="A49">
        <v>568</v>
      </c>
      <c r="B49" s="11">
        <v>45316</v>
      </c>
      <c r="C49">
        <v>150</v>
      </c>
      <c r="D49" t="str">
        <f>_xlfn.XLOOKUP(order[[#This Row],[customer_id]],customer[customer_id],customer[customer_name])</f>
        <v>Vikram Singh</v>
      </c>
      <c r="E49">
        <v>201</v>
      </c>
      <c r="F49">
        <v>1</v>
      </c>
      <c r="G49">
        <v>15397</v>
      </c>
      <c r="H49">
        <v>4196</v>
      </c>
      <c r="I49" t="s">
        <v>11</v>
      </c>
      <c r="J49" t="s">
        <v>10</v>
      </c>
      <c r="K49" t="str">
        <f>_xlfn.XLOOKUP(order[[#This Row],[customer_id]],customer[customer_id],customer[city])</f>
        <v>Mumbai</v>
      </c>
      <c r="L49" t="str">
        <f>_xlfn.XLOOKUP(order[[#This Row],[customer_id]],customer[customer_id],customer[state])</f>
        <v>Maharashtra</v>
      </c>
      <c r="M49" t="str">
        <f>_xlfn.XLOOKUP(order[[#This Row],[product_id]],products!$A$2:$A$11,products!$B$2:$B$11)</f>
        <v>iPhone 13</v>
      </c>
      <c r="N49" s="3" t="str">
        <f>_xlfn.XLOOKUP(order[[#This Row],[product_id]],products!$A$2:$A$11,products!$C$2:$C$11)</f>
        <v>Electronics</v>
      </c>
      <c r="O49" s="3">
        <f>_xlfn.XLOOKUP(order[[#This Row],[product_id]],Table4[product_id],Table4[cost_price])</f>
        <v>52000</v>
      </c>
      <c r="P49" s="11">
        <f>_xlfn.XLOOKUP(order[[#This Row],[order_id]],shipment[order_id],shipment[ship_date])</f>
        <v>45522</v>
      </c>
      <c r="Q49" s="11">
        <f>_xlfn.XLOOKUP(order[[#This Row],[order_id]],shipment[order_id],shipment[delivery_date])</f>
        <v>45525</v>
      </c>
      <c r="R49" s="3" t="str">
        <f>_xlfn.XLOOKUP(order[[#This Row],[order_id]],shipment[shipment_id],shipment[courier])</f>
        <v>Delhivery</v>
      </c>
      <c r="S49" s="3">
        <f>order[[#This Row],[selling_price]]-order[[#This Row],[cost_price]]*order[[#This Row],[quantity]]-order[[#This Row],[discount]]</f>
        <v>-40799</v>
      </c>
      <c r="T49" s="3">
        <f>order[[#This Row],[quantity]]*order[[#This Row],[selling_price]]</f>
        <v>15397</v>
      </c>
    </row>
    <row r="50" spans="1:20" x14ac:dyDescent="0.3">
      <c r="A50">
        <v>49</v>
      </c>
      <c r="B50" s="11">
        <v>45589</v>
      </c>
      <c r="C50">
        <v>268</v>
      </c>
      <c r="D50" t="str">
        <f>_xlfn.XLOOKUP(order[[#This Row],[customer_id]],customer[customer_id],customer[customer_name])</f>
        <v>Rahul Mehta</v>
      </c>
      <c r="E50">
        <v>206</v>
      </c>
      <c r="F50">
        <v>3</v>
      </c>
      <c r="G50">
        <v>31043</v>
      </c>
      <c r="H50">
        <v>2852</v>
      </c>
      <c r="I50" t="s">
        <v>13</v>
      </c>
      <c r="J50" t="s">
        <v>14</v>
      </c>
      <c r="K50" t="str">
        <f>_xlfn.XLOOKUP(order[[#This Row],[customer_id]],customer[customer_id],customer[city])</f>
        <v>Mumbai</v>
      </c>
      <c r="L50" t="str">
        <f>_xlfn.XLOOKUP(order[[#This Row],[customer_id]],customer[customer_id],customer[state])</f>
        <v>Maharashtra</v>
      </c>
      <c r="M50" t="str">
        <f>_xlfn.XLOOKUP(order[[#This Row],[product_id]],products!$A$2:$A$11,products!$B$2:$B$11)</f>
        <v>Philips Air Fryer</v>
      </c>
      <c r="N50" s="3" t="str">
        <f>_xlfn.XLOOKUP(order[[#This Row],[product_id]],products!$A$2:$A$11,products!$C$2:$C$11)</f>
        <v>Home &amp; Kitchen</v>
      </c>
      <c r="O50" s="3">
        <f>_xlfn.XLOOKUP(order[[#This Row],[product_id]],Table4[product_id],Table4[cost_price])</f>
        <v>7000</v>
      </c>
      <c r="P50" s="11">
        <f>_xlfn.XLOOKUP(order[[#This Row],[order_id]],shipment[order_id],shipment[ship_date])</f>
        <v>45512</v>
      </c>
      <c r="Q50" s="11">
        <f>_xlfn.XLOOKUP(order[[#This Row],[order_id]],shipment[order_id],shipment[delivery_date])</f>
        <v>45516</v>
      </c>
      <c r="R50" s="3" t="str">
        <f>_xlfn.XLOOKUP(order[[#This Row],[order_id]],shipment[shipment_id],shipment[courier])</f>
        <v>Ekart</v>
      </c>
      <c r="S50" s="3">
        <f>order[[#This Row],[selling_price]]-order[[#This Row],[cost_price]]*order[[#This Row],[quantity]]-order[[#This Row],[discount]]</f>
        <v>7191</v>
      </c>
      <c r="T50" s="3">
        <f>order[[#This Row],[quantity]]*order[[#This Row],[selling_price]]</f>
        <v>93129</v>
      </c>
    </row>
    <row r="51" spans="1:20" x14ac:dyDescent="0.3">
      <c r="A51">
        <v>948</v>
      </c>
      <c r="B51" s="11">
        <v>45293</v>
      </c>
      <c r="C51">
        <v>171</v>
      </c>
      <c r="D51" t="str">
        <f>_xlfn.XLOOKUP(order[[#This Row],[customer_id]],customer[customer_id],customer[customer_name])</f>
        <v>Vikram Singh</v>
      </c>
      <c r="E51">
        <v>201</v>
      </c>
      <c r="F51">
        <v>2</v>
      </c>
      <c r="G51">
        <v>1083</v>
      </c>
      <c r="H51">
        <v>4186</v>
      </c>
      <c r="I51" t="s">
        <v>13</v>
      </c>
      <c r="J51" t="s">
        <v>12</v>
      </c>
      <c r="K51" t="str">
        <f>_xlfn.XLOOKUP(order[[#This Row],[customer_id]],customer[customer_id],customer[city])</f>
        <v>Pune</v>
      </c>
      <c r="L51" t="str">
        <f>_xlfn.XLOOKUP(order[[#This Row],[customer_id]],customer[customer_id],customer[state])</f>
        <v>Maharashtra</v>
      </c>
      <c r="M51" t="str">
        <f>_xlfn.XLOOKUP(order[[#This Row],[product_id]],products!$A$2:$A$11,products!$B$2:$B$11)</f>
        <v>iPhone 13</v>
      </c>
      <c r="N51" s="3" t="str">
        <f>_xlfn.XLOOKUP(order[[#This Row],[product_id]],products!$A$2:$A$11,products!$C$2:$C$11)</f>
        <v>Electronics</v>
      </c>
      <c r="O51" s="3">
        <f>_xlfn.XLOOKUP(order[[#This Row],[product_id]],Table4[product_id],Table4[cost_price])</f>
        <v>52000</v>
      </c>
      <c r="P51" s="11">
        <f>_xlfn.XLOOKUP(order[[#This Row],[order_id]],shipment[order_id],shipment[ship_date])</f>
        <v>45640</v>
      </c>
      <c r="Q51" s="11">
        <f>_xlfn.XLOOKUP(order[[#This Row],[order_id]],shipment[order_id],shipment[delivery_date])</f>
        <v>45641</v>
      </c>
      <c r="R51" s="3" t="str">
        <f>_xlfn.XLOOKUP(order[[#This Row],[order_id]],shipment[shipment_id],shipment[courier])</f>
        <v>DTDC</v>
      </c>
      <c r="S51" s="3">
        <f>order[[#This Row],[selling_price]]-order[[#This Row],[cost_price]]*order[[#This Row],[quantity]]-order[[#This Row],[discount]]</f>
        <v>-107103</v>
      </c>
      <c r="T51" s="3">
        <f>order[[#This Row],[quantity]]*order[[#This Row],[selling_price]]</f>
        <v>2166</v>
      </c>
    </row>
    <row r="52" spans="1:20" x14ac:dyDescent="0.3">
      <c r="A52">
        <v>51</v>
      </c>
      <c r="B52" s="11">
        <v>45363</v>
      </c>
      <c r="C52">
        <v>166</v>
      </c>
      <c r="D52" t="str">
        <f>_xlfn.XLOOKUP(order[[#This Row],[customer_id]],customer[customer_id],customer[customer_name])</f>
        <v>Meera Joshi</v>
      </c>
      <c r="E52">
        <v>209</v>
      </c>
      <c r="F52">
        <v>1</v>
      </c>
      <c r="G52">
        <v>28558</v>
      </c>
      <c r="H52">
        <v>1635</v>
      </c>
      <c r="I52" t="s">
        <v>15</v>
      </c>
      <c r="J52" t="s">
        <v>12</v>
      </c>
      <c r="K52" t="str">
        <f>_xlfn.XLOOKUP(order[[#This Row],[customer_id]],customer[customer_id],customer[city])</f>
        <v>Pune</v>
      </c>
      <c r="L52" t="str">
        <f>_xlfn.XLOOKUP(order[[#This Row],[customer_id]],customer[customer_id],customer[state])</f>
        <v>Maharashtra</v>
      </c>
      <c r="M52" t="str">
        <f>_xlfn.XLOOKUP(order[[#This Row],[product_id]],products!$A$2:$A$11,products!$B$2:$B$11)</f>
        <v>Milton Thermosteel Bottle</v>
      </c>
      <c r="N52" s="3" t="str">
        <f>_xlfn.XLOOKUP(order[[#This Row],[product_id]],products!$A$2:$A$11,products!$C$2:$C$11)</f>
        <v>Home &amp; Kitchen</v>
      </c>
      <c r="O52" s="3">
        <f>_xlfn.XLOOKUP(order[[#This Row],[product_id]],Table4[product_id],Table4[cost_price])</f>
        <v>800</v>
      </c>
      <c r="P52" s="11">
        <f>_xlfn.XLOOKUP(order[[#This Row],[order_id]],shipment[order_id],shipment[ship_date])</f>
        <v>45605</v>
      </c>
      <c r="Q52" s="11">
        <f>_xlfn.XLOOKUP(order[[#This Row],[order_id]],shipment[order_id],shipment[delivery_date])</f>
        <v>45614</v>
      </c>
      <c r="R52" s="3" t="str">
        <f>_xlfn.XLOOKUP(order[[#This Row],[order_id]],shipment[shipment_id],shipment[courier])</f>
        <v>Delhivery</v>
      </c>
      <c r="S52" s="3">
        <f>order[[#This Row],[selling_price]]-order[[#This Row],[cost_price]]*order[[#This Row],[quantity]]-order[[#This Row],[discount]]</f>
        <v>26123</v>
      </c>
      <c r="T52" s="3">
        <f>order[[#This Row],[quantity]]*order[[#This Row],[selling_price]]</f>
        <v>28558</v>
      </c>
    </row>
    <row r="53" spans="1:20" x14ac:dyDescent="0.3">
      <c r="A53">
        <v>52</v>
      </c>
      <c r="B53" s="11">
        <v>45508</v>
      </c>
      <c r="C53">
        <v>264</v>
      </c>
      <c r="D53" t="str">
        <f>_xlfn.XLOOKUP(order[[#This Row],[customer_id]],customer[customer_id],customer[customer_name])</f>
        <v>Ishita Bose</v>
      </c>
      <c r="E53">
        <v>204</v>
      </c>
      <c r="F53">
        <v>1</v>
      </c>
      <c r="G53">
        <v>55982</v>
      </c>
      <c r="H53">
        <v>2063</v>
      </c>
      <c r="I53" t="s">
        <v>11</v>
      </c>
      <c r="J53" t="s">
        <v>12</v>
      </c>
      <c r="K53" t="str">
        <f>_xlfn.XLOOKUP(order[[#This Row],[customer_id]],customer[customer_id],customer[city])</f>
        <v>Delhi</v>
      </c>
      <c r="L53" t="str">
        <f>_xlfn.XLOOKUP(order[[#This Row],[customer_id]],customer[customer_id],customer[state])</f>
        <v>Delhi</v>
      </c>
      <c r="M53" t="str">
        <f>_xlfn.XLOOKUP(order[[#This Row],[product_id]],products!$A$2:$A$11,products!$B$2:$B$11)</f>
        <v>Levi's Slim Fit Jeans</v>
      </c>
      <c r="N53" s="3" t="str">
        <f>_xlfn.XLOOKUP(order[[#This Row],[product_id]],products!$A$2:$A$11,products!$C$2:$C$11)</f>
        <v>Fashion</v>
      </c>
      <c r="O53" s="3">
        <f>_xlfn.XLOOKUP(order[[#This Row],[product_id]],Table4[product_id],Table4[cost_price])</f>
        <v>1800</v>
      </c>
      <c r="P53" s="11">
        <f>_xlfn.XLOOKUP(order[[#This Row],[order_id]],shipment[order_id],shipment[ship_date])</f>
        <v>45510</v>
      </c>
      <c r="Q53" s="11">
        <f>_xlfn.XLOOKUP(order[[#This Row],[order_id]],shipment[order_id],shipment[delivery_date])</f>
        <v>45512</v>
      </c>
      <c r="R53" s="3" t="str">
        <f>_xlfn.XLOOKUP(order[[#This Row],[order_id]],shipment[shipment_id],shipment[courier])</f>
        <v>Ekart</v>
      </c>
      <c r="S53" s="3">
        <f>order[[#This Row],[selling_price]]-order[[#This Row],[cost_price]]*order[[#This Row],[quantity]]-order[[#This Row],[discount]]</f>
        <v>52119</v>
      </c>
      <c r="T53" s="3">
        <f>order[[#This Row],[quantity]]*order[[#This Row],[selling_price]]</f>
        <v>55982</v>
      </c>
    </row>
    <row r="54" spans="1:20" x14ac:dyDescent="0.3">
      <c r="A54">
        <v>707</v>
      </c>
      <c r="B54" s="11">
        <v>45589</v>
      </c>
      <c r="C54">
        <v>161</v>
      </c>
      <c r="D54" t="str">
        <f>_xlfn.XLOOKUP(order[[#This Row],[customer_id]],customer[customer_id],customer[customer_name])</f>
        <v>Arjun Nair</v>
      </c>
      <c r="E54">
        <v>201</v>
      </c>
      <c r="F54">
        <v>4</v>
      </c>
      <c r="G54">
        <v>21404</v>
      </c>
      <c r="H54">
        <v>4000</v>
      </c>
      <c r="I54" t="s">
        <v>15</v>
      </c>
      <c r="J54" t="s">
        <v>12</v>
      </c>
      <c r="K54" t="str">
        <f>_xlfn.XLOOKUP(order[[#This Row],[customer_id]],customer[customer_id],customer[city])</f>
        <v>Hyderabad</v>
      </c>
      <c r="L54" t="str">
        <f>_xlfn.XLOOKUP(order[[#This Row],[customer_id]],customer[customer_id],customer[state])</f>
        <v>Telangana</v>
      </c>
      <c r="M54" t="str">
        <f>_xlfn.XLOOKUP(order[[#This Row],[product_id]],products!$A$2:$A$11,products!$B$2:$B$11)</f>
        <v>iPhone 13</v>
      </c>
      <c r="N54" s="3" t="str">
        <f>_xlfn.XLOOKUP(order[[#This Row],[product_id]],products!$A$2:$A$11,products!$C$2:$C$11)</f>
        <v>Electronics</v>
      </c>
      <c r="O54" s="3">
        <f>_xlfn.XLOOKUP(order[[#This Row],[product_id]],Table4[product_id],Table4[cost_price])</f>
        <v>52000</v>
      </c>
      <c r="P54" s="11">
        <f>_xlfn.XLOOKUP(order[[#This Row],[order_id]],shipment[order_id],shipment[ship_date])</f>
        <v>45521</v>
      </c>
      <c r="Q54" s="11">
        <f>_xlfn.XLOOKUP(order[[#This Row],[order_id]],shipment[order_id],shipment[delivery_date])</f>
        <v>45529</v>
      </c>
      <c r="R54" s="3" t="str">
        <f>_xlfn.XLOOKUP(order[[#This Row],[order_id]],shipment[shipment_id],shipment[courier])</f>
        <v>Ekart</v>
      </c>
      <c r="S54" s="3">
        <f>order[[#This Row],[selling_price]]-order[[#This Row],[cost_price]]*order[[#This Row],[quantity]]-order[[#This Row],[discount]]</f>
        <v>-190596</v>
      </c>
      <c r="T54" s="3">
        <f>order[[#This Row],[quantity]]*order[[#This Row],[selling_price]]</f>
        <v>85616</v>
      </c>
    </row>
    <row r="55" spans="1:20" x14ac:dyDescent="0.3">
      <c r="A55">
        <v>710</v>
      </c>
      <c r="B55" s="11">
        <v>45348</v>
      </c>
      <c r="C55">
        <v>125</v>
      </c>
      <c r="D55" t="str">
        <f>_xlfn.XLOOKUP(order[[#This Row],[customer_id]],customer[customer_id],customer[customer_name])</f>
        <v>Vikram Singh</v>
      </c>
      <c r="E55">
        <v>201</v>
      </c>
      <c r="F55">
        <v>1</v>
      </c>
      <c r="G55">
        <v>45027</v>
      </c>
      <c r="H55">
        <v>3942</v>
      </c>
      <c r="I55" t="s">
        <v>9</v>
      </c>
      <c r="J55" t="s">
        <v>10</v>
      </c>
      <c r="K55" t="str">
        <f>_xlfn.XLOOKUP(order[[#This Row],[customer_id]],customer[customer_id],customer[city])</f>
        <v>Chennai</v>
      </c>
      <c r="L55" t="str">
        <f>_xlfn.XLOOKUP(order[[#This Row],[customer_id]],customer[customer_id],customer[state])</f>
        <v>Tamil Nadu</v>
      </c>
      <c r="M55" t="str">
        <f>_xlfn.XLOOKUP(order[[#This Row],[product_id]],products!$A$2:$A$11,products!$B$2:$B$11)</f>
        <v>iPhone 13</v>
      </c>
      <c r="N55" s="3" t="str">
        <f>_xlfn.XLOOKUP(order[[#This Row],[product_id]],products!$A$2:$A$11,products!$C$2:$C$11)</f>
        <v>Electronics</v>
      </c>
      <c r="O55" s="3">
        <f>_xlfn.XLOOKUP(order[[#This Row],[product_id]],Table4[product_id],Table4[cost_price])</f>
        <v>52000</v>
      </c>
      <c r="P55" s="11">
        <f>_xlfn.XLOOKUP(order[[#This Row],[order_id]],shipment[order_id],shipment[ship_date])</f>
        <v>45513</v>
      </c>
      <c r="Q55" s="11">
        <f>_xlfn.XLOOKUP(order[[#This Row],[order_id]],shipment[order_id],shipment[delivery_date])</f>
        <v>45522</v>
      </c>
      <c r="R55" s="3" t="str">
        <f>_xlfn.XLOOKUP(order[[#This Row],[order_id]],shipment[shipment_id],shipment[courier])</f>
        <v>Delhivery</v>
      </c>
      <c r="S55" s="3">
        <f>order[[#This Row],[selling_price]]-order[[#This Row],[cost_price]]*order[[#This Row],[quantity]]-order[[#This Row],[discount]]</f>
        <v>-10915</v>
      </c>
      <c r="T55" s="3">
        <f>order[[#This Row],[quantity]]*order[[#This Row],[selling_price]]</f>
        <v>45027</v>
      </c>
    </row>
    <row r="56" spans="1:20" x14ac:dyDescent="0.3">
      <c r="A56">
        <v>256</v>
      </c>
      <c r="B56" s="11">
        <v>45590</v>
      </c>
      <c r="C56">
        <v>178</v>
      </c>
      <c r="D56" t="str">
        <f>_xlfn.XLOOKUP(order[[#This Row],[customer_id]],customer[customer_id],customer[customer_name])</f>
        <v>Meera Joshi</v>
      </c>
      <c r="E56">
        <v>201</v>
      </c>
      <c r="F56">
        <v>1</v>
      </c>
      <c r="G56">
        <v>43439</v>
      </c>
      <c r="H56">
        <v>3901</v>
      </c>
      <c r="I56" t="s">
        <v>13</v>
      </c>
      <c r="J56" t="s">
        <v>10</v>
      </c>
      <c r="K56" t="str">
        <f>_xlfn.XLOOKUP(order[[#This Row],[customer_id]],customer[customer_id],customer[city])</f>
        <v>Hyderabad</v>
      </c>
      <c r="L56" t="str">
        <f>_xlfn.XLOOKUP(order[[#This Row],[customer_id]],customer[customer_id],customer[state])</f>
        <v>Telangana</v>
      </c>
      <c r="M56" t="str">
        <f>_xlfn.XLOOKUP(order[[#This Row],[product_id]],products!$A$2:$A$11,products!$B$2:$B$11)</f>
        <v>iPhone 13</v>
      </c>
      <c r="N56" s="3" t="str">
        <f>_xlfn.XLOOKUP(order[[#This Row],[product_id]],products!$A$2:$A$11,products!$C$2:$C$11)</f>
        <v>Electronics</v>
      </c>
      <c r="O56" s="3">
        <f>_xlfn.XLOOKUP(order[[#This Row],[product_id]],Table4[product_id],Table4[cost_price])</f>
        <v>52000</v>
      </c>
      <c r="P56" s="11">
        <f>_xlfn.XLOOKUP(order[[#This Row],[order_id]],shipment[order_id],shipment[ship_date])</f>
        <v>45307</v>
      </c>
      <c r="Q56" s="11">
        <f>_xlfn.XLOOKUP(order[[#This Row],[order_id]],shipment[order_id],shipment[delivery_date])</f>
        <v>45313</v>
      </c>
      <c r="R56" s="3" t="str">
        <f>_xlfn.XLOOKUP(order[[#This Row],[order_id]],shipment[shipment_id],shipment[courier])</f>
        <v>Delhivery</v>
      </c>
      <c r="S56" s="3">
        <f>order[[#This Row],[selling_price]]-order[[#This Row],[cost_price]]*order[[#This Row],[quantity]]-order[[#This Row],[discount]]</f>
        <v>-12462</v>
      </c>
      <c r="T56" s="3">
        <f>order[[#This Row],[quantity]]*order[[#This Row],[selling_price]]</f>
        <v>43439</v>
      </c>
    </row>
    <row r="57" spans="1:20" x14ac:dyDescent="0.3">
      <c r="A57">
        <v>688</v>
      </c>
      <c r="B57" s="11">
        <v>45368</v>
      </c>
      <c r="C57">
        <v>161</v>
      </c>
      <c r="D57" t="str">
        <f>_xlfn.XLOOKUP(order[[#This Row],[customer_id]],customer[customer_id],customer[customer_name])</f>
        <v>Arjun Nair</v>
      </c>
      <c r="E57">
        <v>201</v>
      </c>
      <c r="F57">
        <v>4</v>
      </c>
      <c r="G57">
        <v>57925</v>
      </c>
      <c r="H57">
        <v>3868</v>
      </c>
      <c r="I57" t="s">
        <v>11</v>
      </c>
      <c r="J57" t="s">
        <v>10</v>
      </c>
      <c r="K57" t="str">
        <f>_xlfn.XLOOKUP(order[[#This Row],[customer_id]],customer[customer_id],customer[city])</f>
        <v>Hyderabad</v>
      </c>
      <c r="L57" t="str">
        <f>_xlfn.XLOOKUP(order[[#This Row],[customer_id]],customer[customer_id],customer[state])</f>
        <v>Telangana</v>
      </c>
      <c r="M57" t="str">
        <f>_xlfn.XLOOKUP(order[[#This Row],[product_id]],products!$A$2:$A$11,products!$B$2:$B$11)</f>
        <v>iPhone 13</v>
      </c>
      <c r="N57" s="3" t="str">
        <f>_xlfn.XLOOKUP(order[[#This Row],[product_id]],products!$A$2:$A$11,products!$C$2:$C$11)</f>
        <v>Electronics</v>
      </c>
      <c r="O57" s="3">
        <f>_xlfn.XLOOKUP(order[[#This Row],[product_id]],Table4[product_id],Table4[cost_price])</f>
        <v>52000</v>
      </c>
      <c r="P57" s="11">
        <f>_xlfn.XLOOKUP(order[[#This Row],[order_id]],shipment[order_id],shipment[ship_date])</f>
        <v>45420</v>
      </c>
      <c r="Q57" s="11">
        <f>_xlfn.XLOOKUP(order[[#This Row],[order_id]],shipment[order_id],shipment[delivery_date])</f>
        <v>45427</v>
      </c>
      <c r="R57" s="3" t="str">
        <f>_xlfn.XLOOKUP(order[[#This Row],[order_id]],shipment[shipment_id],shipment[courier])</f>
        <v>Ekart</v>
      </c>
      <c r="S57" s="3">
        <f>order[[#This Row],[selling_price]]-order[[#This Row],[cost_price]]*order[[#This Row],[quantity]]-order[[#This Row],[discount]]</f>
        <v>-153943</v>
      </c>
      <c r="T57" s="3">
        <f>order[[#This Row],[quantity]]*order[[#This Row],[selling_price]]</f>
        <v>231700</v>
      </c>
    </row>
    <row r="58" spans="1:20" x14ac:dyDescent="0.3">
      <c r="A58">
        <v>57</v>
      </c>
      <c r="B58" s="11">
        <v>45425</v>
      </c>
      <c r="C58">
        <v>147</v>
      </c>
      <c r="D58" t="str">
        <f>_xlfn.XLOOKUP(order[[#This Row],[customer_id]],customer[customer_id],customer[customer_name])</f>
        <v>Priya Reddy</v>
      </c>
      <c r="E58">
        <v>204</v>
      </c>
      <c r="F58">
        <v>1</v>
      </c>
      <c r="G58">
        <v>55433</v>
      </c>
      <c r="H58">
        <v>865</v>
      </c>
      <c r="I58" t="s">
        <v>11</v>
      </c>
      <c r="J58" t="s">
        <v>12</v>
      </c>
      <c r="K58" t="str">
        <f>_xlfn.XLOOKUP(order[[#This Row],[customer_id]],customer[customer_id],customer[city])</f>
        <v>Delhi</v>
      </c>
      <c r="L58" t="str">
        <f>_xlfn.XLOOKUP(order[[#This Row],[customer_id]],customer[customer_id],customer[state])</f>
        <v>Delhi</v>
      </c>
      <c r="M58" t="str">
        <f>_xlfn.XLOOKUP(order[[#This Row],[product_id]],products!$A$2:$A$11,products!$B$2:$B$11)</f>
        <v>Levi's Slim Fit Jeans</v>
      </c>
      <c r="N58" s="3" t="str">
        <f>_xlfn.XLOOKUP(order[[#This Row],[product_id]],products!$A$2:$A$11,products!$C$2:$C$11)</f>
        <v>Fashion</v>
      </c>
      <c r="O58" s="3">
        <f>_xlfn.XLOOKUP(order[[#This Row],[product_id]],Table4[product_id],Table4[cost_price])</f>
        <v>1800</v>
      </c>
      <c r="P58" s="11">
        <f>_xlfn.XLOOKUP(order[[#This Row],[order_id]],shipment[order_id],shipment[ship_date])</f>
        <v>45530</v>
      </c>
      <c r="Q58" s="11">
        <f>_xlfn.XLOOKUP(order[[#This Row],[order_id]],shipment[order_id],shipment[delivery_date])</f>
        <v>45540</v>
      </c>
      <c r="R58" s="3" t="str">
        <f>_xlfn.XLOOKUP(order[[#This Row],[order_id]],shipment[shipment_id],shipment[courier])</f>
        <v>Delhivery</v>
      </c>
      <c r="S58" s="3">
        <f>order[[#This Row],[selling_price]]-order[[#This Row],[cost_price]]*order[[#This Row],[quantity]]-order[[#This Row],[discount]]</f>
        <v>52768</v>
      </c>
      <c r="T58" s="3">
        <f>order[[#This Row],[quantity]]*order[[#This Row],[selling_price]]</f>
        <v>55433</v>
      </c>
    </row>
    <row r="59" spans="1:20" x14ac:dyDescent="0.3">
      <c r="A59">
        <v>709</v>
      </c>
      <c r="B59" s="11">
        <v>45409</v>
      </c>
      <c r="C59">
        <v>163</v>
      </c>
      <c r="D59" t="str">
        <f>_xlfn.XLOOKUP(order[[#This Row],[customer_id]],customer[customer_id],customer[customer_name])</f>
        <v>Ananya Gupta</v>
      </c>
      <c r="E59">
        <v>201</v>
      </c>
      <c r="F59">
        <v>2</v>
      </c>
      <c r="G59">
        <v>43757</v>
      </c>
      <c r="H59">
        <v>3857</v>
      </c>
      <c r="I59" t="s">
        <v>15</v>
      </c>
      <c r="J59" t="s">
        <v>12</v>
      </c>
      <c r="K59" t="str">
        <f>_xlfn.XLOOKUP(order[[#This Row],[customer_id]],customer[customer_id],customer[city])</f>
        <v>Chennai</v>
      </c>
      <c r="L59" t="str">
        <f>_xlfn.XLOOKUP(order[[#This Row],[customer_id]],customer[customer_id],customer[state])</f>
        <v>Tamil Nadu</v>
      </c>
      <c r="M59" t="str">
        <f>_xlfn.XLOOKUP(order[[#This Row],[product_id]],products!$A$2:$A$11,products!$B$2:$B$11)</f>
        <v>iPhone 13</v>
      </c>
      <c r="N59" s="3" t="str">
        <f>_xlfn.XLOOKUP(order[[#This Row],[product_id]],products!$A$2:$A$11,products!$C$2:$C$11)</f>
        <v>Electronics</v>
      </c>
      <c r="O59" s="3">
        <f>_xlfn.XLOOKUP(order[[#This Row],[product_id]],Table4[product_id],Table4[cost_price])</f>
        <v>52000</v>
      </c>
      <c r="P59" s="11">
        <f>_xlfn.XLOOKUP(order[[#This Row],[order_id]],shipment[order_id],shipment[ship_date])</f>
        <v>45583</v>
      </c>
      <c r="Q59" s="11">
        <f>_xlfn.XLOOKUP(order[[#This Row],[order_id]],shipment[order_id],shipment[delivery_date])</f>
        <v>45593</v>
      </c>
      <c r="R59" s="3" t="str">
        <f>_xlfn.XLOOKUP(order[[#This Row],[order_id]],shipment[shipment_id],shipment[courier])</f>
        <v>BlueDart</v>
      </c>
      <c r="S59" s="3">
        <f>order[[#This Row],[selling_price]]-order[[#This Row],[cost_price]]*order[[#This Row],[quantity]]-order[[#This Row],[discount]]</f>
        <v>-64100</v>
      </c>
      <c r="T59" s="3">
        <f>order[[#This Row],[quantity]]*order[[#This Row],[selling_price]]</f>
        <v>87514</v>
      </c>
    </row>
    <row r="60" spans="1:20" x14ac:dyDescent="0.3">
      <c r="A60">
        <v>930</v>
      </c>
      <c r="B60" s="11">
        <v>45434</v>
      </c>
      <c r="C60">
        <v>169</v>
      </c>
      <c r="D60" t="str">
        <f>_xlfn.XLOOKUP(order[[#This Row],[customer_id]],customer[customer_id],customer[customer_name])</f>
        <v>Vikram Singh</v>
      </c>
      <c r="E60">
        <v>201</v>
      </c>
      <c r="F60">
        <v>2</v>
      </c>
      <c r="G60">
        <v>52162</v>
      </c>
      <c r="H60">
        <v>3806</v>
      </c>
      <c r="I60" t="s">
        <v>15</v>
      </c>
      <c r="J60" t="s">
        <v>10</v>
      </c>
      <c r="K60" t="str">
        <f>_xlfn.XLOOKUP(order[[#This Row],[customer_id]],customer[customer_id],customer[city])</f>
        <v>Ahmedabad</v>
      </c>
      <c r="L60" t="str">
        <f>_xlfn.XLOOKUP(order[[#This Row],[customer_id]],customer[customer_id],customer[state])</f>
        <v>Gujarat</v>
      </c>
      <c r="M60" t="str">
        <f>_xlfn.XLOOKUP(order[[#This Row],[product_id]],products!$A$2:$A$11,products!$B$2:$B$11)</f>
        <v>iPhone 13</v>
      </c>
      <c r="N60" s="3" t="str">
        <f>_xlfn.XLOOKUP(order[[#This Row],[product_id]],products!$A$2:$A$11,products!$C$2:$C$11)</f>
        <v>Electronics</v>
      </c>
      <c r="O60" s="3">
        <f>_xlfn.XLOOKUP(order[[#This Row],[product_id]],Table4[product_id],Table4[cost_price])</f>
        <v>52000</v>
      </c>
      <c r="P60" s="11">
        <f>_xlfn.XLOOKUP(order[[#This Row],[order_id]],shipment[order_id],shipment[ship_date])</f>
        <v>45554</v>
      </c>
      <c r="Q60" s="11">
        <f>_xlfn.XLOOKUP(order[[#This Row],[order_id]],shipment[order_id],shipment[delivery_date])</f>
        <v>45564</v>
      </c>
      <c r="R60" s="3" t="str">
        <f>_xlfn.XLOOKUP(order[[#This Row],[order_id]],shipment[shipment_id],shipment[courier])</f>
        <v>Delhivery</v>
      </c>
      <c r="S60" s="3">
        <f>order[[#This Row],[selling_price]]-order[[#This Row],[cost_price]]*order[[#This Row],[quantity]]-order[[#This Row],[discount]]</f>
        <v>-55644</v>
      </c>
      <c r="T60" s="3">
        <f>order[[#This Row],[quantity]]*order[[#This Row],[selling_price]]</f>
        <v>104324</v>
      </c>
    </row>
    <row r="61" spans="1:20" x14ac:dyDescent="0.3">
      <c r="A61">
        <v>328</v>
      </c>
      <c r="B61" s="11">
        <v>45503</v>
      </c>
      <c r="C61">
        <v>172</v>
      </c>
      <c r="D61" t="str">
        <f>_xlfn.XLOOKUP(order[[#This Row],[customer_id]],customer[customer_id],customer[customer_name])</f>
        <v>Pooja Nair</v>
      </c>
      <c r="E61">
        <v>201</v>
      </c>
      <c r="F61">
        <v>4</v>
      </c>
      <c r="G61">
        <v>58526</v>
      </c>
      <c r="H61">
        <v>3798</v>
      </c>
      <c r="I61" t="s">
        <v>13</v>
      </c>
      <c r="J61" t="s">
        <v>10</v>
      </c>
      <c r="K61" t="str">
        <f>_xlfn.XLOOKUP(order[[#This Row],[customer_id]],customer[customer_id],customer[city])</f>
        <v>Mumbai</v>
      </c>
      <c r="L61" t="str">
        <f>_xlfn.XLOOKUP(order[[#This Row],[customer_id]],customer[customer_id],customer[state])</f>
        <v>Maharashtra</v>
      </c>
      <c r="M61" t="str">
        <f>_xlfn.XLOOKUP(order[[#This Row],[product_id]],products!$A$2:$A$11,products!$B$2:$B$11)</f>
        <v>iPhone 13</v>
      </c>
      <c r="N61" s="3" t="str">
        <f>_xlfn.XLOOKUP(order[[#This Row],[product_id]],products!$A$2:$A$11,products!$C$2:$C$11)</f>
        <v>Electronics</v>
      </c>
      <c r="O61" s="3">
        <f>_xlfn.XLOOKUP(order[[#This Row],[product_id]],Table4[product_id],Table4[cost_price])</f>
        <v>52000</v>
      </c>
      <c r="P61" s="11">
        <f>_xlfn.XLOOKUP(order[[#This Row],[order_id]],shipment[order_id],shipment[ship_date])</f>
        <v>45632</v>
      </c>
      <c r="Q61" s="11">
        <f>_xlfn.XLOOKUP(order[[#This Row],[order_id]],shipment[order_id],shipment[delivery_date])</f>
        <v>45633</v>
      </c>
      <c r="R61" s="3" t="str">
        <f>_xlfn.XLOOKUP(order[[#This Row],[order_id]],shipment[shipment_id],shipment[courier])</f>
        <v>DTDC</v>
      </c>
      <c r="S61" s="3">
        <f>order[[#This Row],[selling_price]]-order[[#This Row],[cost_price]]*order[[#This Row],[quantity]]-order[[#This Row],[discount]]</f>
        <v>-153272</v>
      </c>
      <c r="T61" s="3">
        <f>order[[#This Row],[quantity]]*order[[#This Row],[selling_price]]</f>
        <v>234104</v>
      </c>
    </row>
    <row r="62" spans="1:20" x14ac:dyDescent="0.3">
      <c r="A62">
        <v>61</v>
      </c>
      <c r="B62" s="11">
        <v>45554</v>
      </c>
      <c r="C62">
        <v>124</v>
      </c>
      <c r="D62" t="str">
        <f>_xlfn.XLOOKUP(order[[#This Row],[customer_id]],customer[customer_id],customer[customer_name])</f>
        <v>Neha Kapoor</v>
      </c>
      <c r="E62">
        <v>206</v>
      </c>
      <c r="F62">
        <v>4</v>
      </c>
      <c r="G62">
        <v>58494</v>
      </c>
      <c r="H62">
        <v>510</v>
      </c>
      <c r="I62" t="s">
        <v>9</v>
      </c>
      <c r="J62" t="s">
        <v>14</v>
      </c>
      <c r="K62" t="str">
        <f>_xlfn.XLOOKUP(order[[#This Row],[customer_id]],customer[customer_id],customer[city])</f>
        <v>Mumbai</v>
      </c>
      <c r="L62" t="str">
        <f>_xlfn.XLOOKUP(order[[#This Row],[customer_id]],customer[customer_id],customer[state])</f>
        <v>Maharashtra</v>
      </c>
      <c r="M62" t="str">
        <f>_xlfn.XLOOKUP(order[[#This Row],[product_id]],products!$A$2:$A$11,products!$B$2:$B$11)</f>
        <v>Philips Air Fryer</v>
      </c>
      <c r="N62" s="3" t="str">
        <f>_xlfn.XLOOKUP(order[[#This Row],[product_id]],products!$A$2:$A$11,products!$C$2:$C$11)</f>
        <v>Home &amp; Kitchen</v>
      </c>
      <c r="O62" s="3">
        <f>_xlfn.XLOOKUP(order[[#This Row],[product_id]],Table4[product_id],Table4[cost_price])</f>
        <v>7000</v>
      </c>
      <c r="P62" s="11">
        <f>_xlfn.XLOOKUP(order[[#This Row],[order_id]],shipment[order_id],shipment[ship_date])</f>
        <v>45392</v>
      </c>
      <c r="Q62" s="11">
        <f>_xlfn.XLOOKUP(order[[#This Row],[order_id]],shipment[order_id],shipment[delivery_date])</f>
        <v>45401</v>
      </c>
      <c r="R62" s="3" t="str">
        <f>_xlfn.XLOOKUP(order[[#This Row],[order_id]],shipment[shipment_id],shipment[courier])</f>
        <v>Ekart</v>
      </c>
      <c r="S62" s="3">
        <f>order[[#This Row],[selling_price]]-order[[#This Row],[cost_price]]*order[[#This Row],[quantity]]-order[[#This Row],[discount]]</f>
        <v>29984</v>
      </c>
      <c r="T62" s="3">
        <f>order[[#This Row],[quantity]]*order[[#This Row],[selling_price]]</f>
        <v>233976</v>
      </c>
    </row>
    <row r="63" spans="1:20" x14ac:dyDescent="0.3">
      <c r="A63">
        <v>62</v>
      </c>
      <c r="B63" s="11">
        <v>45499</v>
      </c>
      <c r="C63">
        <v>221</v>
      </c>
      <c r="D63" t="str">
        <f>_xlfn.XLOOKUP(order[[#This Row],[customer_id]],customer[customer_id],customer[customer_name])</f>
        <v>Manish Yadav</v>
      </c>
      <c r="E63">
        <v>205</v>
      </c>
      <c r="F63">
        <v>2</v>
      </c>
      <c r="G63">
        <v>25019</v>
      </c>
      <c r="H63">
        <v>3226</v>
      </c>
      <c r="I63" t="s">
        <v>11</v>
      </c>
      <c r="J63" t="s">
        <v>14</v>
      </c>
      <c r="K63" t="str">
        <f>_xlfn.XLOOKUP(order[[#This Row],[customer_id]],customer[customer_id],customer[city])</f>
        <v>Bangalore</v>
      </c>
      <c r="L63" t="str">
        <f>_xlfn.XLOOKUP(order[[#This Row],[customer_id]],customer[customer_id],customer[state])</f>
        <v>Karnataka</v>
      </c>
      <c r="M63" t="str">
        <f>_xlfn.XLOOKUP(order[[#This Row],[product_id]],products!$A$2:$A$11,products!$B$2:$B$11)</f>
        <v>Prestige Pressure Cooker 5L</v>
      </c>
      <c r="N63" s="3" t="str">
        <f>_xlfn.XLOOKUP(order[[#This Row],[product_id]],products!$A$2:$A$11,products!$C$2:$C$11)</f>
        <v>Home &amp; Kitchen</v>
      </c>
      <c r="O63" s="3">
        <f>_xlfn.XLOOKUP(order[[#This Row],[product_id]],Table4[product_id],Table4[cost_price])</f>
        <v>1200</v>
      </c>
      <c r="P63" s="11">
        <f>_xlfn.XLOOKUP(order[[#This Row],[order_id]],shipment[order_id],shipment[ship_date])</f>
        <v>45641</v>
      </c>
      <c r="Q63" s="11">
        <f>_xlfn.XLOOKUP(order[[#This Row],[order_id]],shipment[order_id],shipment[delivery_date])</f>
        <v>45651</v>
      </c>
      <c r="R63" s="3" t="str">
        <f>_xlfn.XLOOKUP(order[[#This Row],[order_id]],shipment[shipment_id],shipment[courier])</f>
        <v>BlueDart</v>
      </c>
      <c r="S63" s="3">
        <f>order[[#This Row],[selling_price]]-order[[#This Row],[cost_price]]*order[[#This Row],[quantity]]-order[[#This Row],[discount]]</f>
        <v>19393</v>
      </c>
      <c r="T63" s="3">
        <f>order[[#This Row],[quantity]]*order[[#This Row],[selling_price]]</f>
        <v>50038</v>
      </c>
    </row>
    <row r="64" spans="1:20" x14ac:dyDescent="0.3">
      <c r="A64">
        <v>612</v>
      </c>
      <c r="B64" s="11">
        <v>45439</v>
      </c>
      <c r="C64">
        <v>126</v>
      </c>
      <c r="D64" t="str">
        <f>_xlfn.XLOOKUP(order[[#This Row],[customer_id]],customer[customer_id],customer[customer_name])</f>
        <v>Meera Joshi</v>
      </c>
      <c r="E64">
        <v>201</v>
      </c>
      <c r="F64">
        <v>4</v>
      </c>
      <c r="G64">
        <v>60230</v>
      </c>
      <c r="H64">
        <v>3796</v>
      </c>
      <c r="I64" t="s">
        <v>9</v>
      </c>
      <c r="J64" t="s">
        <v>14</v>
      </c>
      <c r="K64" t="str">
        <f>_xlfn.XLOOKUP(order[[#This Row],[customer_id]],customer[customer_id],customer[city])</f>
        <v>Mumbai</v>
      </c>
      <c r="L64" t="str">
        <f>_xlfn.XLOOKUP(order[[#This Row],[customer_id]],customer[customer_id],customer[state])</f>
        <v>Maharashtra</v>
      </c>
      <c r="M64" t="str">
        <f>_xlfn.XLOOKUP(order[[#This Row],[product_id]],products!$A$2:$A$11,products!$B$2:$B$11)</f>
        <v>iPhone 13</v>
      </c>
      <c r="N64" s="3" t="str">
        <f>_xlfn.XLOOKUP(order[[#This Row],[product_id]],products!$A$2:$A$11,products!$C$2:$C$11)</f>
        <v>Electronics</v>
      </c>
      <c r="O64" s="3">
        <f>_xlfn.XLOOKUP(order[[#This Row],[product_id]],Table4[product_id],Table4[cost_price])</f>
        <v>52000</v>
      </c>
      <c r="P64" s="11">
        <f>_xlfn.XLOOKUP(order[[#This Row],[order_id]],shipment[order_id],shipment[ship_date])</f>
        <v>45326</v>
      </c>
      <c r="Q64" s="11">
        <f>_xlfn.XLOOKUP(order[[#This Row],[order_id]],shipment[order_id],shipment[delivery_date])</f>
        <v>45330</v>
      </c>
      <c r="R64" s="3" t="str">
        <f>_xlfn.XLOOKUP(order[[#This Row],[order_id]],shipment[shipment_id],shipment[courier])</f>
        <v>DTDC</v>
      </c>
      <c r="S64" s="3">
        <f>order[[#This Row],[selling_price]]-order[[#This Row],[cost_price]]*order[[#This Row],[quantity]]-order[[#This Row],[discount]]</f>
        <v>-151566</v>
      </c>
      <c r="T64" s="3">
        <f>order[[#This Row],[quantity]]*order[[#This Row],[selling_price]]</f>
        <v>240920</v>
      </c>
    </row>
    <row r="65" spans="1:20" x14ac:dyDescent="0.3">
      <c r="A65">
        <v>100</v>
      </c>
      <c r="B65" s="11">
        <v>45388</v>
      </c>
      <c r="C65">
        <v>260</v>
      </c>
      <c r="D65" t="str">
        <f>_xlfn.XLOOKUP(order[[#This Row],[customer_id]],customer[customer_id],customer[customer_name])</f>
        <v>Neha Kapoor</v>
      </c>
      <c r="E65">
        <v>201</v>
      </c>
      <c r="F65">
        <v>1</v>
      </c>
      <c r="G65">
        <v>20128</v>
      </c>
      <c r="H65">
        <v>3663</v>
      </c>
      <c r="I65" t="s">
        <v>9</v>
      </c>
      <c r="J65" t="s">
        <v>10</v>
      </c>
      <c r="K65" t="str">
        <f>_xlfn.XLOOKUP(order[[#This Row],[customer_id]],customer[customer_id],customer[city])</f>
        <v>Bangalore</v>
      </c>
      <c r="L65" t="str">
        <f>_xlfn.XLOOKUP(order[[#This Row],[customer_id]],customer[customer_id],customer[state])</f>
        <v>Karnataka</v>
      </c>
      <c r="M65" t="str">
        <f>_xlfn.XLOOKUP(order[[#This Row],[product_id]],products!$A$2:$A$11,products!$B$2:$B$11)</f>
        <v>iPhone 13</v>
      </c>
      <c r="N65" s="3" t="str">
        <f>_xlfn.XLOOKUP(order[[#This Row],[product_id]],products!$A$2:$A$11,products!$C$2:$C$11)</f>
        <v>Electronics</v>
      </c>
      <c r="O65" s="3">
        <f>_xlfn.XLOOKUP(order[[#This Row],[product_id]],Table4[product_id],Table4[cost_price])</f>
        <v>52000</v>
      </c>
      <c r="P65" s="11">
        <f>_xlfn.XLOOKUP(order[[#This Row],[order_id]],shipment[order_id],shipment[ship_date])</f>
        <v>45340</v>
      </c>
      <c r="Q65" s="11">
        <f>_xlfn.XLOOKUP(order[[#This Row],[order_id]],shipment[order_id],shipment[delivery_date])</f>
        <v>45350</v>
      </c>
      <c r="R65" s="3" t="str">
        <f>_xlfn.XLOOKUP(order[[#This Row],[order_id]],shipment[shipment_id],shipment[courier])</f>
        <v>Delhivery</v>
      </c>
      <c r="S65" s="3">
        <f>order[[#This Row],[selling_price]]-order[[#This Row],[cost_price]]*order[[#This Row],[quantity]]-order[[#This Row],[discount]]</f>
        <v>-35535</v>
      </c>
      <c r="T65" s="3">
        <f>order[[#This Row],[quantity]]*order[[#This Row],[selling_price]]</f>
        <v>20128</v>
      </c>
    </row>
    <row r="66" spans="1:20" x14ac:dyDescent="0.3">
      <c r="A66">
        <v>65</v>
      </c>
      <c r="B66" s="11">
        <v>45486</v>
      </c>
      <c r="C66">
        <v>212</v>
      </c>
      <c r="D66" t="str">
        <f>_xlfn.XLOOKUP(order[[#This Row],[customer_id]],customer[customer_id],customer[customer_name])</f>
        <v>Vikram Singh</v>
      </c>
      <c r="E66">
        <v>205</v>
      </c>
      <c r="F66">
        <v>1</v>
      </c>
      <c r="G66">
        <v>19099</v>
      </c>
      <c r="H66">
        <v>4711</v>
      </c>
      <c r="I66" t="s">
        <v>15</v>
      </c>
      <c r="J66" t="s">
        <v>14</v>
      </c>
      <c r="K66" t="str">
        <f>_xlfn.XLOOKUP(order[[#This Row],[customer_id]],customer[customer_id],customer[city])</f>
        <v>Ahmedabad</v>
      </c>
      <c r="L66" t="str">
        <f>_xlfn.XLOOKUP(order[[#This Row],[customer_id]],customer[customer_id],customer[state])</f>
        <v>Gujarat</v>
      </c>
      <c r="M66" t="str">
        <f>_xlfn.XLOOKUP(order[[#This Row],[product_id]],products!$A$2:$A$11,products!$B$2:$B$11)</f>
        <v>Prestige Pressure Cooker 5L</v>
      </c>
      <c r="N66" s="3" t="str">
        <f>_xlfn.XLOOKUP(order[[#This Row],[product_id]],products!$A$2:$A$11,products!$C$2:$C$11)</f>
        <v>Home &amp; Kitchen</v>
      </c>
      <c r="O66" s="3">
        <f>_xlfn.XLOOKUP(order[[#This Row],[product_id]],Table4[product_id],Table4[cost_price])</f>
        <v>1200</v>
      </c>
      <c r="P66" s="11">
        <f>_xlfn.XLOOKUP(order[[#This Row],[order_id]],shipment[order_id],shipment[ship_date])</f>
        <v>45485</v>
      </c>
      <c r="Q66" s="11">
        <f>_xlfn.XLOOKUP(order[[#This Row],[order_id]],shipment[order_id],shipment[delivery_date])</f>
        <v>45492</v>
      </c>
      <c r="R66" s="3" t="str">
        <f>_xlfn.XLOOKUP(order[[#This Row],[order_id]],shipment[shipment_id],shipment[courier])</f>
        <v>DTDC</v>
      </c>
      <c r="S66" s="3">
        <f>order[[#This Row],[selling_price]]-order[[#This Row],[cost_price]]*order[[#This Row],[quantity]]-order[[#This Row],[discount]]</f>
        <v>13188</v>
      </c>
      <c r="T66" s="3">
        <f>order[[#This Row],[quantity]]*order[[#This Row],[selling_price]]</f>
        <v>19099</v>
      </c>
    </row>
    <row r="67" spans="1:20" x14ac:dyDescent="0.3">
      <c r="A67">
        <v>825</v>
      </c>
      <c r="B67" s="11">
        <v>45319</v>
      </c>
      <c r="C67">
        <v>216</v>
      </c>
      <c r="D67" t="str">
        <f>_xlfn.XLOOKUP(order[[#This Row],[customer_id]],customer[customer_id],customer[customer_name])</f>
        <v>Karan Patel</v>
      </c>
      <c r="E67">
        <v>201</v>
      </c>
      <c r="F67">
        <v>2</v>
      </c>
      <c r="G67">
        <v>47898</v>
      </c>
      <c r="H67">
        <v>3592</v>
      </c>
      <c r="I67" t="s">
        <v>11</v>
      </c>
      <c r="J67" t="s">
        <v>14</v>
      </c>
      <c r="K67" t="str">
        <f>_xlfn.XLOOKUP(order[[#This Row],[customer_id]],customer[customer_id],customer[city])</f>
        <v>Pune</v>
      </c>
      <c r="L67" t="str">
        <f>_xlfn.XLOOKUP(order[[#This Row],[customer_id]],customer[customer_id],customer[state])</f>
        <v>Maharashtra</v>
      </c>
      <c r="M67" t="str">
        <f>_xlfn.XLOOKUP(order[[#This Row],[product_id]],products!$A$2:$A$11,products!$B$2:$B$11)</f>
        <v>iPhone 13</v>
      </c>
      <c r="N67" s="3" t="str">
        <f>_xlfn.XLOOKUP(order[[#This Row],[product_id]],products!$A$2:$A$11,products!$C$2:$C$11)</f>
        <v>Electronics</v>
      </c>
      <c r="O67" s="3">
        <f>_xlfn.XLOOKUP(order[[#This Row],[product_id]],Table4[product_id],Table4[cost_price])</f>
        <v>52000</v>
      </c>
      <c r="P67" s="11">
        <f>_xlfn.XLOOKUP(order[[#This Row],[order_id]],shipment[order_id],shipment[ship_date])</f>
        <v>45401</v>
      </c>
      <c r="Q67" s="11">
        <f>_xlfn.XLOOKUP(order[[#This Row],[order_id]],shipment[order_id],shipment[delivery_date])</f>
        <v>45410</v>
      </c>
      <c r="R67" s="3" t="str">
        <f>_xlfn.XLOOKUP(order[[#This Row],[order_id]],shipment[shipment_id],shipment[courier])</f>
        <v>Delhivery</v>
      </c>
      <c r="S67" s="3">
        <f>order[[#This Row],[selling_price]]-order[[#This Row],[cost_price]]*order[[#This Row],[quantity]]-order[[#This Row],[discount]]</f>
        <v>-59694</v>
      </c>
      <c r="T67" s="3">
        <f>order[[#This Row],[quantity]]*order[[#This Row],[selling_price]]</f>
        <v>95796</v>
      </c>
    </row>
    <row r="68" spans="1:20" x14ac:dyDescent="0.3">
      <c r="A68">
        <v>67</v>
      </c>
      <c r="B68" s="11">
        <v>45584</v>
      </c>
      <c r="C68">
        <v>184</v>
      </c>
      <c r="D68" t="str">
        <f>_xlfn.XLOOKUP(order[[#This Row],[customer_id]],customer[customer_id],customer[customer_name])</f>
        <v>Arjun Nair</v>
      </c>
      <c r="E68">
        <v>210</v>
      </c>
      <c r="F68">
        <v>2</v>
      </c>
      <c r="G68">
        <v>68195</v>
      </c>
      <c r="H68">
        <v>2608</v>
      </c>
      <c r="I68" t="s">
        <v>9</v>
      </c>
      <c r="J68" t="s">
        <v>10</v>
      </c>
      <c r="K68" t="str">
        <f>_xlfn.XLOOKUP(order[[#This Row],[customer_id]],customer[customer_id],customer[city])</f>
        <v>Delhi</v>
      </c>
      <c r="L68" t="str">
        <f>_xlfn.XLOOKUP(order[[#This Row],[customer_id]],customer[customer_id],customer[state])</f>
        <v>Delhi</v>
      </c>
      <c r="M68" t="str">
        <f>_xlfn.XLOOKUP(order[[#This Row],[product_id]],products!$A$2:$A$11,products!$B$2:$B$11)</f>
        <v>LG 43 Inch Smart TV</v>
      </c>
      <c r="N68" s="3" t="str">
        <f>_xlfn.XLOOKUP(order[[#This Row],[product_id]],products!$A$2:$A$11,products!$C$2:$C$11)</f>
        <v>Electronics</v>
      </c>
      <c r="O68" s="3">
        <f>_xlfn.XLOOKUP(order[[#This Row],[product_id]],Table4[product_id],Table4[cost_price])</f>
        <v>30000</v>
      </c>
      <c r="P68" s="11">
        <f>_xlfn.XLOOKUP(order[[#This Row],[order_id]],shipment[order_id],shipment[ship_date])</f>
        <v>45471</v>
      </c>
      <c r="Q68" s="11">
        <f>_xlfn.XLOOKUP(order[[#This Row],[order_id]],shipment[order_id],shipment[delivery_date])</f>
        <v>45481</v>
      </c>
      <c r="R68" s="3" t="str">
        <f>_xlfn.XLOOKUP(order[[#This Row],[order_id]],shipment[shipment_id],shipment[courier])</f>
        <v>Ekart</v>
      </c>
      <c r="S68" s="3">
        <f>order[[#This Row],[selling_price]]-order[[#This Row],[cost_price]]*order[[#This Row],[quantity]]-order[[#This Row],[discount]]</f>
        <v>5587</v>
      </c>
      <c r="T68" s="3">
        <f>order[[#This Row],[quantity]]*order[[#This Row],[selling_price]]</f>
        <v>136390</v>
      </c>
    </row>
    <row r="69" spans="1:20" x14ac:dyDescent="0.3">
      <c r="A69">
        <v>68</v>
      </c>
      <c r="B69" s="11">
        <v>45643</v>
      </c>
      <c r="C69">
        <v>200</v>
      </c>
      <c r="D69" t="str">
        <f>_xlfn.XLOOKUP(order[[#This Row],[customer_id]],customer[customer_id],customer[customer_name])</f>
        <v>Sneha Iyer</v>
      </c>
      <c r="E69">
        <v>205</v>
      </c>
      <c r="F69">
        <v>3</v>
      </c>
      <c r="G69">
        <v>20362</v>
      </c>
      <c r="H69">
        <v>482</v>
      </c>
      <c r="I69" t="s">
        <v>13</v>
      </c>
      <c r="J69" t="s">
        <v>10</v>
      </c>
      <c r="K69" t="str">
        <f>_xlfn.XLOOKUP(order[[#This Row],[customer_id]],customer[customer_id],customer[city])</f>
        <v>Hyderabad</v>
      </c>
      <c r="L69" t="str">
        <f>_xlfn.XLOOKUP(order[[#This Row],[customer_id]],customer[customer_id],customer[state])</f>
        <v>Telangana</v>
      </c>
      <c r="M69" t="str">
        <f>_xlfn.XLOOKUP(order[[#This Row],[product_id]],products!$A$2:$A$11,products!$B$2:$B$11)</f>
        <v>Prestige Pressure Cooker 5L</v>
      </c>
      <c r="N69" s="3" t="str">
        <f>_xlfn.XLOOKUP(order[[#This Row],[product_id]],products!$A$2:$A$11,products!$C$2:$C$11)</f>
        <v>Home &amp; Kitchen</v>
      </c>
      <c r="O69" s="3">
        <f>_xlfn.XLOOKUP(order[[#This Row],[product_id]],Table4[product_id],Table4[cost_price])</f>
        <v>1200</v>
      </c>
      <c r="P69" s="11">
        <f>_xlfn.XLOOKUP(order[[#This Row],[order_id]],shipment[order_id],shipment[ship_date])</f>
        <v>45438</v>
      </c>
      <c r="Q69" s="11">
        <f>_xlfn.XLOOKUP(order[[#This Row],[order_id]],shipment[order_id],shipment[delivery_date])</f>
        <v>45447</v>
      </c>
      <c r="R69" s="3" t="str">
        <f>_xlfn.XLOOKUP(order[[#This Row],[order_id]],shipment[shipment_id],shipment[courier])</f>
        <v>DTDC</v>
      </c>
      <c r="S69" s="3">
        <f>order[[#This Row],[selling_price]]-order[[#This Row],[cost_price]]*order[[#This Row],[quantity]]-order[[#This Row],[discount]]</f>
        <v>16280</v>
      </c>
      <c r="T69" s="3">
        <f>order[[#This Row],[quantity]]*order[[#This Row],[selling_price]]</f>
        <v>61086</v>
      </c>
    </row>
    <row r="70" spans="1:20" x14ac:dyDescent="0.3">
      <c r="A70">
        <v>69</v>
      </c>
      <c r="B70" s="11">
        <v>45317</v>
      </c>
      <c r="C70">
        <v>141</v>
      </c>
      <c r="D70" t="str">
        <f>_xlfn.XLOOKUP(order[[#This Row],[customer_id]],customer[customer_id],customer[customer_name])</f>
        <v>Neha Kapoor</v>
      </c>
      <c r="E70">
        <v>209</v>
      </c>
      <c r="F70">
        <v>3</v>
      </c>
      <c r="G70">
        <v>20948</v>
      </c>
      <c r="H70">
        <v>4211</v>
      </c>
      <c r="I70" t="s">
        <v>15</v>
      </c>
      <c r="J70" t="s">
        <v>10</v>
      </c>
      <c r="K70" t="str">
        <f>_xlfn.XLOOKUP(order[[#This Row],[customer_id]],customer[customer_id],customer[city])</f>
        <v>Ahmedabad</v>
      </c>
      <c r="L70" t="str">
        <f>_xlfn.XLOOKUP(order[[#This Row],[customer_id]],customer[customer_id],customer[state])</f>
        <v>Gujarat</v>
      </c>
      <c r="M70" t="str">
        <f>_xlfn.XLOOKUP(order[[#This Row],[product_id]],products!$A$2:$A$11,products!$B$2:$B$11)</f>
        <v>Milton Thermosteel Bottle</v>
      </c>
      <c r="N70" s="3" t="str">
        <f>_xlfn.XLOOKUP(order[[#This Row],[product_id]],products!$A$2:$A$11,products!$C$2:$C$11)</f>
        <v>Home &amp; Kitchen</v>
      </c>
      <c r="O70" s="3">
        <f>_xlfn.XLOOKUP(order[[#This Row],[product_id]],Table4[product_id],Table4[cost_price])</f>
        <v>800</v>
      </c>
      <c r="P70" s="11">
        <f>_xlfn.XLOOKUP(order[[#This Row],[order_id]],shipment[order_id],shipment[ship_date])</f>
        <v>45352</v>
      </c>
      <c r="Q70" s="11">
        <f>_xlfn.XLOOKUP(order[[#This Row],[order_id]],shipment[order_id],shipment[delivery_date])</f>
        <v>45361</v>
      </c>
      <c r="R70" s="3" t="str">
        <f>_xlfn.XLOOKUP(order[[#This Row],[order_id]],shipment[shipment_id],shipment[courier])</f>
        <v>Delhivery</v>
      </c>
      <c r="S70" s="3">
        <f>order[[#This Row],[selling_price]]-order[[#This Row],[cost_price]]*order[[#This Row],[quantity]]-order[[#This Row],[discount]]</f>
        <v>14337</v>
      </c>
      <c r="T70" s="3">
        <f>order[[#This Row],[quantity]]*order[[#This Row],[selling_price]]</f>
        <v>62844</v>
      </c>
    </row>
    <row r="71" spans="1:20" x14ac:dyDescent="0.3">
      <c r="A71">
        <v>259</v>
      </c>
      <c r="B71" s="11">
        <v>45630</v>
      </c>
      <c r="C71">
        <v>267</v>
      </c>
      <c r="D71" t="str">
        <f>_xlfn.XLOOKUP(order[[#This Row],[customer_id]],customer[customer_id],customer[customer_name])</f>
        <v>Neha Kapoor</v>
      </c>
      <c r="E71">
        <v>201</v>
      </c>
      <c r="F71">
        <v>4</v>
      </c>
      <c r="G71">
        <v>30943</v>
      </c>
      <c r="H71">
        <v>3583</v>
      </c>
      <c r="I71" t="s">
        <v>15</v>
      </c>
      <c r="J71" t="s">
        <v>10</v>
      </c>
      <c r="K71" t="str">
        <f>_xlfn.XLOOKUP(order[[#This Row],[customer_id]],customer[customer_id],customer[city])</f>
        <v>Hyderabad</v>
      </c>
      <c r="L71" t="str">
        <f>_xlfn.XLOOKUP(order[[#This Row],[customer_id]],customer[customer_id],customer[state])</f>
        <v>Telangana</v>
      </c>
      <c r="M71" t="str">
        <f>_xlfn.XLOOKUP(order[[#This Row],[product_id]],products!$A$2:$A$11,products!$B$2:$B$11)</f>
        <v>iPhone 13</v>
      </c>
      <c r="N71" s="3" t="str">
        <f>_xlfn.XLOOKUP(order[[#This Row],[product_id]],products!$A$2:$A$11,products!$C$2:$C$11)</f>
        <v>Electronics</v>
      </c>
      <c r="O71" s="3">
        <f>_xlfn.XLOOKUP(order[[#This Row],[product_id]],Table4[product_id],Table4[cost_price])</f>
        <v>52000</v>
      </c>
      <c r="P71" s="11">
        <f>_xlfn.XLOOKUP(order[[#This Row],[order_id]],shipment[order_id],shipment[ship_date])</f>
        <v>45526</v>
      </c>
      <c r="Q71" s="11">
        <f>_xlfn.XLOOKUP(order[[#This Row],[order_id]],shipment[order_id],shipment[delivery_date])</f>
        <v>45534</v>
      </c>
      <c r="R71" s="3" t="str">
        <f>_xlfn.XLOOKUP(order[[#This Row],[order_id]],shipment[shipment_id],shipment[courier])</f>
        <v>DTDC</v>
      </c>
      <c r="S71" s="3">
        <f>order[[#This Row],[selling_price]]-order[[#This Row],[cost_price]]*order[[#This Row],[quantity]]-order[[#This Row],[discount]]</f>
        <v>-180640</v>
      </c>
      <c r="T71" s="3">
        <f>order[[#This Row],[quantity]]*order[[#This Row],[selling_price]]</f>
        <v>123772</v>
      </c>
    </row>
    <row r="72" spans="1:20" x14ac:dyDescent="0.3">
      <c r="A72">
        <v>71</v>
      </c>
      <c r="B72" s="11">
        <v>45541</v>
      </c>
      <c r="C72">
        <v>133</v>
      </c>
      <c r="D72" t="str">
        <f>_xlfn.XLOOKUP(order[[#This Row],[customer_id]],customer[customer_id],customer[customer_name])</f>
        <v>Manish Yadav</v>
      </c>
      <c r="E72">
        <v>204</v>
      </c>
      <c r="F72">
        <v>4</v>
      </c>
      <c r="G72">
        <v>10401</v>
      </c>
      <c r="H72">
        <v>334</v>
      </c>
      <c r="I72" t="s">
        <v>11</v>
      </c>
      <c r="J72" t="s">
        <v>10</v>
      </c>
      <c r="K72" t="str">
        <f>_xlfn.XLOOKUP(order[[#This Row],[customer_id]],customer[customer_id],customer[city])</f>
        <v>Hyderabad</v>
      </c>
      <c r="L72" t="str">
        <f>_xlfn.XLOOKUP(order[[#This Row],[customer_id]],customer[customer_id],customer[state])</f>
        <v>Telangana</v>
      </c>
      <c r="M72" t="str">
        <f>_xlfn.XLOOKUP(order[[#This Row],[product_id]],products!$A$2:$A$11,products!$B$2:$B$11)</f>
        <v>Levi's Slim Fit Jeans</v>
      </c>
      <c r="N72" s="3" t="str">
        <f>_xlfn.XLOOKUP(order[[#This Row],[product_id]],products!$A$2:$A$11,products!$C$2:$C$11)</f>
        <v>Fashion</v>
      </c>
      <c r="O72" s="3">
        <f>_xlfn.XLOOKUP(order[[#This Row],[product_id]],Table4[product_id],Table4[cost_price])</f>
        <v>1800</v>
      </c>
      <c r="P72" s="11">
        <f>_xlfn.XLOOKUP(order[[#This Row],[order_id]],shipment[order_id],shipment[ship_date])</f>
        <v>45330</v>
      </c>
      <c r="Q72" s="11">
        <f>_xlfn.XLOOKUP(order[[#This Row],[order_id]],shipment[order_id],shipment[delivery_date])</f>
        <v>45337</v>
      </c>
      <c r="R72" s="3" t="str">
        <f>_xlfn.XLOOKUP(order[[#This Row],[order_id]],shipment[shipment_id],shipment[courier])</f>
        <v>Delhivery</v>
      </c>
      <c r="S72" s="3">
        <f>order[[#This Row],[selling_price]]-order[[#This Row],[cost_price]]*order[[#This Row],[quantity]]-order[[#This Row],[discount]]</f>
        <v>2867</v>
      </c>
      <c r="T72" s="3">
        <f>order[[#This Row],[quantity]]*order[[#This Row],[selling_price]]</f>
        <v>41604</v>
      </c>
    </row>
    <row r="73" spans="1:20" x14ac:dyDescent="0.3">
      <c r="A73">
        <v>53</v>
      </c>
      <c r="B73" s="11">
        <v>45341</v>
      </c>
      <c r="C73">
        <v>111</v>
      </c>
      <c r="D73" t="str">
        <f>_xlfn.XLOOKUP(order[[#This Row],[customer_id]],customer[customer_id],customer[customer_name])</f>
        <v>Ishita Bose</v>
      </c>
      <c r="E73">
        <v>201</v>
      </c>
      <c r="F73">
        <v>4</v>
      </c>
      <c r="G73">
        <v>39294</v>
      </c>
      <c r="H73">
        <v>3542</v>
      </c>
      <c r="I73" t="s">
        <v>13</v>
      </c>
      <c r="J73" t="s">
        <v>10</v>
      </c>
      <c r="K73" t="str">
        <f>_xlfn.XLOOKUP(order[[#This Row],[customer_id]],customer[customer_id],customer[city])</f>
        <v>Ahmedabad</v>
      </c>
      <c r="L73" t="str">
        <f>_xlfn.XLOOKUP(order[[#This Row],[customer_id]],customer[customer_id],customer[state])</f>
        <v>Gujarat</v>
      </c>
      <c r="M73" t="str">
        <f>_xlfn.XLOOKUP(order[[#This Row],[product_id]],products!$A$2:$A$11,products!$B$2:$B$11)</f>
        <v>iPhone 13</v>
      </c>
      <c r="N73" s="3" t="str">
        <f>_xlfn.XLOOKUP(order[[#This Row],[product_id]],products!$A$2:$A$11,products!$C$2:$C$11)</f>
        <v>Electronics</v>
      </c>
      <c r="O73" s="3">
        <f>_xlfn.XLOOKUP(order[[#This Row],[product_id]],Table4[product_id],Table4[cost_price])</f>
        <v>52000</v>
      </c>
      <c r="P73" s="11">
        <f>_xlfn.XLOOKUP(order[[#This Row],[order_id]],shipment[order_id],shipment[ship_date])</f>
        <v>45442</v>
      </c>
      <c r="Q73" s="11">
        <f>_xlfn.XLOOKUP(order[[#This Row],[order_id]],shipment[order_id],shipment[delivery_date])</f>
        <v>45443</v>
      </c>
      <c r="R73" s="3" t="str">
        <f>_xlfn.XLOOKUP(order[[#This Row],[order_id]],shipment[shipment_id],shipment[courier])</f>
        <v>BlueDart</v>
      </c>
      <c r="S73" s="3">
        <f>order[[#This Row],[selling_price]]-order[[#This Row],[cost_price]]*order[[#This Row],[quantity]]-order[[#This Row],[discount]]</f>
        <v>-172248</v>
      </c>
      <c r="T73" s="3">
        <f>order[[#This Row],[quantity]]*order[[#This Row],[selling_price]]</f>
        <v>157176</v>
      </c>
    </row>
    <row r="74" spans="1:20" x14ac:dyDescent="0.3">
      <c r="A74">
        <v>749</v>
      </c>
      <c r="B74" s="11">
        <v>45529</v>
      </c>
      <c r="C74">
        <v>206</v>
      </c>
      <c r="D74" t="str">
        <f>_xlfn.XLOOKUP(order[[#This Row],[customer_id]],customer[customer_id],customer[customer_name])</f>
        <v>Ananya Gupta</v>
      </c>
      <c r="E74">
        <v>201</v>
      </c>
      <c r="F74">
        <v>3</v>
      </c>
      <c r="G74">
        <v>11926</v>
      </c>
      <c r="H74">
        <v>3504</v>
      </c>
      <c r="I74" t="s">
        <v>13</v>
      </c>
      <c r="J74" t="s">
        <v>12</v>
      </c>
      <c r="K74" t="str">
        <f>_xlfn.XLOOKUP(order[[#This Row],[customer_id]],customer[customer_id],customer[city])</f>
        <v>Chennai</v>
      </c>
      <c r="L74" t="str">
        <f>_xlfn.XLOOKUP(order[[#This Row],[customer_id]],customer[customer_id],customer[state])</f>
        <v>Tamil Nadu</v>
      </c>
      <c r="M74" t="str">
        <f>_xlfn.XLOOKUP(order[[#This Row],[product_id]],products!$A$2:$A$11,products!$B$2:$B$11)</f>
        <v>iPhone 13</v>
      </c>
      <c r="N74" s="3" t="str">
        <f>_xlfn.XLOOKUP(order[[#This Row],[product_id]],products!$A$2:$A$11,products!$C$2:$C$11)</f>
        <v>Electronics</v>
      </c>
      <c r="O74" s="3">
        <f>_xlfn.XLOOKUP(order[[#This Row],[product_id]],Table4[product_id],Table4[cost_price])</f>
        <v>52000</v>
      </c>
      <c r="P74" s="11">
        <f>_xlfn.XLOOKUP(order[[#This Row],[order_id]],shipment[order_id],shipment[ship_date])</f>
        <v>45544</v>
      </c>
      <c r="Q74" s="11">
        <f>_xlfn.XLOOKUP(order[[#This Row],[order_id]],shipment[order_id],shipment[delivery_date])</f>
        <v>45545</v>
      </c>
      <c r="R74" s="3" t="str">
        <f>_xlfn.XLOOKUP(order[[#This Row],[order_id]],shipment[shipment_id],shipment[courier])</f>
        <v>BlueDart</v>
      </c>
      <c r="S74" s="3">
        <f>order[[#This Row],[selling_price]]-order[[#This Row],[cost_price]]*order[[#This Row],[quantity]]-order[[#This Row],[discount]]</f>
        <v>-147578</v>
      </c>
      <c r="T74" s="3">
        <f>order[[#This Row],[quantity]]*order[[#This Row],[selling_price]]</f>
        <v>35778</v>
      </c>
    </row>
    <row r="75" spans="1:20" x14ac:dyDescent="0.3">
      <c r="A75">
        <v>74</v>
      </c>
      <c r="B75" s="11">
        <v>45445</v>
      </c>
      <c r="C75">
        <v>168</v>
      </c>
      <c r="D75" t="str">
        <f>_xlfn.XLOOKUP(order[[#This Row],[customer_id]],customer[customer_id],customer[customer_name])</f>
        <v>Arjun Nair</v>
      </c>
      <c r="E75">
        <v>204</v>
      </c>
      <c r="F75">
        <v>1</v>
      </c>
      <c r="G75">
        <v>7687</v>
      </c>
      <c r="H75">
        <v>1417</v>
      </c>
      <c r="I75" t="s">
        <v>13</v>
      </c>
      <c r="J75" t="s">
        <v>14</v>
      </c>
      <c r="K75" t="str">
        <f>_xlfn.XLOOKUP(order[[#This Row],[customer_id]],customer[customer_id],customer[city])</f>
        <v>Mumbai</v>
      </c>
      <c r="L75" t="str">
        <f>_xlfn.XLOOKUP(order[[#This Row],[customer_id]],customer[customer_id],customer[state])</f>
        <v>Maharashtra</v>
      </c>
      <c r="M75" t="str">
        <f>_xlfn.XLOOKUP(order[[#This Row],[product_id]],products!$A$2:$A$11,products!$B$2:$B$11)</f>
        <v>Levi's Slim Fit Jeans</v>
      </c>
      <c r="N75" s="3" t="str">
        <f>_xlfn.XLOOKUP(order[[#This Row],[product_id]],products!$A$2:$A$11,products!$C$2:$C$11)</f>
        <v>Fashion</v>
      </c>
      <c r="O75" s="3">
        <f>_xlfn.XLOOKUP(order[[#This Row],[product_id]],Table4[product_id],Table4[cost_price])</f>
        <v>1800</v>
      </c>
      <c r="P75" s="11">
        <f>_xlfn.XLOOKUP(order[[#This Row],[order_id]],shipment[order_id],shipment[ship_date])</f>
        <v>45635</v>
      </c>
      <c r="Q75" s="11">
        <f>_xlfn.XLOOKUP(order[[#This Row],[order_id]],shipment[order_id],shipment[delivery_date])</f>
        <v>45636</v>
      </c>
      <c r="R75" s="3" t="str">
        <f>_xlfn.XLOOKUP(order[[#This Row],[order_id]],shipment[shipment_id],shipment[courier])</f>
        <v>Delhivery</v>
      </c>
      <c r="S75" s="3">
        <f>order[[#This Row],[selling_price]]-order[[#This Row],[cost_price]]*order[[#This Row],[quantity]]-order[[#This Row],[discount]]</f>
        <v>4470</v>
      </c>
      <c r="T75" s="3">
        <f>order[[#This Row],[quantity]]*order[[#This Row],[selling_price]]</f>
        <v>7687</v>
      </c>
    </row>
    <row r="76" spans="1:20" x14ac:dyDescent="0.3">
      <c r="A76">
        <v>75</v>
      </c>
      <c r="B76" s="11">
        <v>45311</v>
      </c>
      <c r="C76">
        <v>152</v>
      </c>
      <c r="D76" t="str">
        <f>_xlfn.XLOOKUP(order[[#This Row],[customer_id]],customer[customer_id],customer[customer_name])</f>
        <v>Manish Yadav</v>
      </c>
      <c r="E76">
        <v>208</v>
      </c>
      <c r="F76">
        <v>1</v>
      </c>
      <c r="G76">
        <v>67874</v>
      </c>
      <c r="H76">
        <v>2442</v>
      </c>
      <c r="I76" t="s">
        <v>13</v>
      </c>
      <c r="J76" t="s">
        <v>12</v>
      </c>
      <c r="K76" t="str">
        <f>_xlfn.XLOOKUP(order[[#This Row],[customer_id]],customer[customer_id],customer[city])</f>
        <v>Bangalore</v>
      </c>
      <c r="L76" t="str">
        <f>_xlfn.XLOOKUP(order[[#This Row],[customer_id]],customer[customer_id],customer[state])</f>
        <v>Karnataka</v>
      </c>
      <c r="M76" t="str">
        <f>_xlfn.XLOOKUP(order[[#This Row],[product_id]],products!$A$2:$A$11,products!$B$2:$B$11)</f>
        <v>Adidas Ultraboost Shoes</v>
      </c>
      <c r="N76" s="3" t="str">
        <f>_xlfn.XLOOKUP(order[[#This Row],[product_id]],products!$A$2:$A$11,products!$C$2:$C$11)</f>
        <v>Fashion</v>
      </c>
      <c r="O76" s="3">
        <f>_xlfn.XLOOKUP(order[[#This Row],[product_id]],Table4[product_id],Table4[cost_price])</f>
        <v>9000</v>
      </c>
      <c r="P76" s="11">
        <f>_xlfn.XLOOKUP(order[[#This Row],[order_id]],shipment[order_id],shipment[ship_date])</f>
        <v>45492</v>
      </c>
      <c r="Q76" s="11">
        <f>_xlfn.XLOOKUP(order[[#This Row],[order_id]],shipment[order_id],shipment[delivery_date])</f>
        <v>45496</v>
      </c>
      <c r="R76" s="3" t="str">
        <f>_xlfn.XLOOKUP(order[[#This Row],[order_id]],shipment[shipment_id],shipment[courier])</f>
        <v>BlueDart</v>
      </c>
      <c r="S76" s="3">
        <f>order[[#This Row],[selling_price]]-order[[#This Row],[cost_price]]*order[[#This Row],[quantity]]-order[[#This Row],[discount]]</f>
        <v>56432</v>
      </c>
      <c r="T76" s="3">
        <f>order[[#This Row],[quantity]]*order[[#This Row],[selling_price]]</f>
        <v>67874</v>
      </c>
    </row>
    <row r="77" spans="1:20" x14ac:dyDescent="0.3">
      <c r="A77">
        <v>76</v>
      </c>
      <c r="B77" s="11">
        <v>45619</v>
      </c>
      <c r="C77">
        <v>215</v>
      </c>
      <c r="D77" t="str">
        <f>_xlfn.XLOOKUP(order[[#This Row],[customer_id]],customer[customer_id],customer[customer_name])</f>
        <v>Priya Reddy</v>
      </c>
      <c r="E77">
        <v>204</v>
      </c>
      <c r="F77">
        <v>4</v>
      </c>
      <c r="G77">
        <v>44099</v>
      </c>
      <c r="H77">
        <v>2338</v>
      </c>
      <c r="I77" t="s">
        <v>9</v>
      </c>
      <c r="J77" t="s">
        <v>12</v>
      </c>
      <c r="K77" t="str">
        <f>_xlfn.XLOOKUP(order[[#This Row],[customer_id]],customer[customer_id],customer[city])</f>
        <v>Chennai</v>
      </c>
      <c r="L77" t="str">
        <f>_xlfn.XLOOKUP(order[[#This Row],[customer_id]],customer[customer_id],customer[state])</f>
        <v>Tamil Nadu</v>
      </c>
      <c r="M77" t="str">
        <f>_xlfn.XLOOKUP(order[[#This Row],[product_id]],products!$A$2:$A$11,products!$B$2:$B$11)</f>
        <v>Levi's Slim Fit Jeans</v>
      </c>
      <c r="N77" s="3" t="str">
        <f>_xlfn.XLOOKUP(order[[#This Row],[product_id]],products!$A$2:$A$11,products!$C$2:$C$11)</f>
        <v>Fashion</v>
      </c>
      <c r="O77" s="3">
        <f>_xlfn.XLOOKUP(order[[#This Row],[product_id]],Table4[product_id],Table4[cost_price])</f>
        <v>1800</v>
      </c>
      <c r="P77" s="11">
        <f>_xlfn.XLOOKUP(order[[#This Row],[order_id]],shipment[order_id],shipment[ship_date])</f>
        <v>45357</v>
      </c>
      <c r="Q77" s="11">
        <f>_xlfn.XLOOKUP(order[[#This Row],[order_id]],shipment[order_id],shipment[delivery_date])</f>
        <v>45359</v>
      </c>
      <c r="R77" s="3" t="str">
        <f>_xlfn.XLOOKUP(order[[#This Row],[order_id]],shipment[shipment_id],shipment[courier])</f>
        <v>BlueDart</v>
      </c>
      <c r="S77" s="3">
        <f>order[[#This Row],[selling_price]]-order[[#This Row],[cost_price]]*order[[#This Row],[quantity]]-order[[#This Row],[discount]]</f>
        <v>34561</v>
      </c>
      <c r="T77" s="3">
        <f>order[[#This Row],[quantity]]*order[[#This Row],[selling_price]]</f>
        <v>176396</v>
      </c>
    </row>
    <row r="78" spans="1:20" x14ac:dyDescent="0.3">
      <c r="A78">
        <v>77</v>
      </c>
      <c r="B78" s="11">
        <v>45441</v>
      </c>
      <c r="C78">
        <v>233</v>
      </c>
      <c r="D78" t="str">
        <f>_xlfn.XLOOKUP(order[[#This Row],[customer_id]],customer[customer_id],customer[customer_name])</f>
        <v>Arjun Nair</v>
      </c>
      <c r="E78">
        <v>203</v>
      </c>
      <c r="F78">
        <v>1</v>
      </c>
      <c r="G78">
        <v>56491</v>
      </c>
      <c r="H78">
        <v>4687</v>
      </c>
      <c r="I78" t="s">
        <v>9</v>
      </c>
      <c r="J78" t="s">
        <v>12</v>
      </c>
      <c r="K78" t="str">
        <f>_xlfn.XLOOKUP(order[[#This Row],[customer_id]],customer[customer_id],customer[city])</f>
        <v>Hyderabad</v>
      </c>
      <c r="L78" t="str">
        <f>_xlfn.XLOOKUP(order[[#This Row],[customer_id]],customer[customer_id],customer[state])</f>
        <v>Telangana</v>
      </c>
      <c r="M78" t="str">
        <f>_xlfn.XLOOKUP(order[[#This Row],[product_id]],products!$A$2:$A$11,products!$B$2:$B$11)</f>
        <v>Nike Air Max Shoes</v>
      </c>
      <c r="N78" s="3" t="str">
        <f>_xlfn.XLOOKUP(order[[#This Row],[product_id]],products!$A$2:$A$11,products!$C$2:$C$11)</f>
        <v>Fashion</v>
      </c>
      <c r="O78" s="3">
        <f>_xlfn.XLOOKUP(order[[#This Row],[product_id]],Table4[product_id],Table4[cost_price])</f>
        <v>4000</v>
      </c>
      <c r="P78" s="11">
        <f>_xlfn.XLOOKUP(order[[#This Row],[order_id]],shipment[order_id],shipment[ship_date])</f>
        <v>45331</v>
      </c>
      <c r="Q78" s="11">
        <f>_xlfn.XLOOKUP(order[[#This Row],[order_id]],shipment[order_id],shipment[delivery_date])</f>
        <v>45332</v>
      </c>
      <c r="R78" s="3" t="str">
        <f>_xlfn.XLOOKUP(order[[#This Row],[order_id]],shipment[shipment_id],shipment[courier])</f>
        <v>Delhivery</v>
      </c>
      <c r="S78" s="3">
        <f>order[[#This Row],[selling_price]]-order[[#This Row],[cost_price]]*order[[#This Row],[quantity]]-order[[#This Row],[discount]]</f>
        <v>47804</v>
      </c>
      <c r="T78" s="3">
        <f>order[[#This Row],[quantity]]*order[[#This Row],[selling_price]]</f>
        <v>56491</v>
      </c>
    </row>
    <row r="79" spans="1:20" x14ac:dyDescent="0.3">
      <c r="A79">
        <v>78</v>
      </c>
      <c r="B79" s="11">
        <v>45591</v>
      </c>
      <c r="C79">
        <v>149</v>
      </c>
      <c r="D79" t="str">
        <f>_xlfn.XLOOKUP(order[[#This Row],[customer_id]],customer[customer_id],customer[customer_name])</f>
        <v>Karan Patel</v>
      </c>
      <c r="E79">
        <v>209</v>
      </c>
      <c r="F79">
        <v>3</v>
      </c>
      <c r="G79">
        <v>66628</v>
      </c>
      <c r="H79">
        <v>307</v>
      </c>
      <c r="I79" t="s">
        <v>13</v>
      </c>
      <c r="J79" t="s">
        <v>14</v>
      </c>
      <c r="K79" t="str">
        <f>_xlfn.XLOOKUP(order[[#This Row],[customer_id]],customer[customer_id],customer[city])</f>
        <v>Delhi</v>
      </c>
      <c r="L79" t="str">
        <f>_xlfn.XLOOKUP(order[[#This Row],[customer_id]],customer[customer_id],customer[state])</f>
        <v>Delhi</v>
      </c>
      <c r="M79" t="str">
        <f>_xlfn.XLOOKUP(order[[#This Row],[product_id]],products!$A$2:$A$11,products!$B$2:$B$11)</f>
        <v>Milton Thermosteel Bottle</v>
      </c>
      <c r="N79" s="3" t="str">
        <f>_xlfn.XLOOKUP(order[[#This Row],[product_id]],products!$A$2:$A$11,products!$C$2:$C$11)</f>
        <v>Home &amp; Kitchen</v>
      </c>
      <c r="O79" s="3">
        <f>_xlfn.XLOOKUP(order[[#This Row],[product_id]],Table4[product_id],Table4[cost_price])</f>
        <v>800</v>
      </c>
      <c r="P79" s="11">
        <f>_xlfn.XLOOKUP(order[[#This Row],[order_id]],shipment[order_id],shipment[ship_date])</f>
        <v>45590</v>
      </c>
      <c r="Q79" s="11">
        <f>_xlfn.XLOOKUP(order[[#This Row],[order_id]],shipment[order_id],shipment[delivery_date])</f>
        <v>45593</v>
      </c>
      <c r="R79" s="3" t="str">
        <f>_xlfn.XLOOKUP(order[[#This Row],[order_id]],shipment[shipment_id],shipment[courier])</f>
        <v>Delhivery</v>
      </c>
      <c r="S79" s="3">
        <f>order[[#This Row],[selling_price]]-order[[#This Row],[cost_price]]*order[[#This Row],[quantity]]-order[[#This Row],[discount]]</f>
        <v>63921</v>
      </c>
      <c r="T79" s="3">
        <f>order[[#This Row],[quantity]]*order[[#This Row],[selling_price]]</f>
        <v>199884</v>
      </c>
    </row>
    <row r="80" spans="1:20" x14ac:dyDescent="0.3">
      <c r="A80">
        <v>79</v>
      </c>
      <c r="B80" s="11">
        <v>45341</v>
      </c>
      <c r="C80">
        <v>241</v>
      </c>
      <c r="D80" t="str">
        <f>_xlfn.XLOOKUP(order[[#This Row],[customer_id]],customer[customer_id],customer[customer_name])</f>
        <v>Rohit Verma</v>
      </c>
      <c r="E80">
        <v>204</v>
      </c>
      <c r="F80">
        <v>2</v>
      </c>
      <c r="G80">
        <v>38921</v>
      </c>
      <c r="H80">
        <v>2266</v>
      </c>
      <c r="I80" t="s">
        <v>15</v>
      </c>
      <c r="J80" t="s">
        <v>12</v>
      </c>
      <c r="K80" t="str">
        <f>_xlfn.XLOOKUP(order[[#This Row],[customer_id]],customer[customer_id],customer[city])</f>
        <v>Chennai</v>
      </c>
      <c r="L80" t="str">
        <f>_xlfn.XLOOKUP(order[[#This Row],[customer_id]],customer[customer_id],customer[state])</f>
        <v>Tamil Nadu</v>
      </c>
      <c r="M80" t="str">
        <f>_xlfn.XLOOKUP(order[[#This Row],[product_id]],products!$A$2:$A$11,products!$B$2:$B$11)</f>
        <v>Levi's Slim Fit Jeans</v>
      </c>
      <c r="N80" s="3" t="str">
        <f>_xlfn.XLOOKUP(order[[#This Row],[product_id]],products!$A$2:$A$11,products!$C$2:$C$11)</f>
        <v>Fashion</v>
      </c>
      <c r="O80" s="3">
        <f>_xlfn.XLOOKUP(order[[#This Row],[product_id]],Table4[product_id],Table4[cost_price])</f>
        <v>1800</v>
      </c>
      <c r="P80" s="11">
        <f>_xlfn.XLOOKUP(order[[#This Row],[order_id]],shipment[order_id],shipment[ship_date])</f>
        <v>45503</v>
      </c>
      <c r="Q80" s="11">
        <f>_xlfn.XLOOKUP(order[[#This Row],[order_id]],shipment[order_id],shipment[delivery_date])</f>
        <v>45507</v>
      </c>
      <c r="R80" s="3" t="str">
        <f>_xlfn.XLOOKUP(order[[#This Row],[order_id]],shipment[shipment_id],shipment[courier])</f>
        <v>BlueDart</v>
      </c>
      <c r="S80" s="3">
        <f>order[[#This Row],[selling_price]]-order[[#This Row],[cost_price]]*order[[#This Row],[quantity]]-order[[#This Row],[discount]]</f>
        <v>33055</v>
      </c>
      <c r="T80" s="3">
        <f>order[[#This Row],[quantity]]*order[[#This Row],[selling_price]]</f>
        <v>77842</v>
      </c>
    </row>
    <row r="81" spans="1:20" x14ac:dyDescent="0.3">
      <c r="A81">
        <v>80</v>
      </c>
      <c r="B81" s="11">
        <v>45449</v>
      </c>
      <c r="C81">
        <v>108</v>
      </c>
      <c r="D81" t="str">
        <f>_xlfn.XLOOKUP(order[[#This Row],[customer_id]],customer[customer_id],customer[customer_name])</f>
        <v>Arjun Nair</v>
      </c>
      <c r="E81">
        <v>207</v>
      </c>
      <c r="F81">
        <v>1</v>
      </c>
      <c r="G81">
        <v>43237</v>
      </c>
      <c r="H81">
        <v>1199</v>
      </c>
      <c r="I81" t="s">
        <v>9</v>
      </c>
      <c r="J81" t="s">
        <v>14</v>
      </c>
      <c r="K81" t="str">
        <f>_xlfn.XLOOKUP(order[[#This Row],[customer_id]],customer[customer_id],customer[city])</f>
        <v>Ahmedabad</v>
      </c>
      <c r="L81" t="str">
        <f>_xlfn.XLOOKUP(order[[#This Row],[customer_id]],customer[customer_id],customer[state])</f>
        <v>Gujarat</v>
      </c>
      <c r="M81" t="str">
        <f>_xlfn.XLOOKUP(order[[#This Row],[product_id]],products!$A$2:$A$11,products!$B$2:$B$11)</f>
        <v>Sony WH-1000XM4 Headphones</v>
      </c>
      <c r="N81" s="3" t="str">
        <f>_xlfn.XLOOKUP(order[[#This Row],[product_id]],products!$A$2:$A$11,products!$C$2:$C$11)</f>
        <v>Electronics</v>
      </c>
      <c r="O81" s="3">
        <f>_xlfn.XLOOKUP(order[[#This Row],[product_id]],Table4[product_id],Table4[cost_price])</f>
        <v>20000</v>
      </c>
      <c r="P81" s="11">
        <f>_xlfn.XLOOKUP(order[[#This Row],[order_id]],shipment[order_id],shipment[ship_date])</f>
        <v>45393</v>
      </c>
      <c r="Q81" s="11">
        <f>_xlfn.XLOOKUP(order[[#This Row],[order_id]],shipment[order_id],shipment[delivery_date])</f>
        <v>45400</v>
      </c>
      <c r="R81" s="3" t="str">
        <f>_xlfn.XLOOKUP(order[[#This Row],[order_id]],shipment[shipment_id],shipment[courier])</f>
        <v>Ekart</v>
      </c>
      <c r="S81" s="3">
        <f>order[[#This Row],[selling_price]]-order[[#This Row],[cost_price]]*order[[#This Row],[quantity]]-order[[#This Row],[discount]]</f>
        <v>22038</v>
      </c>
      <c r="T81" s="3">
        <f>order[[#This Row],[quantity]]*order[[#This Row],[selling_price]]</f>
        <v>43237</v>
      </c>
    </row>
    <row r="82" spans="1:20" x14ac:dyDescent="0.3">
      <c r="A82">
        <v>81</v>
      </c>
      <c r="B82" s="11">
        <v>45310</v>
      </c>
      <c r="C82">
        <v>158</v>
      </c>
      <c r="D82" t="str">
        <f>_xlfn.XLOOKUP(order[[#This Row],[customer_id]],customer[customer_id],customer[customer_name])</f>
        <v>Vikram Singh</v>
      </c>
      <c r="E82">
        <v>206</v>
      </c>
      <c r="F82">
        <v>1</v>
      </c>
      <c r="G82">
        <v>68791</v>
      </c>
      <c r="H82">
        <v>811</v>
      </c>
      <c r="I82" t="s">
        <v>15</v>
      </c>
      <c r="J82" t="s">
        <v>14</v>
      </c>
      <c r="K82" t="str">
        <f>_xlfn.XLOOKUP(order[[#This Row],[customer_id]],customer[customer_id],customer[city])</f>
        <v>Delhi</v>
      </c>
      <c r="L82" t="str">
        <f>_xlfn.XLOOKUP(order[[#This Row],[customer_id]],customer[customer_id],customer[state])</f>
        <v>Delhi</v>
      </c>
      <c r="M82" t="str">
        <f>_xlfn.XLOOKUP(order[[#This Row],[product_id]],products!$A$2:$A$11,products!$B$2:$B$11)</f>
        <v>Philips Air Fryer</v>
      </c>
      <c r="N82" s="3" t="str">
        <f>_xlfn.XLOOKUP(order[[#This Row],[product_id]],products!$A$2:$A$11,products!$C$2:$C$11)</f>
        <v>Home &amp; Kitchen</v>
      </c>
      <c r="O82" s="3">
        <f>_xlfn.XLOOKUP(order[[#This Row],[product_id]],Table4[product_id],Table4[cost_price])</f>
        <v>7000</v>
      </c>
      <c r="P82" s="11">
        <f>_xlfn.XLOOKUP(order[[#This Row],[order_id]],shipment[order_id],shipment[ship_date])</f>
        <v>45295</v>
      </c>
      <c r="Q82" s="11">
        <f>_xlfn.XLOOKUP(order[[#This Row],[order_id]],shipment[order_id],shipment[delivery_date])</f>
        <v>45304</v>
      </c>
      <c r="R82" s="3" t="str">
        <f>_xlfn.XLOOKUP(order[[#This Row],[order_id]],shipment[shipment_id],shipment[courier])</f>
        <v>DTDC</v>
      </c>
      <c r="S82" s="3">
        <f>order[[#This Row],[selling_price]]-order[[#This Row],[cost_price]]*order[[#This Row],[quantity]]-order[[#This Row],[discount]]</f>
        <v>60980</v>
      </c>
      <c r="T82" s="3">
        <f>order[[#This Row],[quantity]]*order[[#This Row],[selling_price]]</f>
        <v>68791</v>
      </c>
    </row>
    <row r="83" spans="1:20" x14ac:dyDescent="0.3">
      <c r="A83">
        <v>965</v>
      </c>
      <c r="B83" s="11">
        <v>45492</v>
      </c>
      <c r="C83">
        <v>171</v>
      </c>
      <c r="D83" t="str">
        <f>_xlfn.XLOOKUP(order[[#This Row],[customer_id]],customer[customer_id],customer[customer_name])</f>
        <v>Vikram Singh</v>
      </c>
      <c r="E83">
        <v>201</v>
      </c>
      <c r="F83">
        <v>2</v>
      </c>
      <c r="G83">
        <v>1409</v>
      </c>
      <c r="H83">
        <v>3429</v>
      </c>
      <c r="I83" t="s">
        <v>15</v>
      </c>
      <c r="J83" t="s">
        <v>10</v>
      </c>
      <c r="K83" t="str">
        <f>_xlfn.XLOOKUP(order[[#This Row],[customer_id]],customer[customer_id],customer[city])</f>
        <v>Pune</v>
      </c>
      <c r="L83" t="str">
        <f>_xlfn.XLOOKUP(order[[#This Row],[customer_id]],customer[customer_id],customer[state])</f>
        <v>Maharashtra</v>
      </c>
      <c r="M83" t="str">
        <f>_xlfn.XLOOKUP(order[[#This Row],[product_id]],products!$A$2:$A$11,products!$B$2:$B$11)</f>
        <v>iPhone 13</v>
      </c>
      <c r="N83" s="3" t="str">
        <f>_xlfn.XLOOKUP(order[[#This Row],[product_id]],products!$A$2:$A$11,products!$C$2:$C$11)</f>
        <v>Electronics</v>
      </c>
      <c r="O83" s="3">
        <f>_xlfn.XLOOKUP(order[[#This Row],[product_id]],Table4[product_id],Table4[cost_price])</f>
        <v>52000</v>
      </c>
      <c r="P83" s="11">
        <f>_xlfn.XLOOKUP(order[[#This Row],[order_id]],shipment[order_id],shipment[ship_date])</f>
        <v>45607</v>
      </c>
      <c r="Q83" s="11">
        <f>_xlfn.XLOOKUP(order[[#This Row],[order_id]],shipment[order_id],shipment[delivery_date])</f>
        <v>45611</v>
      </c>
      <c r="R83" s="3" t="str">
        <f>_xlfn.XLOOKUP(order[[#This Row],[order_id]],shipment[shipment_id],shipment[courier])</f>
        <v>BlueDart</v>
      </c>
      <c r="S83" s="3">
        <f>order[[#This Row],[selling_price]]-order[[#This Row],[cost_price]]*order[[#This Row],[quantity]]-order[[#This Row],[discount]]</f>
        <v>-106020</v>
      </c>
      <c r="T83" s="3">
        <f>order[[#This Row],[quantity]]*order[[#This Row],[selling_price]]</f>
        <v>2818</v>
      </c>
    </row>
    <row r="84" spans="1:20" x14ac:dyDescent="0.3">
      <c r="A84">
        <v>83</v>
      </c>
      <c r="B84" s="11">
        <v>45359</v>
      </c>
      <c r="C84">
        <v>131</v>
      </c>
      <c r="D84" t="str">
        <f>_xlfn.XLOOKUP(order[[#This Row],[customer_id]],customer[customer_id],customer[customer_name])</f>
        <v>Siddharth Jain</v>
      </c>
      <c r="E84">
        <v>208</v>
      </c>
      <c r="F84">
        <v>1</v>
      </c>
      <c r="G84">
        <v>31072</v>
      </c>
      <c r="H84">
        <v>386</v>
      </c>
      <c r="I84" t="s">
        <v>9</v>
      </c>
      <c r="J84" t="s">
        <v>10</v>
      </c>
      <c r="K84" t="str">
        <f>_xlfn.XLOOKUP(order[[#This Row],[customer_id]],customer[customer_id],customer[city])</f>
        <v>Mumbai</v>
      </c>
      <c r="L84" t="str">
        <f>_xlfn.XLOOKUP(order[[#This Row],[customer_id]],customer[customer_id],customer[state])</f>
        <v>Maharashtra</v>
      </c>
      <c r="M84" t="str">
        <f>_xlfn.XLOOKUP(order[[#This Row],[product_id]],products!$A$2:$A$11,products!$B$2:$B$11)</f>
        <v>Adidas Ultraboost Shoes</v>
      </c>
      <c r="N84" s="3" t="str">
        <f>_xlfn.XLOOKUP(order[[#This Row],[product_id]],products!$A$2:$A$11,products!$C$2:$C$11)</f>
        <v>Fashion</v>
      </c>
      <c r="O84" s="3">
        <f>_xlfn.XLOOKUP(order[[#This Row],[product_id]],Table4[product_id],Table4[cost_price])</f>
        <v>9000</v>
      </c>
      <c r="P84" s="11">
        <f>_xlfn.XLOOKUP(order[[#This Row],[order_id]],shipment[order_id],shipment[ship_date])</f>
        <v>45415</v>
      </c>
      <c r="Q84" s="11">
        <f>_xlfn.XLOOKUP(order[[#This Row],[order_id]],shipment[order_id],shipment[delivery_date])</f>
        <v>45416</v>
      </c>
      <c r="R84" s="3" t="str">
        <f>_xlfn.XLOOKUP(order[[#This Row],[order_id]],shipment[shipment_id],shipment[courier])</f>
        <v>Delhivery</v>
      </c>
      <c r="S84" s="3">
        <f>order[[#This Row],[selling_price]]-order[[#This Row],[cost_price]]*order[[#This Row],[quantity]]-order[[#This Row],[discount]]</f>
        <v>21686</v>
      </c>
      <c r="T84" s="3">
        <f>order[[#This Row],[quantity]]*order[[#This Row],[selling_price]]</f>
        <v>31072</v>
      </c>
    </row>
    <row r="85" spans="1:20" x14ac:dyDescent="0.3">
      <c r="A85">
        <v>1135</v>
      </c>
      <c r="B85" s="11">
        <v>45441</v>
      </c>
      <c r="C85">
        <v>105</v>
      </c>
      <c r="D85" t="str">
        <f>_xlfn.XLOOKUP(order[[#This Row],[customer_id]],customer[customer_id],customer[customer_name])</f>
        <v>Vikram Singh</v>
      </c>
      <c r="E85">
        <v>201</v>
      </c>
      <c r="F85">
        <v>4</v>
      </c>
      <c r="G85">
        <v>40665</v>
      </c>
      <c r="H85">
        <v>3405</v>
      </c>
      <c r="I85" t="s">
        <v>13</v>
      </c>
      <c r="J85" t="s">
        <v>14</v>
      </c>
      <c r="K85" t="str">
        <f>_xlfn.XLOOKUP(order[[#This Row],[customer_id]],customer[customer_id],customer[city])</f>
        <v>Pune</v>
      </c>
      <c r="L85" t="str">
        <f>_xlfn.XLOOKUP(order[[#This Row],[customer_id]],customer[customer_id],customer[state])</f>
        <v>Maharashtra</v>
      </c>
      <c r="M85" t="str">
        <f>_xlfn.XLOOKUP(order[[#This Row],[product_id]],products!$A$2:$A$11,products!$B$2:$B$11)</f>
        <v>iPhone 13</v>
      </c>
      <c r="N85" s="3" t="str">
        <f>_xlfn.XLOOKUP(order[[#This Row],[product_id]],products!$A$2:$A$11,products!$C$2:$C$11)</f>
        <v>Electronics</v>
      </c>
      <c r="O85" s="3">
        <f>_xlfn.XLOOKUP(order[[#This Row],[product_id]],Table4[product_id],Table4[cost_price])</f>
        <v>52000</v>
      </c>
      <c r="P85" s="11">
        <f>_xlfn.XLOOKUP(order[[#This Row],[order_id]],shipment[order_id],shipment[ship_date])</f>
        <v>45400</v>
      </c>
      <c r="Q85" s="11">
        <f>_xlfn.XLOOKUP(order[[#This Row],[order_id]],shipment[order_id],shipment[delivery_date])</f>
        <v>45410</v>
      </c>
      <c r="R85" s="3" t="str">
        <f>_xlfn.XLOOKUP(order[[#This Row],[order_id]],shipment[shipment_id],shipment[courier])</f>
        <v>DTDC</v>
      </c>
      <c r="S85" s="3">
        <f>order[[#This Row],[selling_price]]-order[[#This Row],[cost_price]]*order[[#This Row],[quantity]]-order[[#This Row],[discount]]</f>
        <v>-170740</v>
      </c>
      <c r="T85" s="3">
        <f>order[[#This Row],[quantity]]*order[[#This Row],[selling_price]]</f>
        <v>162660</v>
      </c>
    </row>
    <row r="86" spans="1:20" x14ac:dyDescent="0.3">
      <c r="A86">
        <v>249</v>
      </c>
      <c r="B86" s="11">
        <v>45422</v>
      </c>
      <c r="C86">
        <v>287</v>
      </c>
      <c r="D86" t="str">
        <f>_xlfn.XLOOKUP(order[[#This Row],[customer_id]],customer[customer_id],customer[customer_name])</f>
        <v>Karan Patel</v>
      </c>
      <c r="E86">
        <v>201</v>
      </c>
      <c r="F86">
        <v>2</v>
      </c>
      <c r="G86">
        <v>57977</v>
      </c>
      <c r="H86">
        <v>3398</v>
      </c>
      <c r="I86" t="s">
        <v>13</v>
      </c>
      <c r="J86" t="s">
        <v>14</v>
      </c>
      <c r="K86" t="str">
        <f>_xlfn.XLOOKUP(order[[#This Row],[customer_id]],customer[customer_id],customer[city])</f>
        <v>Chennai</v>
      </c>
      <c r="L86" t="str">
        <f>_xlfn.XLOOKUP(order[[#This Row],[customer_id]],customer[customer_id],customer[state])</f>
        <v>Tamil Nadu</v>
      </c>
      <c r="M86" t="str">
        <f>_xlfn.XLOOKUP(order[[#This Row],[product_id]],products!$A$2:$A$11,products!$B$2:$B$11)</f>
        <v>iPhone 13</v>
      </c>
      <c r="N86" s="3" t="str">
        <f>_xlfn.XLOOKUP(order[[#This Row],[product_id]],products!$A$2:$A$11,products!$C$2:$C$11)</f>
        <v>Electronics</v>
      </c>
      <c r="O86" s="3">
        <f>_xlfn.XLOOKUP(order[[#This Row],[product_id]],Table4[product_id],Table4[cost_price])</f>
        <v>52000</v>
      </c>
      <c r="P86" s="11">
        <f>_xlfn.XLOOKUP(order[[#This Row],[order_id]],shipment[order_id],shipment[ship_date])</f>
        <v>45536</v>
      </c>
      <c r="Q86" s="11">
        <f>_xlfn.XLOOKUP(order[[#This Row],[order_id]],shipment[order_id],shipment[delivery_date])</f>
        <v>45539</v>
      </c>
      <c r="R86" s="3" t="str">
        <f>_xlfn.XLOOKUP(order[[#This Row],[order_id]],shipment[shipment_id],shipment[courier])</f>
        <v>BlueDart</v>
      </c>
      <c r="S86" s="3">
        <f>order[[#This Row],[selling_price]]-order[[#This Row],[cost_price]]*order[[#This Row],[quantity]]-order[[#This Row],[discount]]</f>
        <v>-49421</v>
      </c>
      <c r="T86" s="3">
        <f>order[[#This Row],[quantity]]*order[[#This Row],[selling_price]]</f>
        <v>115954</v>
      </c>
    </row>
    <row r="87" spans="1:20" x14ac:dyDescent="0.3">
      <c r="A87">
        <v>86</v>
      </c>
      <c r="B87" s="11">
        <v>45639</v>
      </c>
      <c r="C87">
        <v>265</v>
      </c>
      <c r="D87" t="str">
        <f>_xlfn.XLOOKUP(order[[#This Row],[customer_id]],customer[customer_id],customer[customer_name])</f>
        <v>Arjun Nair</v>
      </c>
      <c r="E87">
        <v>209</v>
      </c>
      <c r="F87">
        <v>3</v>
      </c>
      <c r="G87">
        <v>46698</v>
      </c>
      <c r="H87">
        <v>4521</v>
      </c>
      <c r="I87" t="s">
        <v>13</v>
      </c>
      <c r="J87" t="s">
        <v>10</v>
      </c>
      <c r="K87" t="str">
        <f>_xlfn.XLOOKUP(order[[#This Row],[customer_id]],customer[customer_id],customer[city])</f>
        <v>Bangalore</v>
      </c>
      <c r="L87" t="str">
        <f>_xlfn.XLOOKUP(order[[#This Row],[customer_id]],customer[customer_id],customer[state])</f>
        <v>Karnataka</v>
      </c>
      <c r="M87" t="str">
        <f>_xlfn.XLOOKUP(order[[#This Row],[product_id]],products!$A$2:$A$11,products!$B$2:$B$11)</f>
        <v>Milton Thermosteel Bottle</v>
      </c>
      <c r="N87" s="3" t="str">
        <f>_xlfn.XLOOKUP(order[[#This Row],[product_id]],products!$A$2:$A$11,products!$C$2:$C$11)</f>
        <v>Home &amp; Kitchen</v>
      </c>
      <c r="O87" s="3">
        <f>_xlfn.XLOOKUP(order[[#This Row],[product_id]],Table4[product_id],Table4[cost_price])</f>
        <v>800</v>
      </c>
      <c r="P87" s="11">
        <f>_xlfn.XLOOKUP(order[[#This Row],[order_id]],shipment[order_id],shipment[ship_date])</f>
        <v>45655</v>
      </c>
      <c r="Q87" s="11">
        <f>_xlfn.XLOOKUP(order[[#This Row],[order_id]],shipment[order_id],shipment[delivery_date])</f>
        <v>45659</v>
      </c>
      <c r="R87" s="3" t="str">
        <f>_xlfn.XLOOKUP(order[[#This Row],[order_id]],shipment[shipment_id],shipment[courier])</f>
        <v>BlueDart</v>
      </c>
      <c r="S87" s="3">
        <f>order[[#This Row],[selling_price]]-order[[#This Row],[cost_price]]*order[[#This Row],[quantity]]-order[[#This Row],[discount]]</f>
        <v>39777</v>
      </c>
      <c r="T87" s="3">
        <f>order[[#This Row],[quantity]]*order[[#This Row],[selling_price]]</f>
        <v>140094</v>
      </c>
    </row>
    <row r="88" spans="1:20" x14ac:dyDescent="0.3">
      <c r="A88">
        <v>1041</v>
      </c>
      <c r="B88" s="11">
        <v>45619</v>
      </c>
      <c r="C88">
        <v>138</v>
      </c>
      <c r="D88" t="str">
        <f>_xlfn.XLOOKUP(order[[#This Row],[customer_id]],customer[customer_id],customer[customer_name])</f>
        <v>Sneha Iyer</v>
      </c>
      <c r="E88">
        <v>201</v>
      </c>
      <c r="F88">
        <v>3</v>
      </c>
      <c r="G88">
        <v>47564</v>
      </c>
      <c r="H88">
        <v>3336</v>
      </c>
      <c r="I88" t="s">
        <v>9</v>
      </c>
      <c r="J88" t="s">
        <v>10</v>
      </c>
      <c r="K88" t="str">
        <f>_xlfn.XLOOKUP(order[[#This Row],[customer_id]],customer[customer_id],customer[city])</f>
        <v>Chennai</v>
      </c>
      <c r="L88" t="str">
        <f>_xlfn.XLOOKUP(order[[#This Row],[customer_id]],customer[customer_id],customer[state])</f>
        <v>Tamil Nadu</v>
      </c>
      <c r="M88" t="str">
        <f>_xlfn.XLOOKUP(order[[#This Row],[product_id]],products!$A$2:$A$11,products!$B$2:$B$11)</f>
        <v>iPhone 13</v>
      </c>
      <c r="N88" s="3" t="str">
        <f>_xlfn.XLOOKUP(order[[#This Row],[product_id]],products!$A$2:$A$11,products!$C$2:$C$11)</f>
        <v>Electronics</v>
      </c>
      <c r="O88" s="3">
        <f>_xlfn.XLOOKUP(order[[#This Row],[product_id]],Table4[product_id],Table4[cost_price])</f>
        <v>52000</v>
      </c>
      <c r="P88" s="11">
        <f>_xlfn.XLOOKUP(order[[#This Row],[order_id]],shipment[order_id],shipment[ship_date])</f>
        <v>45474</v>
      </c>
      <c r="Q88" s="11">
        <f>_xlfn.XLOOKUP(order[[#This Row],[order_id]],shipment[order_id],shipment[delivery_date])</f>
        <v>45481</v>
      </c>
      <c r="R88" s="3" t="str">
        <f>_xlfn.XLOOKUP(order[[#This Row],[order_id]],shipment[shipment_id],shipment[courier])</f>
        <v>DTDC</v>
      </c>
      <c r="S88" s="3">
        <f>order[[#This Row],[selling_price]]-order[[#This Row],[cost_price]]*order[[#This Row],[quantity]]-order[[#This Row],[discount]]</f>
        <v>-111772</v>
      </c>
      <c r="T88" s="3">
        <f>order[[#This Row],[quantity]]*order[[#This Row],[selling_price]]</f>
        <v>142692</v>
      </c>
    </row>
    <row r="89" spans="1:20" x14ac:dyDescent="0.3">
      <c r="A89">
        <v>88</v>
      </c>
      <c r="B89" s="11">
        <v>45476</v>
      </c>
      <c r="C89">
        <v>165</v>
      </c>
      <c r="D89" t="str">
        <f>_xlfn.XLOOKUP(order[[#This Row],[customer_id]],customer[customer_id],customer[customer_name])</f>
        <v>Ishita Bose</v>
      </c>
      <c r="E89">
        <v>204</v>
      </c>
      <c r="F89">
        <v>2</v>
      </c>
      <c r="G89">
        <v>48188</v>
      </c>
      <c r="H89">
        <v>3595</v>
      </c>
      <c r="I89" t="s">
        <v>9</v>
      </c>
      <c r="J89" t="s">
        <v>14</v>
      </c>
      <c r="K89" t="str">
        <f>_xlfn.XLOOKUP(order[[#This Row],[customer_id]],customer[customer_id],customer[city])</f>
        <v>Pune</v>
      </c>
      <c r="L89" t="str">
        <f>_xlfn.XLOOKUP(order[[#This Row],[customer_id]],customer[customer_id],customer[state])</f>
        <v>Maharashtra</v>
      </c>
      <c r="M89" t="str">
        <f>_xlfn.XLOOKUP(order[[#This Row],[product_id]],products!$A$2:$A$11,products!$B$2:$B$11)</f>
        <v>Levi's Slim Fit Jeans</v>
      </c>
      <c r="N89" s="3" t="str">
        <f>_xlfn.XLOOKUP(order[[#This Row],[product_id]],products!$A$2:$A$11,products!$C$2:$C$11)</f>
        <v>Fashion</v>
      </c>
      <c r="O89" s="3">
        <f>_xlfn.XLOOKUP(order[[#This Row],[product_id]],Table4[product_id],Table4[cost_price])</f>
        <v>1800</v>
      </c>
      <c r="P89" s="11">
        <f>_xlfn.XLOOKUP(order[[#This Row],[order_id]],shipment[order_id],shipment[ship_date])</f>
        <v>45391</v>
      </c>
      <c r="Q89" s="11">
        <f>_xlfn.XLOOKUP(order[[#This Row],[order_id]],shipment[order_id],shipment[delivery_date])</f>
        <v>45401</v>
      </c>
      <c r="R89" s="3" t="str">
        <f>_xlfn.XLOOKUP(order[[#This Row],[order_id]],shipment[shipment_id],shipment[courier])</f>
        <v>BlueDart</v>
      </c>
      <c r="S89" s="3">
        <f>order[[#This Row],[selling_price]]-order[[#This Row],[cost_price]]*order[[#This Row],[quantity]]-order[[#This Row],[discount]]</f>
        <v>40993</v>
      </c>
      <c r="T89" s="3">
        <f>order[[#This Row],[quantity]]*order[[#This Row],[selling_price]]</f>
        <v>96376</v>
      </c>
    </row>
    <row r="90" spans="1:20" x14ac:dyDescent="0.3">
      <c r="A90">
        <v>50</v>
      </c>
      <c r="B90" s="11">
        <v>45436</v>
      </c>
      <c r="C90">
        <v>229</v>
      </c>
      <c r="D90" t="str">
        <f>_xlfn.XLOOKUP(order[[#This Row],[customer_id]],customer[customer_id],customer[customer_name])</f>
        <v>Aarav Sharma</v>
      </c>
      <c r="E90">
        <v>201</v>
      </c>
      <c r="F90">
        <v>1</v>
      </c>
      <c r="G90">
        <v>36414</v>
      </c>
      <c r="H90">
        <v>3288</v>
      </c>
      <c r="I90" t="s">
        <v>13</v>
      </c>
      <c r="J90" t="s">
        <v>14</v>
      </c>
      <c r="K90" t="str">
        <f>_xlfn.XLOOKUP(order[[#This Row],[customer_id]],customer[customer_id],customer[city])</f>
        <v>Hyderabad</v>
      </c>
      <c r="L90" t="str">
        <f>_xlfn.XLOOKUP(order[[#This Row],[customer_id]],customer[customer_id],customer[state])</f>
        <v>Telangana</v>
      </c>
      <c r="M90" t="str">
        <f>_xlfn.XLOOKUP(order[[#This Row],[product_id]],products!$A$2:$A$11,products!$B$2:$B$11)</f>
        <v>iPhone 13</v>
      </c>
      <c r="N90" s="3" t="str">
        <f>_xlfn.XLOOKUP(order[[#This Row],[product_id]],products!$A$2:$A$11,products!$C$2:$C$11)</f>
        <v>Electronics</v>
      </c>
      <c r="O90" s="3">
        <f>_xlfn.XLOOKUP(order[[#This Row],[product_id]],Table4[product_id],Table4[cost_price])</f>
        <v>52000</v>
      </c>
      <c r="P90" s="11">
        <f>_xlfn.XLOOKUP(order[[#This Row],[order_id]],shipment[order_id],shipment[ship_date])</f>
        <v>45447</v>
      </c>
      <c r="Q90" s="11">
        <f>_xlfn.XLOOKUP(order[[#This Row],[order_id]],shipment[order_id],shipment[delivery_date])</f>
        <v>45453</v>
      </c>
      <c r="R90" s="3" t="str">
        <f>_xlfn.XLOOKUP(order[[#This Row],[order_id]],shipment[shipment_id],shipment[courier])</f>
        <v>Delhivery</v>
      </c>
      <c r="S90" s="3">
        <f>order[[#This Row],[selling_price]]-order[[#This Row],[cost_price]]*order[[#This Row],[quantity]]-order[[#This Row],[discount]]</f>
        <v>-18874</v>
      </c>
      <c r="T90" s="3">
        <f>order[[#This Row],[quantity]]*order[[#This Row],[selling_price]]</f>
        <v>36414</v>
      </c>
    </row>
    <row r="91" spans="1:20" x14ac:dyDescent="0.3">
      <c r="A91">
        <v>871</v>
      </c>
      <c r="B91" s="11">
        <v>45387</v>
      </c>
      <c r="C91">
        <v>289</v>
      </c>
      <c r="D91" t="str">
        <f>_xlfn.XLOOKUP(order[[#This Row],[customer_id]],customer[customer_id],customer[customer_name])</f>
        <v>Ishita Bose</v>
      </c>
      <c r="E91">
        <v>201</v>
      </c>
      <c r="F91">
        <v>4</v>
      </c>
      <c r="G91">
        <v>61864</v>
      </c>
      <c r="H91">
        <v>3159</v>
      </c>
      <c r="I91" t="s">
        <v>9</v>
      </c>
      <c r="J91" t="s">
        <v>12</v>
      </c>
      <c r="K91" t="str">
        <f>_xlfn.XLOOKUP(order[[#This Row],[customer_id]],customer[customer_id],customer[city])</f>
        <v>Pune</v>
      </c>
      <c r="L91" t="str">
        <f>_xlfn.XLOOKUP(order[[#This Row],[customer_id]],customer[customer_id],customer[state])</f>
        <v>Maharashtra</v>
      </c>
      <c r="M91" t="str">
        <f>_xlfn.XLOOKUP(order[[#This Row],[product_id]],products!$A$2:$A$11,products!$B$2:$B$11)</f>
        <v>iPhone 13</v>
      </c>
      <c r="N91" s="3" t="str">
        <f>_xlfn.XLOOKUP(order[[#This Row],[product_id]],products!$A$2:$A$11,products!$C$2:$C$11)</f>
        <v>Electronics</v>
      </c>
      <c r="O91" s="3">
        <f>_xlfn.XLOOKUP(order[[#This Row],[product_id]],Table4[product_id],Table4[cost_price])</f>
        <v>52000</v>
      </c>
      <c r="P91" s="11">
        <f>_xlfn.XLOOKUP(order[[#This Row],[order_id]],shipment[order_id],shipment[ship_date])</f>
        <v>45625</v>
      </c>
      <c r="Q91" s="11">
        <f>_xlfn.XLOOKUP(order[[#This Row],[order_id]],shipment[order_id],shipment[delivery_date])</f>
        <v>45632</v>
      </c>
      <c r="R91" s="3" t="str">
        <f>_xlfn.XLOOKUP(order[[#This Row],[order_id]],shipment[shipment_id],shipment[courier])</f>
        <v>Delhivery</v>
      </c>
      <c r="S91" s="3">
        <f>order[[#This Row],[selling_price]]-order[[#This Row],[cost_price]]*order[[#This Row],[quantity]]-order[[#This Row],[discount]]</f>
        <v>-149295</v>
      </c>
      <c r="T91" s="3">
        <f>order[[#This Row],[quantity]]*order[[#This Row],[selling_price]]</f>
        <v>247456</v>
      </c>
    </row>
    <row r="92" spans="1:20" x14ac:dyDescent="0.3">
      <c r="A92">
        <v>91</v>
      </c>
      <c r="B92" s="11">
        <v>45466</v>
      </c>
      <c r="C92">
        <v>173</v>
      </c>
      <c r="D92" t="str">
        <f>_xlfn.XLOOKUP(order[[#This Row],[customer_id]],customer[customer_id],customer[customer_name])</f>
        <v>Ishita Bose</v>
      </c>
      <c r="E92">
        <v>205</v>
      </c>
      <c r="F92">
        <v>1</v>
      </c>
      <c r="G92">
        <v>53785</v>
      </c>
      <c r="H92">
        <v>3357</v>
      </c>
      <c r="I92" t="s">
        <v>13</v>
      </c>
      <c r="J92" t="s">
        <v>12</v>
      </c>
      <c r="K92" t="str">
        <f>_xlfn.XLOOKUP(order[[#This Row],[customer_id]],customer[customer_id],customer[city])</f>
        <v>Ahmedabad</v>
      </c>
      <c r="L92" t="str">
        <f>_xlfn.XLOOKUP(order[[#This Row],[customer_id]],customer[customer_id],customer[state])</f>
        <v>Gujarat</v>
      </c>
      <c r="M92" t="str">
        <f>_xlfn.XLOOKUP(order[[#This Row],[product_id]],products!$A$2:$A$11,products!$B$2:$B$11)</f>
        <v>Prestige Pressure Cooker 5L</v>
      </c>
      <c r="N92" s="3" t="str">
        <f>_xlfn.XLOOKUP(order[[#This Row],[product_id]],products!$A$2:$A$11,products!$C$2:$C$11)</f>
        <v>Home &amp; Kitchen</v>
      </c>
      <c r="O92" s="3">
        <f>_xlfn.XLOOKUP(order[[#This Row],[product_id]],Table4[product_id],Table4[cost_price])</f>
        <v>1200</v>
      </c>
      <c r="P92" s="11">
        <f>_xlfn.XLOOKUP(order[[#This Row],[order_id]],shipment[order_id],shipment[ship_date])</f>
        <v>45357</v>
      </c>
      <c r="Q92" s="11">
        <f>_xlfn.XLOOKUP(order[[#This Row],[order_id]],shipment[order_id],shipment[delivery_date])</f>
        <v>45363</v>
      </c>
      <c r="R92" s="3" t="str">
        <f>_xlfn.XLOOKUP(order[[#This Row],[order_id]],shipment[shipment_id],shipment[courier])</f>
        <v>Delhivery</v>
      </c>
      <c r="S92" s="3">
        <f>order[[#This Row],[selling_price]]-order[[#This Row],[cost_price]]*order[[#This Row],[quantity]]-order[[#This Row],[discount]]</f>
        <v>49228</v>
      </c>
      <c r="T92" s="3">
        <f>order[[#This Row],[quantity]]*order[[#This Row],[selling_price]]</f>
        <v>53785</v>
      </c>
    </row>
    <row r="93" spans="1:20" x14ac:dyDescent="0.3">
      <c r="A93">
        <v>92</v>
      </c>
      <c r="B93" s="11">
        <v>45473</v>
      </c>
      <c r="C93">
        <v>283</v>
      </c>
      <c r="D93" t="str">
        <f>_xlfn.XLOOKUP(order[[#This Row],[customer_id]],customer[customer_id],customer[customer_name])</f>
        <v>Neha Kapoor</v>
      </c>
      <c r="E93">
        <v>208</v>
      </c>
      <c r="F93">
        <v>2</v>
      </c>
      <c r="G93">
        <v>24006</v>
      </c>
      <c r="H93">
        <v>3414</v>
      </c>
      <c r="I93" t="s">
        <v>13</v>
      </c>
      <c r="J93" t="s">
        <v>10</v>
      </c>
      <c r="K93" t="str">
        <f>_xlfn.XLOOKUP(order[[#This Row],[customer_id]],customer[customer_id],customer[city])</f>
        <v>Ahmedabad</v>
      </c>
      <c r="L93" t="str">
        <f>_xlfn.XLOOKUP(order[[#This Row],[customer_id]],customer[customer_id],customer[state])</f>
        <v>Gujarat</v>
      </c>
      <c r="M93" t="str">
        <f>_xlfn.XLOOKUP(order[[#This Row],[product_id]],products!$A$2:$A$11,products!$B$2:$B$11)</f>
        <v>Adidas Ultraboost Shoes</v>
      </c>
      <c r="N93" s="3" t="str">
        <f>_xlfn.XLOOKUP(order[[#This Row],[product_id]],products!$A$2:$A$11,products!$C$2:$C$11)</f>
        <v>Fashion</v>
      </c>
      <c r="O93" s="3">
        <f>_xlfn.XLOOKUP(order[[#This Row],[product_id]],Table4[product_id],Table4[cost_price])</f>
        <v>9000</v>
      </c>
      <c r="P93" s="11">
        <f>_xlfn.XLOOKUP(order[[#This Row],[order_id]],shipment[order_id],shipment[ship_date])</f>
        <v>45474</v>
      </c>
      <c r="Q93" s="11">
        <f>_xlfn.XLOOKUP(order[[#This Row],[order_id]],shipment[order_id],shipment[delivery_date])</f>
        <v>45477</v>
      </c>
      <c r="R93" s="3" t="str">
        <f>_xlfn.XLOOKUP(order[[#This Row],[order_id]],shipment[shipment_id],shipment[courier])</f>
        <v>DTDC</v>
      </c>
      <c r="S93" s="3">
        <f>order[[#This Row],[selling_price]]-order[[#This Row],[cost_price]]*order[[#This Row],[quantity]]-order[[#This Row],[discount]]</f>
        <v>2592</v>
      </c>
      <c r="T93" s="3">
        <f>order[[#This Row],[quantity]]*order[[#This Row],[selling_price]]</f>
        <v>48012</v>
      </c>
    </row>
    <row r="94" spans="1:20" x14ac:dyDescent="0.3">
      <c r="A94">
        <v>213</v>
      </c>
      <c r="B94" s="11">
        <v>45307</v>
      </c>
      <c r="C94">
        <v>121</v>
      </c>
      <c r="D94" t="str">
        <f>_xlfn.XLOOKUP(order[[#This Row],[customer_id]],customer[customer_id],customer[customer_name])</f>
        <v>Rohit Verma</v>
      </c>
      <c r="E94">
        <v>201</v>
      </c>
      <c r="F94">
        <v>2</v>
      </c>
      <c r="G94">
        <v>52149</v>
      </c>
      <c r="H94">
        <v>3143</v>
      </c>
      <c r="I94" t="s">
        <v>15</v>
      </c>
      <c r="J94" t="s">
        <v>14</v>
      </c>
      <c r="K94" t="str">
        <f>_xlfn.XLOOKUP(order[[#This Row],[customer_id]],customer[customer_id],customer[city])</f>
        <v>Bangalore</v>
      </c>
      <c r="L94" t="str">
        <f>_xlfn.XLOOKUP(order[[#This Row],[customer_id]],customer[customer_id],customer[state])</f>
        <v>Karnataka</v>
      </c>
      <c r="M94" t="str">
        <f>_xlfn.XLOOKUP(order[[#This Row],[product_id]],products!$A$2:$A$11,products!$B$2:$B$11)</f>
        <v>iPhone 13</v>
      </c>
      <c r="N94" s="3" t="str">
        <f>_xlfn.XLOOKUP(order[[#This Row],[product_id]],products!$A$2:$A$11,products!$C$2:$C$11)</f>
        <v>Electronics</v>
      </c>
      <c r="O94" s="3">
        <f>_xlfn.XLOOKUP(order[[#This Row],[product_id]],Table4[product_id],Table4[cost_price])</f>
        <v>52000</v>
      </c>
      <c r="P94" s="11">
        <f>_xlfn.XLOOKUP(order[[#This Row],[order_id]],shipment[order_id],shipment[ship_date])</f>
        <v>45339</v>
      </c>
      <c r="Q94" s="11">
        <f>_xlfn.XLOOKUP(order[[#This Row],[order_id]],shipment[order_id],shipment[delivery_date])</f>
        <v>45347</v>
      </c>
      <c r="R94" s="3" t="str">
        <f>_xlfn.XLOOKUP(order[[#This Row],[order_id]],shipment[shipment_id],shipment[courier])</f>
        <v>DTDC</v>
      </c>
      <c r="S94" s="3">
        <f>order[[#This Row],[selling_price]]-order[[#This Row],[cost_price]]*order[[#This Row],[quantity]]-order[[#This Row],[discount]]</f>
        <v>-54994</v>
      </c>
      <c r="T94" s="3">
        <f>order[[#This Row],[quantity]]*order[[#This Row],[selling_price]]</f>
        <v>104298</v>
      </c>
    </row>
    <row r="95" spans="1:20" x14ac:dyDescent="0.3">
      <c r="A95">
        <v>1156</v>
      </c>
      <c r="B95" s="11">
        <v>45359</v>
      </c>
      <c r="C95">
        <v>262</v>
      </c>
      <c r="D95" t="str">
        <f>_xlfn.XLOOKUP(order[[#This Row],[customer_id]],customer[customer_id],customer[customer_name])</f>
        <v>Karan Patel</v>
      </c>
      <c r="E95">
        <v>201</v>
      </c>
      <c r="F95">
        <v>4</v>
      </c>
      <c r="G95">
        <v>18547</v>
      </c>
      <c r="H95">
        <v>3131</v>
      </c>
      <c r="I95" t="s">
        <v>9</v>
      </c>
      <c r="J95" t="s">
        <v>12</v>
      </c>
      <c r="K95" t="str">
        <f>_xlfn.XLOOKUP(order[[#This Row],[customer_id]],customer[customer_id],customer[city])</f>
        <v>Bangalore</v>
      </c>
      <c r="L95" t="str">
        <f>_xlfn.XLOOKUP(order[[#This Row],[customer_id]],customer[customer_id],customer[state])</f>
        <v>Karnataka</v>
      </c>
      <c r="M95" t="str">
        <f>_xlfn.XLOOKUP(order[[#This Row],[product_id]],products!$A$2:$A$11,products!$B$2:$B$11)</f>
        <v>iPhone 13</v>
      </c>
      <c r="N95" s="3" t="str">
        <f>_xlfn.XLOOKUP(order[[#This Row],[product_id]],products!$A$2:$A$11,products!$C$2:$C$11)</f>
        <v>Electronics</v>
      </c>
      <c r="O95" s="3">
        <f>_xlfn.XLOOKUP(order[[#This Row],[product_id]],Table4[product_id],Table4[cost_price])</f>
        <v>52000</v>
      </c>
      <c r="P95" s="11">
        <f>_xlfn.XLOOKUP(order[[#This Row],[order_id]],shipment[order_id],shipment[ship_date])</f>
        <v>45549</v>
      </c>
      <c r="Q95" s="11">
        <f>_xlfn.XLOOKUP(order[[#This Row],[order_id]],shipment[order_id],shipment[delivery_date])</f>
        <v>45554</v>
      </c>
      <c r="R95" s="3" t="str">
        <f>_xlfn.XLOOKUP(order[[#This Row],[order_id]],shipment[shipment_id],shipment[courier])</f>
        <v>Delhivery</v>
      </c>
      <c r="S95" s="3">
        <f>order[[#This Row],[selling_price]]-order[[#This Row],[cost_price]]*order[[#This Row],[quantity]]-order[[#This Row],[discount]]</f>
        <v>-192584</v>
      </c>
      <c r="T95" s="3">
        <f>order[[#This Row],[quantity]]*order[[#This Row],[selling_price]]</f>
        <v>74188</v>
      </c>
    </row>
    <row r="96" spans="1:20" x14ac:dyDescent="0.3">
      <c r="A96">
        <v>95</v>
      </c>
      <c r="B96" s="11">
        <v>45564</v>
      </c>
      <c r="C96">
        <v>232</v>
      </c>
      <c r="D96" t="str">
        <f>_xlfn.XLOOKUP(order[[#This Row],[customer_id]],customer[customer_id],customer[customer_name])</f>
        <v>Vikram Singh</v>
      </c>
      <c r="E96">
        <v>208</v>
      </c>
      <c r="F96">
        <v>2</v>
      </c>
      <c r="G96">
        <v>45608</v>
      </c>
      <c r="H96">
        <v>3986</v>
      </c>
      <c r="I96" t="s">
        <v>9</v>
      </c>
      <c r="J96" t="s">
        <v>14</v>
      </c>
      <c r="K96" t="str">
        <f>_xlfn.XLOOKUP(order[[#This Row],[customer_id]],customer[customer_id],customer[city])</f>
        <v>Chennai</v>
      </c>
      <c r="L96" t="str">
        <f>_xlfn.XLOOKUP(order[[#This Row],[customer_id]],customer[customer_id],customer[state])</f>
        <v>Tamil Nadu</v>
      </c>
      <c r="M96" t="str">
        <f>_xlfn.XLOOKUP(order[[#This Row],[product_id]],products!$A$2:$A$11,products!$B$2:$B$11)</f>
        <v>Adidas Ultraboost Shoes</v>
      </c>
      <c r="N96" s="3" t="str">
        <f>_xlfn.XLOOKUP(order[[#This Row],[product_id]],products!$A$2:$A$11,products!$C$2:$C$11)</f>
        <v>Fashion</v>
      </c>
      <c r="O96" s="3">
        <f>_xlfn.XLOOKUP(order[[#This Row],[product_id]],Table4[product_id],Table4[cost_price])</f>
        <v>9000</v>
      </c>
      <c r="P96" s="11">
        <f>_xlfn.XLOOKUP(order[[#This Row],[order_id]],shipment[order_id],shipment[ship_date])</f>
        <v>45656</v>
      </c>
      <c r="Q96" s="11">
        <f>_xlfn.XLOOKUP(order[[#This Row],[order_id]],shipment[order_id],shipment[delivery_date])</f>
        <v>45658</v>
      </c>
      <c r="R96" s="3" t="str">
        <f>_xlfn.XLOOKUP(order[[#This Row],[order_id]],shipment[shipment_id],shipment[courier])</f>
        <v>DTDC</v>
      </c>
      <c r="S96" s="3">
        <f>order[[#This Row],[selling_price]]-order[[#This Row],[cost_price]]*order[[#This Row],[quantity]]-order[[#This Row],[discount]]</f>
        <v>23622</v>
      </c>
      <c r="T96" s="3">
        <f>order[[#This Row],[quantity]]*order[[#This Row],[selling_price]]</f>
        <v>91216</v>
      </c>
    </row>
    <row r="97" spans="1:20" x14ac:dyDescent="0.3">
      <c r="A97">
        <v>162</v>
      </c>
      <c r="B97" s="11">
        <v>45561</v>
      </c>
      <c r="C97">
        <v>126</v>
      </c>
      <c r="D97" t="str">
        <f>_xlfn.XLOOKUP(order[[#This Row],[customer_id]],customer[customer_id],customer[customer_name])</f>
        <v>Meera Joshi</v>
      </c>
      <c r="E97">
        <v>201</v>
      </c>
      <c r="F97">
        <v>4</v>
      </c>
      <c r="G97">
        <v>53970</v>
      </c>
      <c r="H97">
        <v>3116</v>
      </c>
      <c r="I97" t="s">
        <v>15</v>
      </c>
      <c r="J97" t="s">
        <v>10</v>
      </c>
      <c r="K97" t="str">
        <f>_xlfn.XLOOKUP(order[[#This Row],[customer_id]],customer[customer_id],customer[city])</f>
        <v>Mumbai</v>
      </c>
      <c r="L97" t="str">
        <f>_xlfn.XLOOKUP(order[[#This Row],[customer_id]],customer[customer_id],customer[state])</f>
        <v>Maharashtra</v>
      </c>
      <c r="M97" t="str">
        <f>_xlfn.XLOOKUP(order[[#This Row],[product_id]],products!$A$2:$A$11,products!$B$2:$B$11)</f>
        <v>iPhone 13</v>
      </c>
      <c r="N97" s="3" t="str">
        <f>_xlfn.XLOOKUP(order[[#This Row],[product_id]],products!$A$2:$A$11,products!$C$2:$C$11)</f>
        <v>Electronics</v>
      </c>
      <c r="O97" s="3">
        <f>_xlfn.XLOOKUP(order[[#This Row],[product_id]],Table4[product_id],Table4[cost_price])</f>
        <v>52000</v>
      </c>
      <c r="P97" s="11">
        <f>_xlfn.XLOOKUP(order[[#This Row],[order_id]],shipment[order_id],shipment[ship_date])</f>
        <v>45426</v>
      </c>
      <c r="Q97" s="11">
        <f>_xlfn.XLOOKUP(order[[#This Row],[order_id]],shipment[order_id],shipment[delivery_date])</f>
        <v>45427</v>
      </c>
      <c r="R97" s="3" t="str">
        <f>_xlfn.XLOOKUP(order[[#This Row],[order_id]],shipment[shipment_id],shipment[courier])</f>
        <v>DTDC</v>
      </c>
      <c r="S97" s="3">
        <f>order[[#This Row],[selling_price]]-order[[#This Row],[cost_price]]*order[[#This Row],[quantity]]-order[[#This Row],[discount]]</f>
        <v>-157146</v>
      </c>
      <c r="T97" s="3">
        <f>order[[#This Row],[quantity]]*order[[#This Row],[selling_price]]</f>
        <v>215880</v>
      </c>
    </row>
    <row r="98" spans="1:20" x14ac:dyDescent="0.3">
      <c r="A98">
        <v>437</v>
      </c>
      <c r="B98" s="11">
        <v>45612</v>
      </c>
      <c r="C98">
        <v>180</v>
      </c>
      <c r="D98" t="str">
        <f>_xlfn.XLOOKUP(order[[#This Row],[customer_id]],customer[customer_id],customer[customer_name])</f>
        <v>Siddharth Jain</v>
      </c>
      <c r="E98">
        <v>201</v>
      </c>
      <c r="F98">
        <v>3</v>
      </c>
      <c r="G98">
        <v>59309</v>
      </c>
      <c r="H98">
        <v>3095</v>
      </c>
      <c r="I98" t="s">
        <v>9</v>
      </c>
      <c r="J98" t="s">
        <v>12</v>
      </c>
      <c r="K98" t="str">
        <f>_xlfn.XLOOKUP(order[[#This Row],[customer_id]],customer[customer_id],customer[city])</f>
        <v>Hyderabad</v>
      </c>
      <c r="L98" t="str">
        <f>_xlfn.XLOOKUP(order[[#This Row],[customer_id]],customer[customer_id],customer[state])</f>
        <v>Telangana</v>
      </c>
      <c r="M98" t="str">
        <f>_xlfn.XLOOKUP(order[[#This Row],[product_id]],products!$A$2:$A$11,products!$B$2:$B$11)</f>
        <v>iPhone 13</v>
      </c>
      <c r="N98" s="3" t="str">
        <f>_xlfn.XLOOKUP(order[[#This Row],[product_id]],products!$A$2:$A$11,products!$C$2:$C$11)</f>
        <v>Electronics</v>
      </c>
      <c r="O98" s="3">
        <f>_xlfn.XLOOKUP(order[[#This Row],[product_id]],Table4[product_id],Table4[cost_price])</f>
        <v>52000</v>
      </c>
      <c r="P98" s="11">
        <f>_xlfn.XLOOKUP(order[[#This Row],[order_id]],shipment[order_id],shipment[ship_date])</f>
        <v>45380</v>
      </c>
      <c r="Q98" s="11">
        <f>_xlfn.XLOOKUP(order[[#This Row],[order_id]],shipment[order_id],shipment[delivery_date])</f>
        <v>45389</v>
      </c>
      <c r="R98" s="3" t="str">
        <f>_xlfn.XLOOKUP(order[[#This Row],[order_id]],shipment[shipment_id],shipment[courier])</f>
        <v>BlueDart</v>
      </c>
      <c r="S98" s="3">
        <f>order[[#This Row],[selling_price]]-order[[#This Row],[cost_price]]*order[[#This Row],[quantity]]-order[[#This Row],[discount]]</f>
        <v>-99786</v>
      </c>
      <c r="T98" s="3">
        <f>order[[#This Row],[quantity]]*order[[#This Row],[selling_price]]</f>
        <v>177927</v>
      </c>
    </row>
    <row r="99" spans="1:20" x14ac:dyDescent="0.3">
      <c r="A99">
        <v>98</v>
      </c>
      <c r="B99" s="11">
        <v>45626</v>
      </c>
      <c r="C99">
        <v>212</v>
      </c>
      <c r="D99" t="str">
        <f>_xlfn.XLOOKUP(order[[#This Row],[customer_id]],customer[customer_id],customer[customer_name])</f>
        <v>Vikram Singh</v>
      </c>
      <c r="E99">
        <v>204</v>
      </c>
      <c r="F99">
        <v>1</v>
      </c>
      <c r="G99">
        <v>55490</v>
      </c>
      <c r="H99">
        <v>2961</v>
      </c>
      <c r="I99" t="s">
        <v>15</v>
      </c>
      <c r="J99" t="s">
        <v>10</v>
      </c>
      <c r="K99" t="str">
        <f>_xlfn.XLOOKUP(order[[#This Row],[customer_id]],customer[customer_id],customer[city])</f>
        <v>Ahmedabad</v>
      </c>
      <c r="L99" t="str">
        <f>_xlfn.XLOOKUP(order[[#This Row],[customer_id]],customer[customer_id],customer[state])</f>
        <v>Gujarat</v>
      </c>
      <c r="M99" t="str">
        <f>_xlfn.XLOOKUP(order[[#This Row],[product_id]],products!$A$2:$A$11,products!$B$2:$B$11)</f>
        <v>Levi's Slim Fit Jeans</v>
      </c>
      <c r="N99" s="3" t="str">
        <f>_xlfn.XLOOKUP(order[[#This Row],[product_id]],products!$A$2:$A$11,products!$C$2:$C$11)</f>
        <v>Fashion</v>
      </c>
      <c r="O99" s="3">
        <f>_xlfn.XLOOKUP(order[[#This Row],[product_id]],Table4[product_id],Table4[cost_price])</f>
        <v>1800</v>
      </c>
      <c r="P99" s="11">
        <f>_xlfn.XLOOKUP(order[[#This Row],[order_id]],shipment[order_id],shipment[ship_date])</f>
        <v>45595</v>
      </c>
      <c r="Q99" s="11">
        <f>_xlfn.XLOOKUP(order[[#This Row],[order_id]],shipment[order_id],shipment[delivery_date])</f>
        <v>45596</v>
      </c>
      <c r="R99" s="3" t="str">
        <f>_xlfn.XLOOKUP(order[[#This Row],[order_id]],shipment[shipment_id],shipment[courier])</f>
        <v>Delhivery</v>
      </c>
      <c r="S99" s="3">
        <f>order[[#This Row],[selling_price]]-order[[#This Row],[cost_price]]*order[[#This Row],[quantity]]-order[[#This Row],[discount]]</f>
        <v>50729</v>
      </c>
      <c r="T99" s="3">
        <f>order[[#This Row],[quantity]]*order[[#This Row],[selling_price]]</f>
        <v>55490</v>
      </c>
    </row>
    <row r="100" spans="1:20" x14ac:dyDescent="0.3">
      <c r="A100">
        <v>727</v>
      </c>
      <c r="B100" s="11">
        <v>45400</v>
      </c>
      <c r="C100">
        <v>137</v>
      </c>
      <c r="D100" t="str">
        <f>_xlfn.XLOOKUP(order[[#This Row],[customer_id]],customer[customer_id],customer[customer_name])</f>
        <v>Ananya Gupta</v>
      </c>
      <c r="E100">
        <v>201</v>
      </c>
      <c r="F100">
        <v>4</v>
      </c>
      <c r="G100">
        <v>19726</v>
      </c>
      <c r="H100">
        <v>3068</v>
      </c>
      <c r="I100" t="s">
        <v>11</v>
      </c>
      <c r="J100" t="s">
        <v>14</v>
      </c>
      <c r="K100" t="str">
        <f>_xlfn.XLOOKUP(order[[#This Row],[customer_id]],customer[customer_id],customer[city])</f>
        <v>Delhi</v>
      </c>
      <c r="L100" t="str">
        <f>_xlfn.XLOOKUP(order[[#This Row],[customer_id]],customer[customer_id],customer[state])</f>
        <v>Delhi</v>
      </c>
      <c r="M100" t="str">
        <f>_xlfn.XLOOKUP(order[[#This Row],[product_id]],products!$A$2:$A$11,products!$B$2:$B$11)</f>
        <v>iPhone 13</v>
      </c>
      <c r="N100" s="3" t="str">
        <f>_xlfn.XLOOKUP(order[[#This Row],[product_id]],products!$A$2:$A$11,products!$C$2:$C$11)</f>
        <v>Electronics</v>
      </c>
      <c r="O100" s="3">
        <f>_xlfn.XLOOKUP(order[[#This Row],[product_id]],Table4[product_id],Table4[cost_price])</f>
        <v>52000</v>
      </c>
      <c r="P100" s="11">
        <f>_xlfn.XLOOKUP(order[[#This Row],[order_id]],shipment[order_id],shipment[ship_date])</f>
        <v>45589</v>
      </c>
      <c r="Q100" s="11">
        <f>_xlfn.XLOOKUP(order[[#This Row],[order_id]],shipment[order_id],shipment[delivery_date])</f>
        <v>45597</v>
      </c>
      <c r="R100" s="3" t="str">
        <f>_xlfn.XLOOKUP(order[[#This Row],[order_id]],shipment[shipment_id],shipment[courier])</f>
        <v>Delhivery</v>
      </c>
      <c r="S100" s="3">
        <f>order[[#This Row],[selling_price]]-order[[#This Row],[cost_price]]*order[[#This Row],[quantity]]-order[[#This Row],[discount]]</f>
        <v>-191342</v>
      </c>
      <c r="T100" s="3">
        <f>order[[#This Row],[quantity]]*order[[#This Row],[selling_price]]</f>
        <v>78904</v>
      </c>
    </row>
    <row r="101" spans="1:20" x14ac:dyDescent="0.3">
      <c r="A101">
        <v>199</v>
      </c>
      <c r="B101" s="11">
        <v>45460</v>
      </c>
      <c r="C101">
        <v>256</v>
      </c>
      <c r="D101" t="str">
        <f>_xlfn.XLOOKUP(order[[#This Row],[customer_id]],customer[customer_id],customer[customer_name])</f>
        <v>Priya Reddy</v>
      </c>
      <c r="E101">
        <v>201</v>
      </c>
      <c r="F101">
        <v>3</v>
      </c>
      <c r="G101">
        <v>20302</v>
      </c>
      <c r="H101">
        <v>3007</v>
      </c>
      <c r="I101" t="s">
        <v>13</v>
      </c>
      <c r="J101" t="s">
        <v>14</v>
      </c>
      <c r="K101" t="str">
        <f>_xlfn.XLOOKUP(order[[#This Row],[customer_id]],customer[customer_id],customer[city])</f>
        <v>Hyderabad</v>
      </c>
      <c r="L101" t="str">
        <f>_xlfn.XLOOKUP(order[[#This Row],[customer_id]],customer[customer_id],customer[state])</f>
        <v>Telangana</v>
      </c>
      <c r="M101" t="str">
        <f>_xlfn.XLOOKUP(order[[#This Row],[product_id]],products!$A$2:$A$11,products!$B$2:$B$11)</f>
        <v>iPhone 13</v>
      </c>
      <c r="N101" s="3" t="str">
        <f>_xlfn.XLOOKUP(order[[#This Row],[product_id]],products!$A$2:$A$11,products!$C$2:$C$11)</f>
        <v>Electronics</v>
      </c>
      <c r="O101" s="3">
        <f>_xlfn.XLOOKUP(order[[#This Row],[product_id]],Table4[product_id],Table4[cost_price])</f>
        <v>52000</v>
      </c>
      <c r="P101" s="11">
        <f>_xlfn.XLOOKUP(order[[#This Row],[order_id]],shipment[order_id],shipment[ship_date])</f>
        <v>45428</v>
      </c>
      <c r="Q101" s="11">
        <f>_xlfn.XLOOKUP(order[[#This Row],[order_id]],shipment[order_id],shipment[delivery_date])</f>
        <v>45436</v>
      </c>
      <c r="R101" s="3" t="str">
        <f>_xlfn.XLOOKUP(order[[#This Row],[order_id]],shipment[shipment_id],shipment[courier])</f>
        <v>BlueDart</v>
      </c>
      <c r="S101" s="3">
        <f>order[[#This Row],[selling_price]]-order[[#This Row],[cost_price]]*order[[#This Row],[quantity]]-order[[#This Row],[discount]]</f>
        <v>-138705</v>
      </c>
      <c r="T101" s="3">
        <f>order[[#This Row],[quantity]]*order[[#This Row],[selling_price]]</f>
        <v>60906</v>
      </c>
    </row>
    <row r="102" spans="1:20" x14ac:dyDescent="0.3">
      <c r="A102">
        <v>101</v>
      </c>
      <c r="B102" s="11">
        <v>45550</v>
      </c>
      <c r="C102">
        <v>229</v>
      </c>
      <c r="D102" t="str">
        <f>_xlfn.XLOOKUP(order[[#This Row],[customer_id]],customer[customer_id],customer[customer_name])</f>
        <v>Aarav Sharma</v>
      </c>
      <c r="E102">
        <v>210</v>
      </c>
      <c r="F102">
        <v>1</v>
      </c>
      <c r="G102">
        <v>41668</v>
      </c>
      <c r="H102">
        <v>4925</v>
      </c>
      <c r="I102" t="s">
        <v>13</v>
      </c>
      <c r="J102" t="s">
        <v>12</v>
      </c>
      <c r="K102" t="str">
        <f>_xlfn.XLOOKUP(order[[#This Row],[customer_id]],customer[customer_id],customer[city])</f>
        <v>Hyderabad</v>
      </c>
      <c r="L102" t="str">
        <f>_xlfn.XLOOKUP(order[[#This Row],[customer_id]],customer[customer_id],customer[state])</f>
        <v>Telangana</v>
      </c>
      <c r="M102" t="str">
        <f>_xlfn.XLOOKUP(order[[#This Row],[product_id]],products!$A$2:$A$11,products!$B$2:$B$11)</f>
        <v>LG 43 Inch Smart TV</v>
      </c>
      <c r="N102" s="3" t="str">
        <f>_xlfn.XLOOKUP(order[[#This Row],[product_id]],products!$A$2:$A$11,products!$C$2:$C$11)</f>
        <v>Electronics</v>
      </c>
      <c r="O102" s="3">
        <f>_xlfn.XLOOKUP(order[[#This Row],[product_id]],Table4[product_id],Table4[cost_price])</f>
        <v>30000</v>
      </c>
      <c r="P102" s="11">
        <f>_xlfn.XLOOKUP(order[[#This Row],[order_id]],shipment[order_id],shipment[ship_date])</f>
        <v>45588</v>
      </c>
      <c r="Q102" s="11">
        <f>_xlfn.XLOOKUP(order[[#This Row],[order_id]],shipment[order_id],shipment[delivery_date])</f>
        <v>45592</v>
      </c>
      <c r="R102" s="3" t="str">
        <f>_xlfn.XLOOKUP(order[[#This Row],[order_id]],shipment[shipment_id],shipment[courier])</f>
        <v>BlueDart</v>
      </c>
      <c r="S102" s="3">
        <f>order[[#This Row],[selling_price]]-order[[#This Row],[cost_price]]*order[[#This Row],[quantity]]-order[[#This Row],[discount]]</f>
        <v>6743</v>
      </c>
      <c r="T102" s="3">
        <f>order[[#This Row],[quantity]]*order[[#This Row],[selling_price]]</f>
        <v>41668</v>
      </c>
    </row>
    <row r="103" spans="1:20" x14ac:dyDescent="0.3">
      <c r="A103">
        <v>56</v>
      </c>
      <c r="B103" s="11">
        <v>45633</v>
      </c>
      <c r="C103">
        <v>230</v>
      </c>
      <c r="D103" t="str">
        <f>_xlfn.XLOOKUP(order[[#This Row],[customer_id]],customer[customer_id],customer[customer_name])</f>
        <v>Rohit Verma</v>
      </c>
      <c r="E103">
        <v>201</v>
      </c>
      <c r="F103">
        <v>4</v>
      </c>
      <c r="G103">
        <v>11299</v>
      </c>
      <c r="H103">
        <v>2980</v>
      </c>
      <c r="I103" t="s">
        <v>15</v>
      </c>
      <c r="J103" t="s">
        <v>12</v>
      </c>
      <c r="K103" t="str">
        <f>_xlfn.XLOOKUP(order[[#This Row],[customer_id]],customer[customer_id],customer[city])</f>
        <v>Mumbai</v>
      </c>
      <c r="L103" t="str">
        <f>_xlfn.XLOOKUP(order[[#This Row],[customer_id]],customer[customer_id],customer[state])</f>
        <v>Maharashtra</v>
      </c>
      <c r="M103" t="str">
        <f>_xlfn.XLOOKUP(order[[#This Row],[product_id]],products!$A$2:$A$11,products!$B$2:$B$11)</f>
        <v>iPhone 13</v>
      </c>
      <c r="N103" s="3" t="str">
        <f>_xlfn.XLOOKUP(order[[#This Row],[product_id]],products!$A$2:$A$11,products!$C$2:$C$11)</f>
        <v>Electronics</v>
      </c>
      <c r="O103" s="3">
        <f>_xlfn.XLOOKUP(order[[#This Row],[product_id]],Table4[product_id],Table4[cost_price])</f>
        <v>52000</v>
      </c>
      <c r="P103" s="11">
        <f>_xlfn.XLOOKUP(order[[#This Row],[order_id]],shipment[order_id],shipment[ship_date])</f>
        <v>45306</v>
      </c>
      <c r="Q103" s="11">
        <f>_xlfn.XLOOKUP(order[[#This Row],[order_id]],shipment[order_id],shipment[delivery_date])</f>
        <v>45309</v>
      </c>
      <c r="R103" s="3" t="str">
        <f>_xlfn.XLOOKUP(order[[#This Row],[order_id]],shipment[shipment_id],shipment[courier])</f>
        <v>BlueDart</v>
      </c>
      <c r="S103" s="3">
        <f>order[[#This Row],[selling_price]]-order[[#This Row],[cost_price]]*order[[#This Row],[quantity]]-order[[#This Row],[discount]]</f>
        <v>-199681</v>
      </c>
      <c r="T103" s="3">
        <f>order[[#This Row],[quantity]]*order[[#This Row],[selling_price]]</f>
        <v>45196</v>
      </c>
    </row>
    <row r="104" spans="1:20" x14ac:dyDescent="0.3">
      <c r="A104">
        <v>103</v>
      </c>
      <c r="B104" s="11">
        <v>45581</v>
      </c>
      <c r="C104">
        <v>117</v>
      </c>
      <c r="D104" t="str">
        <f>_xlfn.XLOOKUP(order[[#This Row],[customer_id]],customer[customer_id],customer[customer_name])</f>
        <v>Rohit Verma</v>
      </c>
      <c r="E104">
        <v>205</v>
      </c>
      <c r="F104">
        <v>1</v>
      </c>
      <c r="G104">
        <v>31952</v>
      </c>
      <c r="H104">
        <v>1479</v>
      </c>
      <c r="I104" t="s">
        <v>13</v>
      </c>
      <c r="J104" t="s">
        <v>14</v>
      </c>
      <c r="K104" t="str">
        <f>_xlfn.XLOOKUP(order[[#This Row],[customer_id]],customer[customer_id],customer[city])</f>
        <v>Bangalore</v>
      </c>
      <c r="L104" t="str">
        <f>_xlfn.XLOOKUP(order[[#This Row],[customer_id]],customer[customer_id],customer[state])</f>
        <v>Karnataka</v>
      </c>
      <c r="M104" t="str">
        <f>_xlfn.XLOOKUP(order[[#This Row],[product_id]],products!$A$2:$A$11,products!$B$2:$B$11)</f>
        <v>Prestige Pressure Cooker 5L</v>
      </c>
      <c r="N104" s="3" t="str">
        <f>_xlfn.XLOOKUP(order[[#This Row],[product_id]],products!$A$2:$A$11,products!$C$2:$C$11)</f>
        <v>Home &amp; Kitchen</v>
      </c>
      <c r="O104" s="3">
        <f>_xlfn.XLOOKUP(order[[#This Row],[product_id]],Table4[product_id],Table4[cost_price])</f>
        <v>1200</v>
      </c>
      <c r="P104" s="11">
        <f>_xlfn.XLOOKUP(order[[#This Row],[order_id]],shipment[order_id],shipment[ship_date])</f>
        <v>45617</v>
      </c>
      <c r="Q104" s="11">
        <f>_xlfn.XLOOKUP(order[[#This Row],[order_id]],shipment[order_id],shipment[delivery_date])</f>
        <v>45626</v>
      </c>
      <c r="R104" s="3" t="str">
        <f>_xlfn.XLOOKUP(order[[#This Row],[order_id]],shipment[shipment_id],shipment[courier])</f>
        <v>BlueDart</v>
      </c>
      <c r="S104" s="3">
        <f>order[[#This Row],[selling_price]]-order[[#This Row],[cost_price]]*order[[#This Row],[quantity]]-order[[#This Row],[discount]]</f>
        <v>29273</v>
      </c>
      <c r="T104" s="3">
        <f>order[[#This Row],[quantity]]*order[[#This Row],[selling_price]]</f>
        <v>31952</v>
      </c>
    </row>
    <row r="105" spans="1:20" x14ac:dyDescent="0.3">
      <c r="A105">
        <v>104</v>
      </c>
      <c r="B105" s="11">
        <v>45602</v>
      </c>
      <c r="C105">
        <v>297</v>
      </c>
      <c r="D105" t="str">
        <f>_xlfn.XLOOKUP(order[[#This Row],[customer_id]],customer[customer_id],customer[customer_name])</f>
        <v>Meera Joshi</v>
      </c>
      <c r="E105">
        <v>207</v>
      </c>
      <c r="F105">
        <v>2</v>
      </c>
      <c r="G105">
        <v>63110</v>
      </c>
      <c r="H105">
        <v>948</v>
      </c>
      <c r="I105" t="s">
        <v>15</v>
      </c>
      <c r="J105" t="s">
        <v>12</v>
      </c>
      <c r="K105" t="str">
        <f>_xlfn.XLOOKUP(order[[#This Row],[customer_id]],customer[customer_id],customer[city])</f>
        <v>Bangalore</v>
      </c>
      <c r="L105" t="str">
        <f>_xlfn.XLOOKUP(order[[#This Row],[customer_id]],customer[customer_id],customer[state])</f>
        <v>Karnataka</v>
      </c>
      <c r="M105" t="str">
        <f>_xlfn.XLOOKUP(order[[#This Row],[product_id]],products!$A$2:$A$11,products!$B$2:$B$11)</f>
        <v>Sony WH-1000XM4 Headphones</v>
      </c>
      <c r="N105" s="3" t="str">
        <f>_xlfn.XLOOKUP(order[[#This Row],[product_id]],products!$A$2:$A$11,products!$C$2:$C$11)</f>
        <v>Electronics</v>
      </c>
      <c r="O105" s="3">
        <f>_xlfn.XLOOKUP(order[[#This Row],[product_id]],Table4[product_id],Table4[cost_price])</f>
        <v>20000</v>
      </c>
      <c r="P105" s="11">
        <f>_xlfn.XLOOKUP(order[[#This Row],[order_id]],shipment[order_id],shipment[ship_date])</f>
        <v>45549</v>
      </c>
      <c r="Q105" s="11">
        <f>_xlfn.XLOOKUP(order[[#This Row],[order_id]],shipment[order_id],shipment[delivery_date])</f>
        <v>45550</v>
      </c>
      <c r="R105" s="3" t="str">
        <f>_xlfn.XLOOKUP(order[[#This Row],[order_id]],shipment[shipment_id],shipment[courier])</f>
        <v>DTDC</v>
      </c>
      <c r="S105" s="3">
        <f>order[[#This Row],[selling_price]]-order[[#This Row],[cost_price]]*order[[#This Row],[quantity]]-order[[#This Row],[discount]]</f>
        <v>22162</v>
      </c>
      <c r="T105" s="3">
        <f>order[[#This Row],[quantity]]*order[[#This Row],[selling_price]]</f>
        <v>126220</v>
      </c>
    </row>
    <row r="106" spans="1:20" x14ac:dyDescent="0.3">
      <c r="A106">
        <v>105</v>
      </c>
      <c r="B106" s="11">
        <v>45541</v>
      </c>
      <c r="C106">
        <v>278</v>
      </c>
      <c r="D106" t="str">
        <f>_xlfn.XLOOKUP(order[[#This Row],[customer_id]],customer[customer_id],customer[customer_name])</f>
        <v>Neha Kapoor</v>
      </c>
      <c r="E106">
        <v>206</v>
      </c>
      <c r="F106">
        <v>3</v>
      </c>
      <c r="G106">
        <v>29500</v>
      </c>
      <c r="H106">
        <v>4223</v>
      </c>
      <c r="I106" t="s">
        <v>11</v>
      </c>
      <c r="J106" t="s">
        <v>12</v>
      </c>
      <c r="K106" t="str">
        <f>_xlfn.XLOOKUP(order[[#This Row],[customer_id]],customer[customer_id],customer[city])</f>
        <v>Hyderabad</v>
      </c>
      <c r="L106" t="str">
        <f>_xlfn.XLOOKUP(order[[#This Row],[customer_id]],customer[customer_id],customer[state])</f>
        <v>Telangana</v>
      </c>
      <c r="M106" t="str">
        <f>_xlfn.XLOOKUP(order[[#This Row],[product_id]],products!$A$2:$A$11,products!$B$2:$B$11)</f>
        <v>Philips Air Fryer</v>
      </c>
      <c r="N106" s="3" t="str">
        <f>_xlfn.XLOOKUP(order[[#This Row],[product_id]],products!$A$2:$A$11,products!$C$2:$C$11)</f>
        <v>Home &amp; Kitchen</v>
      </c>
      <c r="O106" s="3">
        <f>_xlfn.XLOOKUP(order[[#This Row],[product_id]],Table4[product_id],Table4[cost_price])</f>
        <v>7000</v>
      </c>
      <c r="P106" s="11">
        <f>_xlfn.XLOOKUP(order[[#This Row],[order_id]],shipment[order_id],shipment[ship_date])</f>
        <v>45580</v>
      </c>
      <c r="Q106" s="11">
        <f>_xlfn.XLOOKUP(order[[#This Row],[order_id]],shipment[order_id],shipment[delivery_date])</f>
        <v>45583</v>
      </c>
      <c r="R106" s="3" t="str">
        <f>_xlfn.XLOOKUP(order[[#This Row],[order_id]],shipment[shipment_id],shipment[courier])</f>
        <v>DTDC</v>
      </c>
      <c r="S106" s="3">
        <f>order[[#This Row],[selling_price]]-order[[#This Row],[cost_price]]*order[[#This Row],[quantity]]-order[[#This Row],[discount]]</f>
        <v>4277</v>
      </c>
      <c r="T106" s="3">
        <f>order[[#This Row],[quantity]]*order[[#This Row],[selling_price]]</f>
        <v>88500</v>
      </c>
    </row>
    <row r="107" spans="1:20" x14ac:dyDescent="0.3">
      <c r="A107">
        <v>106</v>
      </c>
      <c r="B107" s="11">
        <v>45618</v>
      </c>
      <c r="C107">
        <v>163</v>
      </c>
      <c r="D107" t="str">
        <f>_xlfn.XLOOKUP(order[[#This Row],[customer_id]],customer[customer_id],customer[customer_name])</f>
        <v>Ananya Gupta</v>
      </c>
      <c r="E107">
        <v>209</v>
      </c>
      <c r="F107">
        <v>3</v>
      </c>
      <c r="G107">
        <v>37112</v>
      </c>
      <c r="H107">
        <v>3765</v>
      </c>
      <c r="I107" t="s">
        <v>15</v>
      </c>
      <c r="J107" t="s">
        <v>12</v>
      </c>
      <c r="K107" t="str">
        <f>_xlfn.XLOOKUP(order[[#This Row],[customer_id]],customer[customer_id],customer[city])</f>
        <v>Chennai</v>
      </c>
      <c r="L107" t="str">
        <f>_xlfn.XLOOKUP(order[[#This Row],[customer_id]],customer[customer_id],customer[state])</f>
        <v>Tamil Nadu</v>
      </c>
      <c r="M107" t="str">
        <f>_xlfn.XLOOKUP(order[[#This Row],[product_id]],products!$A$2:$A$11,products!$B$2:$B$11)</f>
        <v>Milton Thermosteel Bottle</v>
      </c>
      <c r="N107" s="3" t="str">
        <f>_xlfn.XLOOKUP(order[[#This Row],[product_id]],products!$A$2:$A$11,products!$C$2:$C$11)</f>
        <v>Home &amp; Kitchen</v>
      </c>
      <c r="O107" s="3">
        <f>_xlfn.XLOOKUP(order[[#This Row],[product_id]],Table4[product_id],Table4[cost_price])</f>
        <v>800</v>
      </c>
      <c r="P107" s="11">
        <f>_xlfn.XLOOKUP(order[[#This Row],[order_id]],shipment[order_id],shipment[ship_date])</f>
        <v>45413</v>
      </c>
      <c r="Q107" s="11">
        <f>_xlfn.XLOOKUP(order[[#This Row],[order_id]],shipment[order_id],shipment[delivery_date])</f>
        <v>45415</v>
      </c>
      <c r="R107" s="3" t="str">
        <f>_xlfn.XLOOKUP(order[[#This Row],[order_id]],shipment[shipment_id],shipment[courier])</f>
        <v>Delhivery</v>
      </c>
      <c r="S107" s="3">
        <f>order[[#This Row],[selling_price]]-order[[#This Row],[cost_price]]*order[[#This Row],[quantity]]-order[[#This Row],[discount]]</f>
        <v>30947</v>
      </c>
      <c r="T107" s="3">
        <f>order[[#This Row],[quantity]]*order[[#This Row],[selling_price]]</f>
        <v>111336</v>
      </c>
    </row>
    <row r="108" spans="1:20" x14ac:dyDescent="0.3">
      <c r="A108">
        <v>764</v>
      </c>
      <c r="B108" s="11">
        <v>45542</v>
      </c>
      <c r="C108">
        <v>232</v>
      </c>
      <c r="D108" t="str">
        <f>_xlfn.XLOOKUP(order[[#This Row],[customer_id]],customer[customer_id],customer[customer_name])</f>
        <v>Vikram Singh</v>
      </c>
      <c r="E108">
        <v>201</v>
      </c>
      <c r="F108">
        <v>2</v>
      </c>
      <c r="G108">
        <v>28470</v>
      </c>
      <c r="H108">
        <v>2980</v>
      </c>
      <c r="I108" t="s">
        <v>15</v>
      </c>
      <c r="J108" t="s">
        <v>14</v>
      </c>
      <c r="K108" t="str">
        <f>_xlfn.XLOOKUP(order[[#This Row],[customer_id]],customer[customer_id],customer[city])</f>
        <v>Chennai</v>
      </c>
      <c r="L108" t="str">
        <f>_xlfn.XLOOKUP(order[[#This Row],[customer_id]],customer[customer_id],customer[state])</f>
        <v>Tamil Nadu</v>
      </c>
      <c r="M108" t="str">
        <f>_xlfn.XLOOKUP(order[[#This Row],[product_id]],products!$A$2:$A$11,products!$B$2:$B$11)</f>
        <v>iPhone 13</v>
      </c>
      <c r="N108" s="3" t="str">
        <f>_xlfn.XLOOKUP(order[[#This Row],[product_id]],products!$A$2:$A$11,products!$C$2:$C$11)</f>
        <v>Electronics</v>
      </c>
      <c r="O108" s="3">
        <f>_xlfn.XLOOKUP(order[[#This Row],[product_id]],Table4[product_id],Table4[cost_price])</f>
        <v>52000</v>
      </c>
      <c r="P108" s="11">
        <f>_xlfn.XLOOKUP(order[[#This Row],[order_id]],shipment[order_id],shipment[ship_date])</f>
        <v>45547</v>
      </c>
      <c r="Q108" s="11">
        <f>_xlfn.XLOOKUP(order[[#This Row],[order_id]],shipment[order_id],shipment[delivery_date])</f>
        <v>45553</v>
      </c>
      <c r="R108" s="3" t="str">
        <f>_xlfn.XLOOKUP(order[[#This Row],[order_id]],shipment[shipment_id],shipment[courier])</f>
        <v>BlueDart</v>
      </c>
      <c r="S108" s="3">
        <f>order[[#This Row],[selling_price]]-order[[#This Row],[cost_price]]*order[[#This Row],[quantity]]-order[[#This Row],[discount]]</f>
        <v>-78510</v>
      </c>
      <c r="T108" s="3">
        <f>order[[#This Row],[quantity]]*order[[#This Row],[selling_price]]</f>
        <v>56940</v>
      </c>
    </row>
    <row r="109" spans="1:20" x14ac:dyDescent="0.3">
      <c r="A109">
        <v>364</v>
      </c>
      <c r="B109" s="11">
        <v>45370</v>
      </c>
      <c r="C109">
        <v>223</v>
      </c>
      <c r="D109" t="str">
        <f>_xlfn.XLOOKUP(order[[#This Row],[customer_id]],customer[customer_id],customer[customer_name])</f>
        <v>Manish Yadav</v>
      </c>
      <c r="E109">
        <v>201</v>
      </c>
      <c r="F109">
        <v>1</v>
      </c>
      <c r="G109">
        <v>37183</v>
      </c>
      <c r="H109">
        <v>2975</v>
      </c>
      <c r="I109" t="s">
        <v>15</v>
      </c>
      <c r="J109" t="s">
        <v>14</v>
      </c>
      <c r="K109" t="str">
        <f>_xlfn.XLOOKUP(order[[#This Row],[customer_id]],customer[customer_id],customer[city])</f>
        <v>Delhi</v>
      </c>
      <c r="L109" t="str">
        <f>_xlfn.XLOOKUP(order[[#This Row],[customer_id]],customer[customer_id],customer[state])</f>
        <v>Delhi</v>
      </c>
      <c r="M109" t="str">
        <f>_xlfn.XLOOKUP(order[[#This Row],[product_id]],products!$A$2:$A$11,products!$B$2:$B$11)</f>
        <v>iPhone 13</v>
      </c>
      <c r="N109" s="3" t="str">
        <f>_xlfn.XLOOKUP(order[[#This Row],[product_id]],products!$A$2:$A$11,products!$C$2:$C$11)</f>
        <v>Electronics</v>
      </c>
      <c r="O109" s="3">
        <f>_xlfn.XLOOKUP(order[[#This Row],[product_id]],Table4[product_id],Table4[cost_price])</f>
        <v>52000</v>
      </c>
      <c r="P109" s="11">
        <f>_xlfn.XLOOKUP(order[[#This Row],[order_id]],shipment[order_id],shipment[ship_date])</f>
        <v>45566</v>
      </c>
      <c r="Q109" s="11">
        <f>_xlfn.XLOOKUP(order[[#This Row],[order_id]],shipment[order_id],shipment[delivery_date])</f>
        <v>45574</v>
      </c>
      <c r="R109" s="3" t="str">
        <f>_xlfn.XLOOKUP(order[[#This Row],[order_id]],shipment[shipment_id],shipment[courier])</f>
        <v>DTDC</v>
      </c>
      <c r="S109" s="3">
        <f>order[[#This Row],[selling_price]]-order[[#This Row],[cost_price]]*order[[#This Row],[quantity]]-order[[#This Row],[discount]]</f>
        <v>-17792</v>
      </c>
      <c r="T109" s="3">
        <f>order[[#This Row],[quantity]]*order[[#This Row],[selling_price]]</f>
        <v>37183</v>
      </c>
    </row>
    <row r="110" spans="1:20" x14ac:dyDescent="0.3">
      <c r="A110">
        <v>18</v>
      </c>
      <c r="B110" s="11">
        <v>45295</v>
      </c>
      <c r="C110">
        <v>133</v>
      </c>
      <c r="D110" t="str">
        <f>_xlfn.XLOOKUP(order[[#This Row],[customer_id]],customer[customer_id],customer[customer_name])</f>
        <v>Manish Yadav</v>
      </c>
      <c r="E110">
        <v>201</v>
      </c>
      <c r="F110">
        <v>1</v>
      </c>
      <c r="G110">
        <v>14649</v>
      </c>
      <c r="H110">
        <v>2936</v>
      </c>
      <c r="I110" t="s">
        <v>13</v>
      </c>
      <c r="J110" t="s">
        <v>14</v>
      </c>
      <c r="K110" t="str">
        <f>_xlfn.XLOOKUP(order[[#This Row],[customer_id]],customer[customer_id],customer[city])</f>
        <v>Hyderabad</v>
      </c>
      <c r="L110" t="str">
        <f>_xlfn.XLOOKUP(order[[#This Row],[customer_id]],customer[customer_id],customer[state])</f>
        <v>Telangana</v>
      </c>
      <c r="M110" t="str">
        <f>_xlfn.XLOOKUP(order[[#This Row],[product_id]],products!$A$2:$A$11,products!$B$2:$B$11)</f>
        <v>iPhone 13</v>
      </c>
      <c r="N110" s="3" t="str">
        <f>_xlfn.XLOOKUP(order[[#This Row],[product_id]],products!$A$2:$A$11,products!$C$2:$C$11)</f>
        <v>Electronics</v>
      </c>
      <c r="O110" s="3">
        <f>_xlfn.XLOOKUP(order[[#This Row],[product_id]],Table4[product_id],Table4[cost_price])</f>
        <v>52000</v>
      </c>
      <c r="P110" s="11">
        <f>_xlfn.XLOOKUP(order[[#This Row],[order_id]],shipment[order_id],shipment[ship_date])</f>
        <v>45557</v>
      </c>
      <c r="Q110" s="11">
        <f>_xlfn.XLOOKUP(order[[#This Row],[order_id]],shipment[order_id],shipment[delivery_date])</f>
        <v>45560</v>
      </c>
      <c r="R110" s="3" t="str">
        <f>_xlfn.XLOOKUP(order[[#This Row],[order_id]],shipment[shipment_id],shipment[courier])</f>
        <v>Delhivery</v>
      </c>
      <c r="S110" s="3">
        <f>order[[#This Row],[selling_price]]-order[[#This Row],[cost_price]]*order[[#This Row],[quantity]]-order[[#This Row],[discount]]</f>
        <v>-40287</v>
      </c>
      <c r="T110" s="3">
        <f>order[[#This Row],[quantity]]*order[[#This Row],[selling_price]]</f>
        <v>14649</v>
      </c>
    </row>
    <row r="111" spans="1:20" x14ac:dyDescent="0.3">
      <c r="A111">
        <v>194</v>
      </c>
      <c r="B111" s="11">
        <v>45613</v>
      </c>
      <c r="C111">
        <v>211</v>
      </c>
      <c r="D111" t="str">
        <f>_xlfn.XLOOKUP(order[[#This Row],[customer_id]],customer[customer_id],customer[customer_name])</f>
        <v>Aarav Sharma</v>
      </c>
      <c r="E111">
        <v>201</v>
      </c>
      <c r="F111">
        <v>3</v>
      </c>
      <c r="G111">
        <v>53774</v>
      </c>
      <c r="H111">
        <v>2881</v>
      </c>
      <c r="I111" t="s">
        <v>15</v>
      </c>
      <c r="J111" t="s">
        <v>12</v>
      </c>
      <c r="K111" t="str">
        <f>_xlfn.XLOOKUP(order[[#This Row],[customer_id]],customer[customer_id],customer[city])</f>
        <v>Ahmedabad</v>
      </c>
      <c r="L111" t="str">
        <f>_xlfn.XLOOKUP(order[[#This Row],[customer_id]],customer[customer_id],customer[state])</f>
        <v>Gujarat</v>
      </c>
      <c r="M111" t="str">
        <f>_xlfn.XLOOKUP(order[[#This Row],[product_id]],products!$A$2:$A$11,products!$B$2:$B$11)</f>
        <v>iPhone 13</v>
      </c>
      <c r="N111" s="3" t="str">
        <f>_xlfn.XLOOKUP(order[[#This Row],[product_id]],products!$A$2:$A$11,products!$C$2:$C$11)</f>
        <v>Electronics</v>
      </c>
      <c r="O111" s="3">
        <f>_xlfn.XLOOKUP(order[[#This Row],[product_id]],Table4[product_id],Table4[cost_price])</f>
        <v>52000</v>
      </c>
      <c r="P111" s="11">
        <f>_xlfn.XLOOKUP(order[[#This Row],[order_id]],shipment[order_id],shipment[ship_date])</f>
        <v>45556</v>
      </c>
      <c r="Q111" s="11">
        <f>_xlfn.XLOOKUP(order[[#This Row],[order_id]],shipment[order_id],shipment[delivery_date])</f>
        <v>45558</v>
      </c>
      <c r="R111" s="3" t="str">
        <f>_xlfn.XLOOKUP(order[[#This Row],[order_id]],shipment[shipment_id],shipment[courier])</f>
        <v>Ekart</v>
      </c>
      <c r="S111" s="3">
        <f>order[[#This Row],[selling_price]]-order[[#This Row],[cost_price]]*order[[#This Row],[quantity]]-order[[#This Row],[discount]]</f>
        <v>-105107</v>
      </c>
      <c r="T111" s="3">
        <f>order[[#This Row],[quantity]]*order[[#This Row],[selling_price]]</f>
        <v>161322</v>
      </c>
    </row>
    <row r="112" spans="1:20" x14ac:dyDescent="0.3">
      <c r="A112">
        <v>143</v>
      </c>
      <c r="B112" s="11">
        <v>45603</v>
      </c>
      <c r="C112">
        <v>240</v>
      </c>
      <c r="D112" t="str">
        <f>_xlfn.XLOOKUP(order[[#This Row],[customer_id]],customer[customer_id],customer[customer_name])</f>
        <v>Ananya Gupta</v>
      </c>
      <c r="E112">
        <v>201</v>
      </c>
      <c r="F112">
        <v>4</v>
      </c>
      <c r="G112">
        <v>21765</v>
      </c>
      <c r="H112">
        <v>2858</v>
      </c>
      <c r="I112" t="s">
        <v>15</v>
      </c>
      <c r="J112" t="s">
        <v>12</v>
      </c>
      <c r="K112" t="str">
        <f>_xlfn.XLOOKUP(order[[#This Row],[customer_id]],customer[customer_id],customer[city])</f>
        <v>Ahmedabad</v>
      </c>
      <c r="L112" t="str">
        <f>_xlfn.XLOOKUP(order[[#This Row],[customer_id]],customer[customer_id],customer[state])</f>
        <v>Gujarat</v>
      </c>
      <c r="M112" t="str">
        <f>_xlfn.XLOOKUP(order[[#This Row],[product_id]],products!$A$2:$A$11,products!$B$2:$B$11)</f>
        <v>iPhone 13</v>
      </c>
      <c r="N112" s="3" t="str">
        <f>_xlfn.XLOOKUP(order[[#This Row],[product_id]],products!$A$2:$A$11,products!$C$2:$C$11)</f>
        <v>Electronics</v>
      </c>
      <c r="O112" s="3">
        <f>_xlfn.XLOOKUP(order[[#This Row],[product_id]],Table4[product_id],Table4[cost_price])</f>
        <v>52000</v>
      </c>
      <c r="P112" s="11">
        <f>_xlfn.XLOOKUP(order[[#This Row],[order_id]],shipment[order_id],shipment[ship_date])</f>
        <v>45511</v>
      </c>
      <c r="Q112" s="11">
        <f>_xlfn.XLOOKUP(order[[#This Row],[order_id]],shipment[order_id],shipment[delivery_date])</f>
        <v>45517</v>
      </c>
      <c r="R112" s="3" t="str">
        <f>_xlfn.XLOOKUP(order[[#This Row],[order_id]],shipment[shipment_id],shipment[courier])</f>
        <v>DTDC</v>
      </c>
      <c r="S112" s="3">
        <f>order[[#This Row],[selling_price]]-order[[#This Row],[cost_price]]*order[[#This Row],[quantity]]-order[[#This Row],[discount]]</f>
        <v>-189093</v>
      </c>
      <c r="T112" s="3">
        <f>order[[#This Row],[quantity]]*order[[#This Row],[selling_price]]</f>
        <v>87060</v>
      </c>
    </row>
    <row r="113" spans="1:20" x14ac:dyDescent="0.3">
      <c r="A113">
        <v>884</v>
      </c>
      <c r="B113" s="11">
        <v>45546</v>
      </c>
      <c r="C113">
        <v>112</v>
      </c>
      <c r="D113" t="str">
        <f>_xlfn.XLOOKUP(order[[#This Row],[customer_id]],customer[customer_id],customer[customer_name])</f>
        <v>Siddharth Jain</v>
      </c>
      <c r="E113">
        <v>201</v>
      </c>
      <c r="F113">
        <v>4</v>
      </c>
      <c r="G113">
        <v>20953</v>
      </c>
      <c r="H113">
        <v>2737</v>
      </c>
      <c r="I113" t="s">
        <v>9</v>
      </c>
      <c r="J113" t="s">
        <v>14</v>
      </c>
      <c r="K113" t="str">
        <f>_xlfn.XLOOKUP(order[[#This Row],[customer_id]],customer[customer_id],customer[city])</f>
        <v>Mumbai</v>
      </c>
      <c r="L113" t="str">
        <f>_xlfn.XLOOKUP(order[[#This Row],[customer_id]],customer[customer_id],customer[state])</f>
        <v>Maharashtra</v>
      </c>
      <c r="M113" t="str">
        <f>_xlfn.XLOOKUP(order[[#This Row],[product_id]],products!$A$2:$A$11,products!$B$2:$B$11)</f>
        <v>iPhone 13</v>
      </c>
      <c r="N113" s="3" t="str">
        <f>_xlfn.XLOOKUP(order[[#This Row],[product_id]],products!$A$2:$A$11,products!$C$2:$C$11)</f>
        <v>Electronics</v>
      </c>
      <c r="O113" s="3">
        <f>_xlfn.XLOOKUP(order[[#This Row],[product_id]],Table4[product_id],Table4[cost_price])</f>
        <v>52000</v>
      </c>
      <c r="P113" s="11">
        <f>_xlfn.XLOOKUP(order[[#This Row],[order_id]],shipment[order_id],shipment[ship_date])</f>
        <v>45418</v>
      </c>
      <c r="Q113" s="11">
        <f>_xlfn.XLOOKUP(order[[#This Row],[order_id]],shipment[order_id],shipment[delivery_date])</f>
        <v>45420</v>
      </c>
      <c r="R113" s="3" t="str">
        <f>_xlfn.XLOOKUP(order[[#This Row],[order_id]],shipment[shipment_id],shipment[courier])</f>
        <v>Ekart</v>
      </c>
      <c r="S113" s="3">
        <f>order[[#This Row],[selling_price]]-order[[#This Row],[cost_price]]*order[[#This Row],[quantity]]-order[[#This Row],[discount]]</f>
        <v>-189784</v>
      </c>
      <c r="T113" s="3">
        <f>order[[#This Row],[quantity]]*order[[#This Row],[selling_price]]</f>
        <v>83812</v>
      </c>
    </row>
    <row r="114" spans="1:20" x14ac:dyDescent="0.3">
      <c r="A114">
        <v>113</v>
      </c>
      <c r="B114" s="11">
        <v>45656</v>
      </c>
      <c r="C114">
        <v>109</v>
      </c>
      <c r="D114" t="str">
        <f>_xlfn.XLOOKUP(order[[#This Row],[customer_id]],customer[customer_id],customer[customer_name])</f>
        <v>Sneha Iyer</v>
      </c>
      <c r="E114">
        <v>203</v>
      </c>
      <c r="F114">
        <v>4</v>
      </c>
      <c r="G114">
        <v>33457</v>
      </c>
      <c r="H114">
        <v>9</v>
      </c>
      <c r="I114" t="s">
        <v>11</v>
      </c>
      <c r="J114" t="s">
        <v>12</v>
      </c>
      <c r="K114" t="str">
        <f>_xlfn.XLOOKUP(order[[#This Row],[customer_id]],customer[customer_id],customer[city])</f>
        <v>Hyderabad</v>
      </c>
      <c r="L114" t="str">
        <f>_xlfn.XLOOKUP(order[[#This Row],[customer_id]],customer[customer_id],customer[state])</f>
        <v>Telangana</v>
      </c>
      <c r="M114" t="str">
        <f>_xlfn.XLOOKUP(order[[#This Row],[product_id]],products!$A$2:$A$11,products!$B$2:$B$11)</f>
        <v>Nike Air Max Shoes</v>
      </c>
      <c r="N114" s="3" t="str">
        <f>_xlfn.XLOOKUP(order[[#This Row],[product_id]],products!$A$2:$A$11,products!$C$2:$C$11)</f>
        <v>Fashion</v>
      </c>
      <c r="O114" s="3">
        <f>_xlfn.XLOOKUP(order[[#This Row],[product_id]],Table4[product_id],Table4[cost_price])</f>
        <v>4000</v>
      </c>
      <c r="P114" s="11">
        <f>_xlfn.XLOOKUP(order[[#This Row],[order_id]],shipment[order_id],shipment[ship_date])</f>
        <v>45560</v>
      </c>
      <c r="Q114" s="11">
        <f>_xlfn.XLOOKUP(order[[#This Row],[order_id]],shipment[order_id],shipment[delivery_date])</f>
        <v>45566</v>
      </c>
      <c r="R114" s="3" t="str">
        <f>_xlfn.XLOOKUP(order[[#This Row],[order_id]],shipment[shipment_id],shipment[courier])</f>
        <v>DTDC</v>
      </c>
      <c r="S114" s="3">
        <f>order[[#This Row],[selling_price]]-order[[#This Row],[cost_price]]*order[[#This Row],[quantity]]-order[[#This Row],[discount]]</f>
        <v>17448</v>
      </c>
      <c r="T114" s="3">
        <f>order[[#This Row],[quantity]]*order[[#This Row],[selling_price]]</f>
        <v>133828</v>
      </c>
    </row>
    <row r="115" spans="1:20" x14ac:dyDescent="0.3">
      <c r="A115">
        <v>543</v>
      </c>
      <c r="B115" s="11">
        <v>45530</v>
      </c>
      <c r="C115">
        <v>228</v>
      </c>
      <c r="D115" t="str">
        <f>_xlfn.XLOOKUP(order[[#This Row],[customer_id]],customer[customer_id],customer[customer_name])</f>
        <v>Priya Reddy</v>
      </c>
      <c r="E115">
        <v>201</v>
      </c>
      <c r="F115">
        <v>3</v>
      </c>
      <c r="G115">
        <v>20364</v>
      </c>
      <c r="H115">
        <v>2704</v>
      </c>
      <c r="I115" t="s">
        <v>9</v>
      </c>
      <c r="J115" t="s">
        <v>14</v>
      </c>
      <c r="K115" t="str">
        <f>_xlfn.XLOOKUP(order[[#This Row],[customer_id]],customer[customer_id],customer[city])</f>
        <v>Chennai</v>
      </c>
      <c r="L115" t="str">
        <f>_xlfn.XLOOKUP(order[[#This Row],[customer_id]],customer[customer_id],customer[state])</f>
        <v>Tamil Nadu</v>
      </c>
      <c r="M115" t="str">
        <f>_xlfn.XLOOKUP(order[[#This Row],[product_id]],products!$A$2:$A$11,products!$B$2:$B$11)</f>
        <v>iPhone 13</v>
      </c>
      <c r="N115" s="3" t="str">
        <f>_xlfn.XLOOKUP(order[[#This Row],[product_id]],products!$A$2:$A$11,products!$C$2:$C$11)</f>
        <v>Electronics</v>
      </c>
      <c r="O115" s="3">
        <f>_xlfn.XLOOKUP(order[[#This Row],[product_id]],Table4[product_id],Table4[cost_price])</f>
        <v>52000</v>
      </c>
      <c r="P115" s="11">
        <f>_xlfn.XLOOKUP(order[[#This Row],[order_id]],shipment[order_id],shipment[ship_date])</f>
        <v>45616</v>
      </c>
      <c r="Q115" s="11">
        <f>_xlfn.XLOOKUP(order[[#This Row],[order_id]],shipment[order_id],shipment[delivery_date])</f>
        <v>45621</v>
      </c>
      <c r="R115" s="3" t="str">
        <f>_xlfn.XLOOKUP(order[[#This Row],[order_id]],shipment[shipment_id],shipment[courier])</f>
        <v>Ekart</v>
      </c>
      <c r="S115" s="3">
        <f>order[[#This Row],[selling_price]]-order[[#This Row],[cost_price]]*order[[#This Row],[quantity]]-order[[#This Row],[discount]]</f>
        <v>-138340</v>
      </c>
      <c r="T115" s="3">
        <f>order[[#This Row],[quantity]]*order[[#This Row],[selling_price]]</f>
        <v>61092</v>
      </c>
    </row>
    <row r="116" spans="1:20" x14ac:dyDescent="0.3">
      <c r="A116">
        <v>115</v>
      </c>
      <c r="B116" s="11">
        <v>45478</v>
      </c>
      <c r="C116">
        <v>253</v>
      </c>
      <c r="D116" t="str">
        <f>_xlfn.XLOOKUP(order[[#This Row],[customer_id]],customer[customer_id],customer[customer_name])</f>
        <v>Neha Kapoor</v>
      </c>
      <c r="E116">
        <v>205</v>
      </c>
      <c r="F116">
        <v>4</v>
      </c>
      <c r="G116">
        <v>34852</v>
      </c>
      <c r="H116">
        <v>568</v>
      </c>
      <c r="I116" t="s">
        <v>9</v>
      </c>
      <c r="J116" t="s">
        <v>12</v>
      </c>
      <c r="K116" t="str">
        <f>_xlfn.XLOOKUP(order[[#This Row],[customer_id]],customer[customer_id],customer[city])</f>
        <v>Mumbai</v>
      </c>
      <c r="L116" t="str">
        <f>_xlfn.XLOOKUP(order[[#This Row],[customer_id]],customer[customer_id],customer[state])</f>
        <v>Maharashtra</v>
      </c>
      <c r="M116" t="str">
        <f>_xlfn.XLOOKUP(order[[#This Row],[product_id]],products!$A$2:$A$11,products!$B$2:$B$11)</f>
        <v>Prestige Pressure Cooker 5L</v>
      </c>
      <c r="N116" s="3" t="str">
        <f>_xlfn.XLOOKUP(order[[#This Row],[product_id]],products!$A$2:$A$11,products!$C$2:$C$11)</f>
        <v>Home &amp; Kitchen</v>
      </c>
      <c r="O116" s="3">
        <f>_xlfn.XLOOKUP(order[[#This Row],[product_id]],Table4[product_id],Table4[cost_price])</f>
        <v>1200</v>
      </c>
      <c r="P116" s="11">
        <f>_xlfn.XLOOKUP(order[[#This Row],[order_id]],shipment[order_id],shipment[ship_date])</f>
        <v>45506</v>
      </c>
      <c r="Q116" s="11">
        <f>_xlfn.XLOOKUP(order[[#This Row],[order_id]],shipment[order_id],shipment[delivery_date])</f>
        <v>45507</v>
      </c>
      <c r="R116" s="3" t="str">
        <f>_xlfn.XLOOKUP(order[[#This Row],[order_id]],shipment[shipment_id],shipment[courier])</f>
        <v>Delhivery</v>
      </c>
      <c r="S116" s="3">
        <f>order[[#This Row],[selling_price]]-order[[#This Row],[cost_price]]*order[[#This Row],[quantity]]-order[[#This Row],[discount]]</f>
        <v>29484</v>
      </c>
      <c r="T116" s="3">
        <f>order[[#This Row],[quantity]]*order[[#This Row],[selling_price]]</f>
        <v>139408</v>
      </c>
    </row>
    <row r="117" spans="1:20" x14ac:dyDescent="0.3">
      <c r="A117">
        <v>116</v>
      </c>
      <c r="B117" s="11">
        <v>45340</v>
      </c>
      <c r="C117">
        <v>218</v>
      </c>
      <c r="D117" t="str">
        <f>_xlfn.XLOOKUP(order[[#This Row],[customer_id]],customer[customer_id],customer[customer_name])</f>
        <v>Manish Yadav</v>
      </c>
      <c r="E117">
        <v>205</v>
      </c>
      <c r="F117">
        <v>2</v>
      </c>
      <c r="G117">
        <v>65954</v>
      </c>
      <c r="H117">
        <v>732</v>
      </c>
      <c r="I117" t="s">
        <v>9</v>
      </c>
      <c r="J117" t="s">
        <v>12</v>
      </c>
      <c r="K117" t="str">
        <f>_xlfn.XLOOKUP(order[[#This Row],[customer_id]],customer[customer_id],customer[city])</f>
        <v>Delhi</v>
      </c>
      <c r="L117" t="str">
        <f>_xlfn.XLOOKUP(order[[#This Row],[customer_id]],customer[customer_id],customer[state])</f>
        <v>Delhi</v>
      </c>
      <c r="M117" t="str">
        <f>_xlfn.XLOOKUP(order[[#This Row],[product_id]],products!$A$2:$A$11,products!$B$2:$B$11)</f>
        <v>Prestige Pressure Cooker 5L</v>
      </c>
      <c r="N117" s="3" t="str">
        <f>_xlfn.XLOOKUP(order[[#This Row],[product_id]],products!$A$2:$A$11,products!$C$2:$C$11)</f>
        <v>Home &amp; Kitchen</v>
      </c>
      <c r="O117" s="3">
        <f>_xlfn.XLOOKUP(order[[#This Row],[product_id]],Table4[product_id],Table4[cost_price])</f>
        <v>1200</v>
      </c>
      <c r="P117" s="11">
        <f>_xlfn.XLOOKUP(order[[#This Row],[order_id]],shipment[order_id],shipment[ship_date])</f>
        <v>45530</v>
      </c>
      <c r="Q117" s="11">
        <f>_xlfn.XLOOKUP(order[[#This Row],[order_id]],shipment[order_id],shipment[delivery_date])</f>
        <v>45531</v>
      </c>
      <c r="R117" s="3" t="str">
        <f>_xlfn.XLOOKUP(order[[#This Row],[order_id]],shipment[shipment_id],shipment[courier])</f>
        <v>BlueDart</v>
      </c>
      <c r="S117" s="3">
        <f>order[[#This Row],[selling_price]]-order[[#This Row],[cost_price]]*order[[#This Row],[quantity]]-order[[#This Row],[discount]]</f>
        <v>62822</v>
      </c>
      <c r="T117" s="3">
        <f>order[[#This Row],[quantity]]*order[[#This Row],[selling_price]]</f>
        <v>131908</v>
      </c>
    </row>
    <row r="118" spans="1:20" x14ac:dyDescent="0.3">
      <c r="A118">
        <v>998</v>
      </c>
      <c r="B118" s="11">
        <v>45379</v>
      </c>
      <c r="C118">
        <v>140</v>
      </c>
      <c r="D118" t="str">
        <f>_xlfn.XLOOKUP(order[[#This Row],[customer_id]],customer[customer_id],customer[customer_name])</f>
        <v>Neha Kapoor</v>
      </c>
      <c r="E118">
        <v>201</v>
      </c>
      <c r="F118">
        <v>4</v>
      </c>
      <c r="G118">
        <v>34333</v>
      </c>
      <c r="H118">
        <v>2675</v>
      </c>
      <c r="I118" t="s">
        <v>15</v>
      </c>
      <c r="J118" t="s">
        <v>10</v>
      </c>
      <c r="K118" t="str">
        <f>_xlfn.XLOOKUP(order[[#This Row],[customer_id]],customer[customer_id],customer[city])</f>
        <v>Chennai</v>
      </c>
      <c r="L118" t="str">
        <f>_xlfn.XLOOKUP(order[[#This Row],[customer_id]],customer[customer_id],customer[state])</f>
        <v>Tamil Nadu</v>
      </c>
      <c r="M118" t="str">
        <f>_xlfn.XLOOKUP(order[[#This Row],[product_id]],products!$A$2:$A$11,products!$B$2:$B$11)</f>
        <v>iPhone 13</v>
      </c>
      <c r="N118" s="3" t="str">
        <f>_xlfn.XLOOKUP(order[[#This Row],[product_id]],products!$A$2:$A$11,products!$C$2:$C$11)</f>
        <v>Electronics</v>
      </c>
      <c r="O118" s="3">
        <f>_xlfn.XLOOKUP(order[[#This Row],[product_id]],Table4[product_id],Table4[cost_price])</f>
        <v>52000</v>
      </c>
      <c r="P118" s="11">
        <f>_xlfn.XLOOKUP(order[[#This Row],[order_id]],shipment[order_id],shipment[ship_date])</f>
        <v>45589</v>
      </c>
      <c r="Q118" s="11">
        <f>_xlfn.XLOOKUP(order[[#This Row],[order_id]],shipment[order_id],shipment[delivery_date])</f>
        <v>45592</v>
      </c>
      <c r="R118" s="3" t="str">
        <f>_xlfn.XLOOKUP(order[[#This Row],[order_id]],shipment[shipment_id],shipment[courier])</f>
        <v>DTDC</v>
      </c>
      <c r="S118" s="3">
        <f>order[[#This Row],[selling_price]]-order[[#This Row],[cost_price]]*order[[#This Row],[quantity]]-order[[#This Row],[discount]]</f>
        <v>-176342</v>
      </c>
      <c r="T118" s="3">
        <f>order[[#This Row],[quantity]]*order[[#This Row],[selling_price]]</f>
        <v>137332</v>
      </c>
    </row>
    <row r="119" spans="1:20" x14ac:dyDescent="0.3">
      <c r="A119">
        <v>991</v>
      </c>
      <c r="B119" s="11">
        <v>45473</v>
      </c>
      <c r="C119">
        <v>112</v>
      </c>
      <c r="D119" t="str">
        <f>_xlfn.XLOOKUP(order[[#This Row],[customer_id]],customer[customer_id],customer[customer_name])</f>
        <v>Siddharth Jain</v>
      </c>
      <c r="E119">
        <v>201</v>
      </c>
      <c r="F119">
        <v>4</v>
      </c>
      <c r="G119">
        <v>8960</v>
      </c>
      <c r="H119">
        <v>2624</v>
      </c>
      <c r="I119" t="s">
        <v>9</v>
      </c>
      <c r="J119" t="s">
        <v>10</v>
      </c>
      <c r="K119" t="str">
        <f>_xlfn.XLOOKUP(order[[#This Row],[customer_id]],customer[customer_id],customer[city])</f>
        <v>Mumbai</v>
      </c>
      <c r="L119" t="str">
        <f>_xlfn.XLOOKUP(order[[#This Row],[customer_id]],customer[customer_id],customer[state])</f>
        <v>Maharashtra</v>
      </c>
      <c r="M119" t="str">
        <f>_xlfn.XLOOKUP(order[[#This Row],[product_id]],products!$A$2:$A$11,products!$B$2:$B$11)</f>
        <v>iPhone 13</v>
      </c>
      <c r="N119" s="3" t="str">
        <f>_xlfn.XLOOKUP(order[[#This Row],[product_id]],products!$A$2:$A$11,products!$C$2:$C$11)</f>
        <v>Electronics</v>
      </c>
      <c r="O119" s="3">
        <f>_xlfn.XLOOKUP(order[[#This Row],[product_id]],Table4[product_id],Table4[cost_price])</f>
        <v>52000</v>
      </c>
      <c r="P119" s="11">
        <f>_xlfn.XLOOKUP(order[[#This Row],[order_id]],shipment[order_id],shipment[ship_date])</f>
        <v>45404</v>
      </c>
      <c r="Q119" s="11">
        <f>_xlfn.XLOOKUP(order[[#This Row],[order_id]],shipment[order_id],shipment[delivery_date])</f>
        <v>45406</v>
      </c>
      <c r="R119" s="3" t="str">
        <f>_xlfn.XLOOKUP(order[[#This Row],[order_id]],shipment[shipment_id],shipment[courier])</f>
        <v>BlueDart</v>
      </c>
      <c r="S119" s="3">
        <f>order[[#This Row],[selling_price]]-order[[#This Row],[cost_price]]*order[[#This Row],[quantity]]-order[[#This Row],[discount]]</f>
        <v>-201664</v>
      </c>
      <c r="T119" s="3">
        <f>order[[#This Row],[quantity]]*order[[#This Row],[selling_price]]</f>
        <v>35840</v>
      </c>
    </row>
    <row r="120" spans="1:20" x14ac:dyDescent="0.3">
      <c r="A120">
        <v>994</v>
      </c>
      <c r="B120" s="11">
        <v>45597</v>
      </c>
      <c r="C120">
        <v>287</v>
      </c>
      <c r="D120" t="str">
        <f>_xlfn.XLOOKUP(order[[#This Row],[customer_id]],customer[customer_id],customer[customer_name])</f>
        <v>Karan Patel</v>
      </c>
      <c r="E120">
        <v>201</v>
      </c>
      <c r="F120">
        <v>2</v>
      </c>
      <c r="G120">
        <v>19911</v>
      </c>
      <c r="H120">
        <v>2595</v>
      </c>
      <c r="I120" t="s">
        <v>13</v>
      </c>
      <c r="J120" t="s">
        <v>12</v>
      </c>
      <c r="K120" t="str">
        <f>_xlfn.XLOOKUP(order[[#This Row],[customer_id]],customer[customer_id],customer[city])</f>
        <v>Chennai</v>
      </c>
      <c r="L120" t="str">
        <f>_xlfn.XLOOKUP(order[[#This Row],[customer_id]],customer[customer_id],customer[state])</f>
        <v>Tamil Nadu</v>
      </c>
      <c r="M120" t="str">
        <f>_xlfn.XLOOKUP(order[[#This Row],[product_id]],products!$A$2:$A$11,products!$B$2:$B$11)</f>
        <v>iPhone 13</v>
      </c>
      <c r="N120" s="3" t="str">
        <f>_xlfn.XLOOKUP(order[[#This Row],[product_id]],products!$A$2:$A$11,products!$C$2:$C$11)</f>
        <v>Electronics</v>
      </c>
      <c r="O120" s="3">
        <f>_xlfn.XLOOKUP(order[[#This Row],[product_id]],Table4[product_id],Table4[cost_price])</f>
        <v>52000</v>
      </c>
      <c r="P120" s="11">
        <f>_xlfn.XLOOKUP(order[[#This Row],[order_id]],shipment[order_id],shipment[ship_date])</f>
        <v>45498</v>
      </c>
      <c r="Q120" s="11">
        <f>_xlfn.XLOOKUP(order[[#This Row],[order_id]],shipment[order_id],shipment[delivery_date])</f>
        <v>45500</v>
      </c>
      <c r="R120" s="3" t="str">
        <f>_xlfn.XLOOKUP(order[[#This Row],[order_id]],shipment[shipment_id],shipment[courier])</f>
        <v>BlueDart</v>
      </c>
      <c r="S120" s="3">
        <f>order[[#This Row],[selling_price]]-order[[#This Row],[cost_price]]*order[[#This Row],[quantity]]-order[[#This Row],[discount]]</f>
        <v>-86684</v>
      </c>
      <c r="T120" s="3">
        <f>order[[#This Row],[quantity]]*order[[#This Row],[selling_price]]</f>
        <v>39822</v>
      </c>
    </row>
    <row r="121" spans="1:20" x14ac:dyDescent="0.3">
      <c r="A121">
        <v>120</v>
      </c>
      <c r="B121" s="11">
        <v>45433</v>
      </c>
      <c r="C121">
        <v>119</v>
      </c>
      <c r="D121" t="str">
        <f>_xlfn.XLOOKUP(order[[#This Row],[customer_id]],customer[customer_id],customer[customer_name])</f>
        <v>Pooja Nair</v>
      </c>
      <c r="E121">
        <v>208</v>
      </c>
      <c r="F121">
        <v>3</v>
      </c>
      <c r="G121">
        <v>36324</v>
      </c>
      <c r="H121">
        <v>2682</v>
      </c>
      <c r="I121" t="s">
        <v>15</v>
      </c>
      <c r="J121" t="s">
        <v>14</v>
      </c>
      <c r="K121" t="str">
        <f>_xlfn.XLOOKUP(order[[#This Row],[customer_id]],customer[customer_id],customer[city])</f>
        <v>Bangalore</v>
      </c>
      <c r="L121" t="str">
        <f>_xlfn.XLOOKUP(order[[#This Row],[customer_id]],customer[customer_id],customer[state])</f>
        <v>Karnataka</v>
      </c>
      <c r="M121" t="str">
        <f>_xlfn.XLOOKUP(order[[#This Row],[product_id]],products!$A$2:$A$11,products!$B$2:$B$11)</f>
        <v>Adidas Ultraboost Shoes</v>
      </c>
      <c r="N121" s="3" t="str">
        <f>_xlfn.XLOOKUP(order[[#This Row],[product_id]],products!$A$2:$A$11,products!$C$2:$C$11)</f>
        <v>Fashion</v>
      </c>
      <c r="O121" s="3">
        <f>_xlfn.XLOOKUP(order[[#This Row],[product_id]],Table4[product_id],Table4[cost_price])</f>
        <v>9000</v>
      </c>
      <c r="P121" s="11">
        <f>_xlfn.XLOOKUP(order[[#This Row],[order_id]],shipment[order_id],shipment[ship_date])</f>
        <v>45365</v>
      </c>
      <c r="Q121" s="11">
        <f>_xlfn.XLOOKUP(order[[#This Row],[order_id]],shipment[order_id],shipment[delivery_date])</f>
        <v>45372</v>
      </c>
      <c r="R121" s="3" t="str">
        <f>_xlfn.XLOOKUP(order[[#This Row],[order_id]],shipment[shipment_id],shipment[courier])</f>
        <v>DTDC</v>
      </c>
      <c r="S121" s="3">
        <f>order[[#This Row],[selling_price]]-order[[#This Row],[cost_price]]*order[[#This Row],[quantity]]-order[[#This Row],[discount]]</f>
        <v>6642</v>
      </c>
      <c r="T121" s="3">
        <f>order[[#This Row],[quantity]]*order[[#This Row],[selling_price]]</f>
        <v>108972</v>
      </c>
    </row>
    <row r="122" spans="1:20" x14ac:dyDescent="0.3">
      <c r="A122">
        <v>212</v>
      </c>
      <c r="B122" s="11">
        <v>45589</v>
      </c>
      <c r="C122">
        <v>212</v>
      </c>
      <c r="D122" t="str">
        <f>_xlfn.XLOOKUP(order[[#This Row],[customer_id]],customer[customer_id],customer[customer_name])</f>
        <v>Vikram Singh</v>
      </c>
      <c r="E122">
        <v>201</v>
      </c>
      <c r="F122">
        <v>1</v>
      </c>
      <c r="G122">
        <v>18416</v>
      </c>
      <c r="H122">
        <v>2578</v>
      </c>
      <c r="I122" t="s">
        <v>9</v>
      </c>
      <c r="J122" t="s">
        <v>10</v>
      </c>
      <c r="K122" t="str">
        <f>_xlfn.XLOOKUP(order[[#This Row],[customer_id]],customer[customer_id],customer[city])</f>
        <v>Ahmedabad</v>
      </c>
      <c r="L122" t="str">
        <f>_xlfn.XLOOKUP(order[[#This Row],[customer_id]],customer[customer_id],customer[state])</f>
        <v>Gujarat</v>
      </c>
      <c r="M122" t="str">
        <f>_xlfn.XLOOKUP(order[[#This Row],[product_id]],products!$A$2:$A$11,products!$B$2:$B$11)</f>
        <v>iPhone 13</v>
      </c>
      <c r="N122" s="3" t="str">
        <f>_xlfn.XLOOKUP(order[[#This Row],[product_id]],products!$A$2:$A$11,products!$C$2:$C$11)</f>
        <v>Electronics</v>
      </c>
      <c r="O122" s="3">
        <f>_xlfn.XLOOKUP(order[[#This Row],[product_id]],Table4[product_id],Table4[cost_price])</f>
        <v>52000</v>
      </c>
      <c r="P122" s="11">
        <f>_xlfn.XLOOKUP(order[[#This Row],[order_id]],shipment[order_id],shipment[ship_date])</f>
        <v>45466</v>
      </c>
      <c r="Q122" s="11">
        <f>_xlfn.XLOOKUP(order[[#This Row],[order_id]],shipment[order_id],shipment[delivery_date])</f>
        <v>45469</v>
      </c>
      <c r="R122" s="3" t="str">
        <f>_xlfn.XLOOKUP(order[[#This Row],[order_id]],shipment[shipment_id],shipment[courier])</f>
        <v>BlueDart</v>
      </c>
      <c r="S122" s="3">
        <f>order[[#This Row],[selling_price]]-order[[#This Row],[cost_price]]*order[[#This Row],[quantity]]-order[[#This Row],[discount]]</f>
        <v>-36162</v>
      </c>
      <c r="T122" s="3">
        <f>order[[#This Row],[quantity]]*order[[#This Row],[selling_price]]</f>
        <v>18416</v>
      </c>
    </row>
    <row r="123" spans="1:20" x14ac:dyDescent="0.3">
      <c r="A123">
        <v>1083</v>
      </c>
      <c r="B123" s="11">
        <v>45635</v>
      </c>
      <c r="C123">
        <v>164</v>
      </c>
      <c r="D123" t="str">
        <f>_xlfn.XLOOKUP(order[[#This Row],[customer_id]],customer[customer_id],customer[customer_name])</f>
        <v>Pooja Nair</v>
      </c>
      <c r="E123">
        <v>201</v>
      </c>
      <c r="F123">
        <v>4</v>
      </c>
      <c r="G123">
        <v>48555</v>
      </c>
      <c r="H123">
        <v>2540</v>
      </c>
      <c r="I123" t="s">
        <v>11</v>
      </c>
      <c r="J123" t="s">
        <v>14</v>
      </c>
      <c r="K123" t="str">
        <f>_xlfn.XLOOKUP(order[[#This Row],[customer_id]],customer[customer_id],customer[city])</f>
        <v>Ahmedabad</v>
      </c>
      <c r="L123" t="str">
        <f>_xlfn.XLOOKUP(order[[#This Row],[customer_id]],customer[customer_id],customer[state])</f>
        <v>Gujarat</v>
      </c>
      <c r="M123" t="str">
        <f>_xlfn.XLOOKUP(order[[#This Row],[product_id]],products!$A$2:$A$11,products!$B$2:$B$11)</f>
        <v>iPhone 13</v>
      </c>
      <c r="N123" s="3" t="str">
        <f>_xlfn.XLOOKUP(order[[#This Row],[product_id]],products!$A$2:$A$11,products!$C$2:$C$11)</f>
        <v>Electronics</v>
      </c>
      <c r="O123" s="3">
        <f>_xlfn.XLOOKUP(order[[#This Row],[product_id]],Table4[product_id],Table4[cost_price])</f>
        <v>52000</v>
      </c>
      <c r="P123" s="11">
        <f>_xlfn.XLOOKUP(order[[#This Row],[order_id]],shipment[order_id],shipment[ship_date])</f>
        <v>45409</v>
      </c>
      <c r="Q123" s="11">
        <f>_xlfn.XLOOKUP(order[[#This Row],[order_id]],shipment[order_id],shipment[delivery_date])</f>
        <v>45419</v>
      </c>
      <c r="R123" s="3" t="str">
        <f>_xlfn.XLOOKUP(order[[#This Row],[order_id]],shipment[shipment_id],shipment[courier])</f>
        <v>BlueDart</v>
      </c>
      <c r="S123" s="3">
        <f>order[[#This Row],[selling_price]]-order[[#This Row],[cost_price]]*order[[#This Row],[quantity]]-order[[#This Row],[discount]]</f>
        <v>-161985</v>
      </c>
      <c r="T123" s="3">
        <f>order[[#This Row],[quantity]]*order[[#This Row],[selling_price]]</f>
        <v>194220</v>
      </c>
    </row>
    <row r="124" spans="1:20" x14ac:dyDescent="0.3">
      <c r="A124">
        <v>123</v>
      </c>
      <c r="B124" s="11">
        <v>45422</v>
      </c>
      <c r="C124">
        <v>144</v>
      </c>
      <c r="D124" t="str">
        <f>_xlfn.XLOOKUP(order[[#This Row],[customer_id]],customer[customer_id],customer[customer_name])</f>
        <v>Priya Reddy</v>
      </c>
      <c r="E124">
        <v>204</v>
      </c>
      <c r="F124">
        <v>1</v>
      </c>
      <c r="G124">
        <v>49604</v>
      </c>
      <c r="H124">
        <v>3059</v>
      </c>
      <c r="I124" t="s">
        <v>15</v>
      </c>
      <c r="J124" t="s">
        <v>12</v>
      </c>
      <c r="K124" t="str">
        <f>_xlfn.XLOOKUP(order[[#This Row],[customer_id]],customer[customer_id],customer[city])</f>
        <v>Bangalore</v>
      </c>
      <c r="L124" t="str">
        <f>_xlfn.XLOOKUP(order[[#This Row],[customer_id]],customer[customer_id],customer[state])</f>
        <v>Karnataka</v>
      </c>
      <c r="M124" t="str">
        <f>_xlfn.XLOOKUP(order[[#This Row],[product_id]],products!$A$2:$A$11,products!$B$2:$B$11)</f>
        <v>Levi's Slim Fit Jeans</v>
      </c>
      <c r="N124" s="3" t="str">
        <f>_xlfn.XLOOKUP(order[[#This Row],[product_id]],products!$A$2:$A$11,products!$C$2:$C$11)</f>
        <v>Fashion</v>
      </c>
      <c r="O124" s="3">
        <f>_xlfn.XLOOKUP(order[[#This Row],[product_id]],Table4[product_id],Table4[cost_price])</f>
        <v>1800</v>
      </c>
      <c r="P124" s="11">
        <f>_xlfn.XLOOKUP(order[[#This Row],[order_id]],shipment[order_id],shipment[ship_date])</f>
        <v>45581</v>
      </c>
      <c r="Q124" s="11">
        <f>_xlfn.XLOOKUP(order[[#This Row],[order_id]],shipment[order_id],shipment[delivery_date])</f>
        <v>45588</v>
      </c>
      <c r="R124" s="3" t="str">
        <f>_xlfn.XLOOKUP(order[[#This Row],[order_id]],shipment[shipment_id],shipment[courier])</f>
        <v>Delhivery</v>
      </c>
      <c r="S124" s="3">
        <f>order[[#This Row],[selling_price]]-order[[#This Row],[cost_price]]*order[[#This Row],[quantity]]-order[[#This Row],[discount]]</f>
        <v>44745</v>
      </c>
      <c r="T124" s="3">
        <f>order[[#This Row],[quantity]]*order[[#This Row],[selling_price]]</f>
        <v>49604</v>
      </c>
    </row>
    <row r="125" spans="1:20" x14ac:dyDescent="0.3">
      <c r="A125">
        <v>124</v>
      </c>
      <c r="B125" s="11">
        <v>45562</v>
      </c>
      <c r="C125">
        <v>134</v>
      </c>
      <c r="D125" t="str">
        <f>_xlfn.XLOOKUP(order[[#This Row],[customer_id]],customer[customer_id],customer[customer_name])</f>
        <v>Rohit Verma</v>
      </c>
      <c r="E125">
        <v>203</v>
      </c>
      <c r="F125">
        <v>1</v>
      </c>
      <c r="G125">
        <v>41748</v>
      </c>
      <c r="H125">
        <v>575</v>
      </c>
      <c r="I125" t="s">
        <v>9</v>
      </c>
      <c r="J125" t="s">
        <v>10</v>
      </c>
      <c r="K125" t="str">
        <f>_xlfn.XLOOKUP(order[[#This Row],[customer_id]],customer[customer_id],customer[city])</f>
        <v>Hyderabad</v>
      </c>
      <c r="L125" t="str">
        <f>_xlfn.XLOOKUP(order[[#This Row],[customer_id]],customer[customer_id],customer[state])</f>
        <v>Telangana</v>
      </c>
      <c r="M125" t="str">
        <f>_xlfn.XLOOKUP(order[[#This Row],[product_id]],products!$A$2:$A$11,products!$B$2:$B$11)</f>
        <v>Nike Air Max Shoes</v>
      </c>
      <c r="N125" s="3" t="str">
        <f>_xlfn.XLOOKUP(order[[#This Row],[product_id]],products!$A$2:$A$11,products!$C$2:$C$11)</f>
        <v>Fashion</v>
      </c>
      <c r="O125" s="3">
        <f>_xlfn.XLOOKUP(order[[#This Row],[product_id]],Table4[product_id],Table4[cost_price])</f>
        <v>4000</v>
      </c>
      <c r="P125" s="11">
        <f>_xlfn.XLOOKUP(order[[#This Row],[order_id]],shipment[order_id],shipment[ship_date])</f>
        <v>45607</v>
      </c>
      <c r="Q125" s="11">
        <f>_xlfn.XLOOKUP(order[[#This Row],[order_id]],shipment[order_id],shipment[delivery_date])</f>
        <v>45616</v>
      </c>
      <c r="R125" s="3" t="str">
        <f>_xlfn.XLOOKUP(order[[#This Row],[order_id]],shipment[shipment_id],shipment[courier])</f>
        <v>BlueDart</v>
      </c>
      <c r="S125" s="3">
        <f>order[[#This Row],[selling_price]]-order[[#This Row],[cost_price]]*order[[#This Row],[quantity]]-order[[#This Row],[discount]]</f>
        <v>37173</v>
      </c>
      <c r="T125" s="3">
        <f>order[[#This Row],[quantity]]*order[[#This Row],[selling_price]]</f>
        <v>41748</v>
      </c>
    </row>
    <row r="126" spans="1:20" x14ac:dyDescent="0.3">
      <c r="A126">
        <v>496</v>
      </c>
      <c r="B126" s="11">
        <v>45378</v>
      </c>
      <c r="C126">
        <v>229</v>
      </c>
      <c r="D126" t="str">
        <f>_xlfn.XLOOKUP(order[[#This Row],[customer_id]],customer[customer_id],customer[customer_name])</f>
        <v>Aarav Sharma</v>
      </c>
      <c r="E126">
        <v>201</v>
      </c>
      <c r="F126">
        <v>3</v>
      </c>
      <c r="G126">
        <v>64969</v>
      </c>
      <c r="H126">
        <v>2511</v>
      </c>
      <c r="I126" t="s">
        <v>9</v>
      </c>
      <c r="J126" t="s">
        <v>10</v>
      </c>
      <c r="K126" t="str">
        <f>_xlfn.XLOOKUP(order[[#This Row],[customer_id]],customer[customer_id],customer[city])</f>
        <v>Hyderabad</v>
      </c>
      <c r="L126" t="str">
        <f>_xlfn.XLOOKUP(order[[#This Row],[customer_id]],customer[customer_id],customer[state])</f>
        <v>Telangana</v>
      </c>
      <c r="M126" t="str">
        <f>_xlfn.XLOOKUP(order[[#This Row],[product_id]],products!$A$2:$A$11,products!$B$2:$B$11)</f>
        <v>iPhone 13</v>
      </c>
      <c r="N126" s="3" t="str">
        <f>_xlfn.XLOOKUP(order[[#This Row],[product_id]],products!$A$2:$A$11,products!$C$2:$C$11)</f>
        <v>Electronics</v>
      </c>
      <c r="O126" s="3">
        <f>_xlfn.XLOOKUP(order[[#This Row],[product_id]],Table4[product_id],Table4[cost_price])</f>
        <v>52000</v>
      </c>
      <c r="P126" s="11">
        <f>_xlfn.XLOOKUP(order[[#This Row],[order_id]],shipment[order_id],shipment[ship_date])</f>
        <v>45572</v>
      </c>
      <c r="Q126" s="11">
        <f>_xlfn.XLOOKUP(order[[#This Row],[order_id]],shipment[order_id],shipment[delivery_date])</f>
        <v>45575</v>
      </c>
      <c r="R126" s="3" t="str">
        <f>_xlfn.XLOOKUP(order[[#This Row],[order_id]],shipment[shipment_id],shipment[courier])</f>
        <v>DTDC</v>
      </c>
      <c r="S126" s="3">
        <f>order[[#This Row],[selling_price]]-order[[#This Row],[cost_price]]*order[[#This Row],[quantity]]-order[[#This Row],[discount]]</f>
        <v>-93542</v>
      </c>
      <c r="T126" s="3">
        <f>order[[#This Row],[quantity]]*order[[#This Row],[selling_price]]</f>
        <v>194907</v>
      </c>
    </row>
    <row r="127" spans="1:20" x14ac:dyDescent="0.3">
      <c r="A127">
        <v>1009</v>
      </c>
      <c r="B127" s="11">
        <v>45646</v>
      </c>
      <c r="C127">
        <v>105</v>
      </c>
      <c r="D127" t="str">
        <f>_xlfn.XLOOKUP(order[[#This Row],[customer_id]],customer[customer_id],customer[customer_name])</f>
        <v>Vikram Singh</v>
      </c>
      <c r="E127">
        <v>201</v>
      </c>
      <c r="F127">
        <v>3</v>
      </c>
      <c r="G127">
        <v>41440</v>
      </c>
      <c r="H127">
        <v>2503</v>
      </c>
      <c r="I127" t="s">
        <v>13</v>
      </c>
      <c r="J127" t="s">
        <v>12</v>
      </c>
      <c r="K127" t="str">
        <f>_xlfn.XLOOKUP(order[[#This Row],[customer_id]],customer[customer_id],customer[city])</f>
        <v>Pune</v>
      </c>
      <c r="L127" t="str">
        <f>_xlfn.XLOOKUP(order[[#This Row],[customer_id]],customer[customer_id],customer[state])</f>
        <v>Maharashtra</v>
      </c>
      <c r="M127" t="str">
        <f>_xlfn.XLOOKUP(order[[#This Row],[product_id]],products!$A$2:$A$11,products!$B$2:$B$11)</f>
        <v>iPhone 13</v>
      </c>
      <c r="N127" s="3" t="str">
        <f>_xlfn.XLOOKUP(order[[#This Row],[product_id]],products!$A$2:$A$11,products!$C$2:$C$11)</f>
        <v>Electronics</v>
      </c>
      <c r="O127" s="3">
        <f>_xlfn.XLOOKUP(order[[#This Row],[product_id]],Table4[product_id],Table4[cost_price])</f>
        <v>52000</v>
      </c>
      <c r="P127" s="11">
        <f>_xlfn.XLOOKUP(order[[#This Row],[order_id]],shipment[order_id],shipment[ship_date])</f>
        <v>45633</v>
      </c>
      <c r="Q127" s="11">
        <f>_xlfn.XLOOKUP(order[[#This Row],[order_id]],shipment[order_id],shipment[delivery_date])</f>
        <v>45643</v>
      </c>
      <c r="R127" s="3" t="str">
        <f>_xlfn.XLOOKUP(order[[#This Row],[order_id]],shipment[shipment_id],shipment[courier])</f>
        <v>BlueDart</v>
      </c>
      <c r="S127" s="3">
        <f>order[[#This Row],[selling_price]]-order[[#This Row],[cost_price]]*order[[#This Row],[quantity]]-order[[#This Row],[discount]]</f>
        <v>-117063</v>
      </c>
      <c r="T127" s="3">
        <f>order[[#This Row],[quantity]]*order[[#This Row],[selling_price]]</f>
        <v>124320</v>
      </c>
    </row>
    <row r="128" spans="1:20" x14ac:dyDescent="0.3">
      <c r="A128">
        <v>617</v>
      </c>
      <c r="B128" s="11">
        <v>45344</v>
      </c>
      <c r="C128">
        <v>268</v>
      </c>
      <c r="D128" t="str">
        <f>_xlfn.XLOOKUP(order[[#This Row],[customer_id]],customer[customer_id],customer[customer_name])</f>
        <v>Rahul Mehta</v>
      </c>
      <c r="E128">
        <v>201</v>
      </c>
      <c r="F128">
        <v>1</v>
      </c>
      <c r="G128">
        <v>22322</v>
      </c>
      <c r="H128">
        <v>2481</v>
      </c>
      <c r="I128" t="s">
        <v>11</v>
      </c>
      <c r="J128" t="s">
        <v>12</v>
      </c>
      <c r="K128" t="str">
        <f>_xlfn.XLOOKUP(order[[#This Row],[customer_id]],customer[customer_id],customer[city])</f>
        <v>Mumbai</v>
      </c>
      <c r="L128" t="str">
        <f>_xlfn.XLOOKUP(order[[#This Row],[customer_id]],customer[customer_id],customer[state])</f>
        <v>Maharashtra</v>
      </c>
      <c r="M128" t="str">
        <f>_xlfn.XLOOKUP(order[[#This Row],[product_id]],products!$A$2:$A$11,products!$B$2:$B$11)</f>
        <v>iPhone 13</v>
      </c>
      <c r="N128" s="3" t="str">
        <f>_xlfn.XLOOKUP(order[[#This Row],[product_id]],products!$A$2:$A$11,products!$C$2:$C$11)</f>
        <v>Electronics</v>
      </c>
      <c r="O128" s="3">
        <f>_xlfn.XLOOKUP(order[[#This Row],[product_id]],Table4[product_id],Table4[cost_price])</f>
        <v>52000</v>
      </c>
      <c r="P128" s="11">
        <f>_xlfn.XLOOKUP(order[[#This Row],[order_id]],shipment[order_id],shipment[ship_date])</f>
        <v>45430</v>
      </c>
      <c r="Q128" s="11">
        <f>_xlfn.XLOOKUP(order[[#This Row],[order_id]],shipment[order_id],shipment[delivery_date])</f>
        <v>45437</v>
      </c>
      <c r="R128" s="3" t="str">
        <f>_xlfn.XLOOKUP(order[[#This Row],[order_id]],shipment[shipment_id],shipment[courier])</f>
        <v>BlueDart</v>
      </c>
      <c r="S128" s="3">
        <f>order[[#This Row],[selling_price]]-order[[#This Row],[cost_price]]*order[[#This Row],[quantity]]-order[[#This Row],[discount]]</f>
        <v>-32159</v>
      </c>
      <c r="T128" s="3">
        <f>order[[#This Row],[quantity]]*order[[#This Row],[selling_price]]</f>
        <v>22322</v>
      </c>
    </row>
    <row r="129" spans="1:20" x14ac:dyDescent="0.3">
      <c r="A129">
        <v>128</v>
      </c>
      <c r="B129" s="11">
        <v>45309</v>
      </c>
      <c r="C129">
        <v>140</v>
      </c>
      <c r="D129" t="str">
        <f>_xlfn.XLOOKUP(order[[#This Row],[customer_id]],customer[customer_id],customer[customer_name])</f>
        <v>Neha Kapoor</v>
      </c>
      <c r="E129">
        <v>202</v>
      </c>
      <c r="F129">
        <v>1</v>
      </c>
      <c r="G129">
        <v>51635</v>
      </c>
      <c r="H129">
        <v>4028</v>
      </c>
      <c r="I129" t="s">
        <v>11</v>
      </c>
      <c r="J129" t="s">
        <v>10</v>
      </c>
      <c r="K129" t="str">
        <f>_xlfn.XLOOKUP(order[[#This Row],[customer_id]],customer[customer_id],customer[city])</f>
        <v>Chennai</v>
      </c>
      <c r="L129" t="str">
        <f>_xlfn.XLOOKUP(order[[#This Row],[customer_id]],customer[customer_id],customer[state])</f>
        <v>Tamil Nadu</v>
      </c>
      <c r="M129" t="str">
        <f>_xlfn.XLOOKUP(order[[#This Row],[product_id]],products!$A$2:$A$11,products!$B$2:$B$11)</f>
        <v>Samsung Galaxy S21</v>
      </c>
      <c r="N129" s="3" t="str">
        <f>_xlfn.XLOOKUP(order[[#This Row],[product_id]],products!$A$2:$A$11,products!$C$2:$C$11)</f>
        <v>Electronics</v>
      </c>
      <c r="O129" s="3">
        <f>_xlfn.XLOOKUP(order[[#This Row],[product_id]],Table4[product_id],Table4[cost_price])</f>
        <v>45000</v>
      </c>
      <c r="P129" s="11">
        <f>_xlfn.XLOOKUP(order[[#This Row],[order_id]],shipment[order_id],shipment[ship_date])</f>
        <v>45565</v>
      </c>
      <c r="Q129" s="11">
        <f>_xlfn.XLOOKUP(order[[#This Row],[order_id]],shipment[order_id],shipment[delivery_date])</f>
        <v>45575</v>
      </c>
      <c r="R129" s="3" t="str">
        <f>_xlfn.XLOOKUP(order[[#This Row],[order_id]],shipment[shipment_id],shipment[courier])</f>
        <v>Delhivery</v>
      </c>
      <c r="S129" s="3">
        <f>order[[#This Row],[selling_price]]-order[[#This Row],[cost_price]]*order[[#This Row],[quantity]]-order[[#This Row],[discount]]</f>
        <v>2607</v>
      </c>
      <c r="T129" s="3">
        <f>order[[#This Row],[quantity]]*order[[#This Row],[selling_price]]</f>
        <v>51635</v>
      </c>
    </row>
    <row r="130" spans="1:20" x14ac:dyDescent="0.3">
      <c r="A130">
        <v>129</v>
      </c>
      <c r="B130" s="11">
        <v>45635</v>
      </c>
      <c r="C130">
        <v>295</v>
      </c>
      <c r="D130" t="str">
        <f>_xlfn.XLOOKUP(order[[#This Row],[customer_id]],customer[customer_id],customer[customer_name])</f>
        <v>Aarav Sharma</v>
      </c>
      <c r="E130">
        <v>209</v>
      </c>
      <c r="F130">
        <v>1</v>
      </c>
      <c r="G130">
        <v>23759</v>
      </c>
      <c r="H130">
        <v>2791</v>
      </c>
      <c r="I130" t="s">
        <v>9</v>
      </c>
      <c r="J130" t="s">
        <v>14</v>
      </c>
      <c r="K130" t="str">
        <f>_xlfn.XLOOKUP(order[[#This Row],[customer_id]],customer[customer_id],customer[city])</f>
        <v>Chennai</v>
      </c>
      <c r="L130" t="str">
        <f>_xlfn.XLOOKUP(order[[#This Row],[customer_id]],customer[customer_id],customer[state])</f>
        <v>Tamil Nadu</v>
      </c>
      <c r="M130" t="str">
        <f>_xlfn.XLOOKUP(order[[#This Row],[product_id]],products!$A$2:$A$11,products!$B$2:$B$11)</f>
        <v>Milton Thermosteel Bottle</v>
      </c>
      <c r="N130" s="3" t="str">
        <f>_xlfn.XLOOKUP(order[[#This Row],[product_id]],products!$A$2:$A$11,products!$C$2:$C$11)</f>
        <v>Home &amp; Kitchen</v>
      </c>
      <c r="O130" s="3">
        <f>_xlfn.XLOOKUP(order[[#This Row],[product_id]],Table4[product_id],Table4[cost_price])</f>
        <v>800</v>
      </c>
      <c r="P130" s="11">
        <f>_xlfn.XLOOKUP(order[[#This Row],[order_id]],shipment[order_id],shipment[ship_date])</f>
        <v>45578</v>
      </c>
      <c r="Q130" s="11">
        <f>_xlfn.XLOOKUP(order[[#This Row],[order_id]],shipment[order_id],shipment[delivery_date])</f>
        <v>45584</v>
      </c>
      <c r="R130" s="3" t="str">
        <f>_xlfn.XLOOKUP(order[[#This Row],[order_id]],shipment[shipment_id],shipment[courier])</f>
        <v>BlueDart</v>
      </c>
      <c r="S130" s="3">
        <f>order[[#This Row],[selling_price]]-order[[#This Row],[cost_price]]*order[[#This Row],[quantity]]-order[[#This Row],[discount]]</f>
        <v>20168</v>
      </c>
      <c r="T130" s="3">
        <f>order[[#This Row],[quantity]]*order[[#This Row],[selling_price]]</f>
        <v>23759</v>
      </c>
    </row>
    <row r="131" spans="1:20" x14ac:dyDescent="0.3">
      <c r="A131">
        <v>130</v>
      </c>
      <c r="B131" s="11">
        <v>45603</v>
      </c>
      <c r="C131">
        <v>150</v>
      </c>
      <c r="D131" t="str">
        <f>_xlfn.XLOOKUP(order[[#This Row],[customer_id]],customer[customer_id],customer[customer_name])</f>
        <v>Vikram Singh</v>
      </c>
      <c r="E131">
        <v>204</v>
      </c>
      <c r="F131">
        <v>3</v>
      </c>
      <c r="G131">
        <v>48500</v>
      </c>
      <c r="H131">
        <v>3155</v>
      </c>
      <c r="I131" t="s">
        <v>9</v>
      </c>
      <c r="J131" t="s">
        <v>12</v>
      </c>
      <c r="K131" t="str">
        <f>_xlfn.XLOOKUP(order[[#This Row],[customer_id]],customer[customer_id],customer[city])</f>
        <v>Mumbai</v>
      </c>
      <c r="L131" t="str">
        <f>_xlfn.XLOOKUP(order[[#This Row],[customer_id]],customer[customer_id],customer[state])</f>
        <v>Maharashtra</v>
      </c>
      <c r="M131" t="str">
        <f>_xlfn.XLOOKUP(order[[#This Row],[product_id]],products!$A$2:$A$11,products!$B$2:$B$11)</f>
        <v>Levi's Slim Fit Jeans</v>
      </c>
      <c r="N131" s="3" t="str">
        <f>_xlfn.XLOOKUP(order[[#This Row],[product_id]],products!$A$2:$A$11,products!$C$2:$C$11)</f>
        <v>Fashion</v>
      </c>
      <c r="O131" s="3">
        <f>_xlfn.XLOOKUP(order[[#This Row],[product_id]],Table4[product_id],Table4[cost_price])</f>
        <v>1800</v>
      </c>
      <c r="P131" s="11">
        <f>_xlfn.XLOOKUP(order[[#This Row],[order_id]],shipment[order_id],shipment[ship_date])</f>
        <v>45543</v>
      </c>
      <c r="Q131" s="11">
        <f>_xlfn.XLOOKUP(order[[#This Row],[order_id]],shipment[order_id],shipment[delivery_date])</f>
        <v>45544</v>
      </c>
      <c r="R131" s="3" t="str">
        <f>_xlfn.XLOOKUP(order[[#This Row],[order_id]],shipment[shipment_id],shipment[courier])</f>
        <v>BlueDart</v>
      </c>
      <c r="S131" s="3">
        <f>order[[#This Row],[selling_price]]-order[[#This Row],[cost_price]]*order[[#This Row],[quantity]]-order[[#This Row],[discount]]</f>
        <v>39945</v>
      </c>
      <c r="T131" s="3">
        <f>order[[#This Row],[quantity]]*order[[#This Row],[selling_price]]</f>
        <v>145500</v>
      </c>
    </row>
    <row r="132" spans="1:20" x14ac:dyDescent="0.3">
      <c r="A132">
        <v>554</v>
      </c>
      <c r="B132" s="11">
        <v>45361</v>
      </c>
      <c r="C132">
        <v>103</v>
      </c>
      <c r="D132" t="str">
        <f>_xlfn.XLOOKUP(order[[#This Row],[customer_id]],customer[customer_id],customer[customer_name])</f>
        <v>Vikram Singh</v>
      </c>
      <c r="E132">
        <v>201</v>
      </c>
      <c r="F132">
        <v>3</v>
      </c>
      <c r="G132">
        <v>69132</v>
      </c>
      <c r="H132">
        <v>2435</v>
      </c>
      <c r="I132" t="s">
        <v>15</v>
      </c>
      <c r="J132" t="s">
        <v>10</v>
      </c>
      <c r="K132" t="str">
        <f>_xlfn.XLOOKUP(order[[#This Row],[customer_id]],customer[customer_id],customer[city])</f>
        <v>Delhi</v>
      </c>
      <c r="L132" t="str">
        <f>_xlfn.XLOOKUP(order[[#This Row],[customer_id]],customer[customer_id],customer[state])</f>
        <v>Delhi</v>
      </c>
      <c r="M132" t="str">
        <f>_xlfn.XLOOKUP(order[[#This Row],[product_id]],products!$A$2:$A$11,products!$B$2:$B$11)</f>
        <v>iPhone 13</v>
      </c>
      <c r="N132" s="3" t="str">
        <f>_xlfn.XLOOKUP(order[[#This Row],[product_id]],products!$A$2:$A$11,products!$C$2:$C$11)</f>
        <v>Electronics</v>
      </c>
      <c r="O132" s="3">
        <f>_xlfn.XLOOKUP(order[[#This Row],[product_id]],Table4[product_id],Table4[cost_price])</f>
        <v>52000</v>
      </c>
      <c r="P132" s="11">
        <f>_xlfn.XLOOKUP(order[[#This Row],[order_id]],shipment[order_id],shipment[ship_date])</f>
        <v>45632</v>
      </c>
      <c r="Q132" s="11">
        <f>_xlfn.XLOOKUP(order[[#This Row],[order_id]],shipment[order_id],shipment[delivery_date])</f>
        <v>45634</v>
      </c>
      <c r="R132" s="3" t="str">
        <f>_xlfn.XLOOKUP(order[[#This Row],[order_id]],shipment[shipment_id],shipment[courier])</f>
        <v>Delhivery</v>
      </c>
      <c r="S132" s="3">
        <f>order[[#This Row],[selling_price]]-order[[#This Row],[cost_price]]*order[[#This Row],[quantity]]-order[[#This Row],[discount]]</f>
        <v>-89303</v>
      </c>
      <c r="T132" s="3">
        <f>order[[#This Row],[quantity]]*order[[#This Row],[selling_price]]</f>
        <v>207396</v>
      </c>
    </row>
    <row r="133" spans="1:20" x14ac:dyDescent="0.3">
      <c r="A133">
        <v>132</v>
      </c>
      <c r="B133" s="11">
        <v>45521</v>
      </c>
      <c r="C133">
        <v>117</v>
      </c>
      <c r="D133" t="str">
        <f>_xlfn.XLOOKUP(order[[#This Row],[customer_id]],customer[customer_id],customer[customer_name])</f>
        <v>Rohit Verma</v>
      </c>
      <c r="E133">
        <v>205</v>
      </c>
      <c r="F133">
        <v>2</v>
      </c>
      <c r="G133">
        <v>7078</v>
      </c>
      <c r="H133">
        <v>2972</v>
      </c>
      <c r="I133" t="s">
        <v>11</v>
      </c>
      <c r="J133" t="s">
        <v>12</v>
      </c>
      <c r="K133" t="str">
        <f>_xlfn.XLOOKUP(order[[#This Row],[customer_id]],customer[customer_id],customer[city])</f>
        <v>Bangalore</v>
      </c>
      <c r="L133" t="str">
        <f>_xlfn.XLOOKUP(order[[#This Row],[customer_id]],customer[customer_id],customer[state])</f>
        <v>Karnataka</v>
      </c>
      <c r="M133" t="str">
        <f>_xlfn.XLOOKUP(order[[#This Row],[product_id]],products!$A$2:$A$11,products!$B$2:$B$11)</f>
        <v>Prestige Pressure Cooker 5L</v>
      </c>
      <c r="N133" s="3" t="str">
        <f>_xlfn.XLOOKUP(order[[#This Row],[product_id]],products!$A$2:$A$11,products!$C$2:$C$11)</f>
        <v>Home &amp; Kitchen</v>
      </c>
      <c r="O133" s="3">
        <f>_xlfn.XLOOKUP(order[[#This Row],[product_id]],Table4[product_id],Table4[cost_price])</f>
        <v>1200</v>
      </c>
      <c r="P133" s="11">
        <f>_xlfn.XLOOKUP(order[[#This Row],[order_id]],shipment[order_id],shipment[ship_date])</f>
        <v>45581</v>
      </c>
      <c r="Q133" s="11">
        <f>_xlfn.XLOOKUP(order[[#This Row],[order_id]],shipment[order_id],shipment[delivery_date])</f>
        <v>45591</v>
      </c>
      <c r="R133" s="3" t="str">
        <f>_xlfn.XLOOKUP(order[[#This Row],[order_id]],shipment[shipment_id],shipment[courier])</f>
        <v>BlueDart</v>
      </c>
      <c r="S133" s="3">
        <f>order[[#This Row],[selling_price]]-order[[#This Row],[cost_price]]*order[[#This Row],[quantity]]-order[[#This Row],[discount]]</f>
        <v>1706</v>
      </c>
      <c r="T133" s="3">
        <f>order[[#This Row],[quantity]]*order[[#This Row],[selling_price]]</f>
        <v>14156</v>
      </c>
    </row>
    <row r="134" spans="1:20" x14ac:dyDescent="0.3">
      <c r="A134">
        <v>343</v>
      </c>
      <c r="B134" s="11">
        <v>45327</v>
      </c>
      <c r="C134">
        <v>294</v>
      </c>
      <c r="D134" t="str">
        <f>_xlfn.XLOOKUP(order[[#This Row],[customer_id]],customer[customer_id],customer[customer_name])</f>
        <v>Sneha Iyer</v>
      </c>
      <c r="E134">
        <v>201</v>
      </c>
      <c r="F134">
        <v>4</v>
      </c>
      <c r="G134">
        <v>53942</v>
      </c>
      <c r="H134">
        <v>2404</v>
      </c>
      <c r="I134" t="s">
        <v>15</v>
      </c>
      <c r="J134" t="s">
        <v>10</v>
      </c>
      <c r="K134" t="str">
        <f>_xlfn.XLOOKUP(order[[#This Row],[customer_id]],customer[customer_id],customer[city])</f>
        <v>Hyderabad</v>
      </c>
      <c r="L134" t="str">
        <f>_xlfn.XLOOKUP(order[[#This Row],[customer_id]],customer[customer_id],customer[state])</f>
        <v>Telangana</v>
      </c>
      <c r="M134" t="str">
        <f>_xlfn.XLOOKUP(order[[#This Row],[product_id]],products!$A$2:$A$11,products!$B$2:$B$11)</f>
        <v>iPhone 13</v>
      </c>
      <c r="N134" s="3" t="str">
        <f>_xlfn.XLOOKUP(order[[#This Row],[product_id]],products!$A$2:$A$11,products!$C$2:$C$11)</f>
        <v>Electronics</v>
      </c>
      <c r="O134" s="3">
        <f>_xlfn.XLOOKUP(order[[#This Row],[product_id]],Table4[product_id],Table4[cost_price])</f>
        <v>52000</v>
      </c>
      <c r="P134" s="11">
        <f>_xlfn.XLOOKUP(order[[#This Row],[order_id]],shipment[order_id],shipment[ship_date])</f>
        <v>45618</v>
      </c>
      <c r="Q134" s="11">
        <f>_xlfn.XLOOKUP(order[[#This Row],[order_id]],shipment[order_id],shipment[delivery_date])</f>
        <v>45622</v>
      </c>
      <c r="R134" s="3" t="str">
        <f>_xlfn.XLOOKUP(order[[#This Row],[order_id]],shipment[shipment_id],shipment[courier])</f>
        <v>BlueDart</v>
      </c>
      <c r="S134" s="3">
        <f>order[[#This Row],[selling_price]]-order[[#This Row],[cost_price]]*order[[#This Row],[quantity]]-order[[#This Row],[discount]]</f>
        <v>-156462</v>
      </c>
      <c r="T134" s="3">
        <f>order[[#This Row],[quantity]]*order[[#This Row],[selling_price]]</f>
        <v>215768</v>
      </c>
    </row>
    <row r="135" spans="1:20" x14ac:dyDescent="0.3">
      <c r="A135">
        <v>985</v>
      </c>
      <c r="B135" s="11">
        <v>45362</v>
      </c>
      <c r="C135">
        <v>264</v>
      </c>
      <c r="D135" t="str">
        <f>_xlfn.XLOOKUP(order[[#This Row],[customer_id]],customer[customer_id],customer[customer_name])</f>
        <v>Ishita Bose</v>
      </c>
      <c r="E135">
        <v>201</v>
      </c>
      <c r="F135">
        <v>2</v>
      </c>
      <c r="G135">
        <v>9083</v>
      </c>
      <c r="H135">
        <v>2358</v>
      </c>
      <c r="I135" t="s">
        <v>11</v>
      </c>
      <c r="J135" t="s">
        <v>10</v>
      </c>
      <c r="K135" t="str">
        <f>_xlfn.XLOOKUP(order[[#This Row],[customer_id]],customer[customer_id],customer[city])</f>
        <v>Delhi</v>
      </c>
      <c r="L135" t="str">
        <f>_xlfn.XLOOKUP(order[[#This Row],[customer_id]],customer[customer_id],customer[state])</f>
        <v>Delhi</v>
      </c>
      <c r="M135" t="str">
        <f>_xlfn.XLOOKUP(order[[#This Row],[product_id]],products!$A$2:$A$11,products!$B$2:$B$11)</f>
        <v>iPhone 13</v>
      </c>
      <c r="N135" s="3" t="str">
        <f>_xlfn.XLOOKUP(order[[#This Row],[product_id]],products!$A$2:$A$11,products!$C$2:$C$11)</f>
        <v>Electronics</v>
      </c>
      <c r="O135" s="3">
        <f>_xlfn.XLOOKUP(order[[#This Row],[product_id]],Table4[product_id],Table4[cost_price])</f>
        <v>52000</v>
      </c>
      <c r="P135" s="11">
        <f>_xlfn.XLOOKUP(order[[#This Row],[order_id]],shipment[order_id],shipment[ship_date])</f>
        <v>45357</v>
      </c>
      <c r="Q135" s="11">
        <f>_xlfn.XLOOKUP(order[[#This Row],[order_id]],shipment[order_id],shipment[delivery_date])</f>
        <v>45365</v>
      </c>
      <c r="R135" s="3" t="str">
        <f>_xlfn.XLOOKUP(order[[#This Row],[order_id]],shipment[shipment_id],shipment[courier])</f>
        <v>Ekart</v>
      </c>
      <c r="S135" s="3">
        <f>order[[#This Row],[selling_price]]-order[[#This Row],[cost_price]]*order[[#This Row],[quantity]]-order[[#This Row],[discount]]</f>
        <v>-97275</v>
      </c>
      <c r="T135" s="3">
        <f>order[[#This Row],[quantity]]*order[[#This Row],[selling_price]]</f>
        <v>18166</v>
      </c>
    </row>
    <row r="136" spans="1:20" x14ac:dyDescent="0.3">
      <c r="A136">
        <v>961</v>
      </c>
      <c r="B136" s="11">
        <v>45599</v>
      </c>
      <c r="C136">
        <v>217</v>
      </c>
      <c r="D136" t="str">
        <f>_xlfn.XLOOKUP(order[[#This Row],[customer_id]],customer[customer_id],customer[customer_name])</f>
        <v>Rahul Mehta</v>
      </c>
      <c r="E136">
        <v>201</v>
      </c>
      <c r="F136">
        <v>2</v>
      </c>
      <c r="G136">
        <v>10618</v>
      </c>
      <c r="H136">
        <v>2340</v>
      </c>
      <c r="I136" t="s">
        <v>13</v>
      </c>
      <c r="J136" t="s">
        <v>10</v>
      </c>
      <c r="K136" t="str">
        <f>_xlfn.XLOOKUP(order[[#This Row],[customer_id]],customer[customer_id],customer[city])</f>
        <v>Delhi</v>
      </c>
      <c r="L136" t="str">
        <f>_xlfn.XLOOKUP(order[[#This Row],[customer_id]],customer[customer_id],customer[state])</f>
        <v>Delhi</v>
      </c>
      <c r="M136" t="str">
        <f>_xlfn.XLOOKUP(order[[#This Row],[product_id]],products!$A$2:$A$11,products!$B$2:$B$11)</f>
        <v>iPhone 13</v>
      </c>
      <c r="N136" s="3" t="str">
        <f>_xlfn.XLOOKUP(order[[#This Row],[product_id]],products!$A$2:$A$11,products!$C$2:$C$11)</f>
        <v>Electronics</v>
      </c>
      <c r="O136" s="3">
        <f>_xlfn.XLOOKUP(order[[#This Row],[product_id]],Table4[product_id],Table4[cost_price])</f>
        <v>52000</v>
      </c>
      <c r="P136" s="11">
        <f>_xlfn.XLOOKUP(order[[#This Row],[order_id]],shipment[order_id],shipment[ship_date])</f>
        <v>45590</v>
      </c>
      <c r="Q136" s="11">
        <f>_xlfn.XLOOKUP(order[[#This Row],[order_id]],shipment[order_id],shipment[delivery_date])</f>
        <v>45598</v>
      </c>
      <c r="R136" s="3" t="str">
        <f>_xlfn.XLOOKUP(order[[#This Row],[order_id]],shipment[shipment_id],shipment[courier])</f>
        <v>Ekart</v>
      </c>
      <c r="S136" s="3">
        <f>order[[#This Row],[selling_price]]-order[[#This Row],[cost_price]]*order[[#This Row],[quantity]]-order[[#This Row],[discount]]</f>
        <v>-95722</v>
      </c>
      <c r="T136" s="3">
        <f>order[[#This Row],[quantity]]*order[[#This Row],[selling_price]]</f>
        <v>21236</v>
      </c>
    </row>
    <row r="137" spans="1:20" x14ac:dyDescent="0.3">
      <c r="A137">
        <v>136</v>
      </c>
      <c r="B137" s="11">
        <v>45294</v>
      </c>
      <c r="C137">
        <v>181</v>
      </c>
      <c r="D137" t="str">
        <f>_xlfn.XLOOKUP(order[[#This Row],[customer_id]],customer[customer_id],customer[customer_name])</f>
        <v>Manish Yadav</v>
      </c>
      <c r="E137">
        <v>210</v>
      </c>
      <c r="F137">
        <v>1</v>
      </c>
      <c r="G137">
        <v>45711</v>
      </c>
      <c r="H137">
        <v>2291</v>
      </c>
      <c r="I137" t="s">
        <v>15</v>
      </c>
      <c r="J137" t="s">
        <v>14</v>
      </c>
      <c r="K137" t="str">
        <f>_xlfn.XLOOKUP(order[[#This Row],[customer_id]],customer[customer_id],customer[city])</f>
        <v>Delhi</v>
      </c>
      <c r="L137" t="str">
        <f>_xlfn.XLOOKUP(order[[#This Row],[customer_id]],customer[customer_id],customer[state])</f>
        <v>Delhi</v>
      </c>
      <c r="M137" t="str">
        <f>_xlfn.XLOOKUP(order[[#This Row],[product_id]],products!$A$2:$A$11,products!$B$2:$B$11)</f>
        <v>LG 43 Inch Smart TV</v>
      </c>
      <c r="N137" s="3" t="str">
        <f>_xlfn.XLOOKUP(order[[#This Row],[product_id]],products!$A$2:$A$11,products!$C$2:$C$11)</f>
        <v>Electronics</v>
      </c>
      <c r="O137" s="3">
        <f>_xlfn.XLOOKUP(order[[#This Row],[product_id]],Table4[product_id],Table4[cost_price])</f>
        <v>30000</v>
      </c>
      <c r="P137" s="11">
        <f>_xlfn.XLOOKUP(order[[#This Row],[order_id]],shipment[order_id],shipment[ship_date])</f>
        <v>45525</v>
      </c>
      <c r="Q137" s="11">
        <f>_xlfn.XLOOKUP(order[[#This Row],[order_id]],shipment[order_id],shipment[delivery_date])</f>
        <v>45535</v>
      </c>
      <c r="R137" s="3" t="str">
        <f>_xlfn.XLOOKUP(order[[#This Row],[order_id]],shipment[shipment_id],shipment[courier])</f>
        <v>Delhivery</v>
      </c>
      <c r="S137" s="3">
        <f>order[[#This Row],[selling_price]]-order[[#This Row],[cost_price]]*order[[#This Row],[quantity]]-order[[#This Row],[discount]]</f>
        <v>13420</v>
      </c>
      <c r="T137" s="3">
        <f>order[[#This Row],[quantity]]*order[[#This Row],[selling_price]]</f>
        <v>45711</v>
      </c>
    </row>
    <row r="138" spans="1:20" x14ac:dyDescent="0.3">
      <c r="A138">
        <v>683</v>
      </c>
      <c r="B138" s="11">
        <v>45496</v>
      </c>
      <c r="C138">
        <v>238</v>
      </c>
      <c r="D138" t="str">
        <f>_xlfn.XLOOKUP(order[[#This Row],[customer_id]],customer[customer_id],customer[customer_name])</f>
        <v>Karan Patel</v>
      </c>
      <c r="E138">
        <v>201</v>
      </c>
      <c r="F138">
        <v>2</v>
      </c>
      <c r="G138">
        <v>14048</v>
      </c>
      <c r="H138">
        <v>2311</v>
      </c>
      <c r="I138" t="s">
        <v>13</v>
      </c>
      <c r="J138" t="s">
        <v>12</v>
      </c>
      <c r="K138" t="str">
        <f>_xlfn.XLOOKUP(order[[#This Row],[customer_id]],customer[customer_id],customer[city])</f>
        <v>Chennai</v>
      </c>
      <c r="L138" t="str">
        <f>_xlfn.XLOOKUP(order[[#This Row],[customer_id]],customer[customer_id],customer[state])</f>
        <v>Tamil Nadu</v>
      </c>
      <c r="M138" t="str">
        <f>_xlfn.XLOOKUP(order[[#This Row],[product_id]],products!$A$2:$A$11,products!$B$2:$B$11)</f>
        <v>iPhone 13</v>
      </c>
      <c r="N138" s="3" t="str">
        <f>_xlfn.XLOOKUP(order[[#This Row],[product_id]],products!$A$2:$A$11,products!$C$2:$C$11)</f>
        <v>Electronics</v>
      </c>
      <c r="O138" s="3">
        <f>_xlfn.XLOOKUP(order[[#This Row],[product_id]],Table4[product_id],Table4[cost_price])</f>
        <v>52000</v>
      </c>
      <c r="P138" s="11">
        <f>_xlfn.XLOOKUP(order[[#This Row],[order_id]],shipment[order_id],shipment[ship_date])</f>
        <v>45446</v>
      </c>
      <c r="Q138" s="11">
        <f>_xlfn.XLOOKUP(order[[#This Row],[order_id]],shipment[order_id],shipment[delivery_date])</f>
        <v>45453</v>
      </c>
      <c r="R138" s="3" t="str">
        <f>_xlfn.XLOOKUP(order[[#This Row],[order_id]],shipment[shipment_id],shipment[courier])</f>
        <v>DTDC</v>
      </c>
      <c r="S138" s="3">
        <f>order[[#This Row],[selling_price]]-order[[#This Row],[cost_price]]*order[[#This Row],[quantity]]-order[[#This Row],[discount]]</f>
        <v>-92263</v>
      </c>
      <c r="T138" s="3">
        <f>order[[#This Row],[quantity]]*order[[#This Row],[selling_price]]</f>
        <v>28096</v>
      </c>
    </row>
    <row r="139" spans="1:20" x14ac:dyDescent="0.3">
      <c r="A139">
        <v>138</v>
      </c>
      <c r="B139" s="11">
        <v>45322</v>
      </c>
      <c r="C139">
        <v>117</v>
      </c>
      <c r="D139" t="str">
        <f>_xlfn.XLOOKUP(order[[#This Row],[customer_id]],customer[customer_id],customer[customer_name])</f>
        <v>Rohit Verma</v>
      </c>
      <c r="E139">
        <v>209</v>
      </c>
      <c r="F139">
        <v>2</v>
      </c>
      <c r="G139">
        <v>64999</v>
      </c>
      <c r="H139">
        <v>3880</v>
      </c>
      <c r="I139" t="s">
        <v>11</v>
      </c>
      <c r="J139" t="s">
        <v>12</v>
      </c>
      <c r="K139" t="str">
        <f>_xlfn.XLOOKUP(order[[#This Row],[customer_id]],customer[customer_id],customer[city])</f>
        <v>Bangalore</v>
      </c>
      <c r="L139" t="str">
        <f>_xlfn.XLOOKUP(order[[#This Row],[customer_id]],customer[customer_id],customer[state])</f>
        <v>Karnataka</v>
      </c>
      <c r="M139" t="str">
        <f>_xlfn.XLOOKUP(order[[#This Row],[product_id]],products!$A$2:$A$11,products!$B$2:$B$11)</f>
        <v>Milton Thermosteel Bottle</v>
      </c>
      <c r="N139" s="3" t="str">
        <f>_xlfn.XLOOKUP(order[[#This Row],[product_id]],products!$A$2:$A$11,products!$C$2:$C$11)</f>
        <v>Home &amp; Kitchen</v>
      </c>
      <c r="O139" s="3">
        <f>_xlfn.XLOOKUP(order[[#This Row],[product_id]],Table4[product_id],Table4[cost_price])</f>
        <v>800</v>
      </c>
      <c r="P139" s="11">
        <f>_xlfn.XLOOKUP(order[[#This Row],[order_id]],shipment[order_id],shipment[ship_date])</f>
        <v>45521</v>
      </c>
      <c r="Q139" s="11">
        <f>_xlfn.XLOOKUP(order[[#This Row],[order_id]],shipment[order_id],shipment[delivery_date])</f>
        <v>45529</v>
      </c>
      <c r="R139" s="3" t="str">
        <f>_xlfn.XLOOKUP(order[[#This Row],[order_id]],shipment[shipment_id],shipment[courier])</f>
        <v>DTDC</v>
      </c>
      <c r="S139" s="3">
        <f>order[[#This Row],[selling_price]]-order[[#This Row],[cost_price]]*order[[#This Row],[quantity]]-order[[#This Row],[discount]]</f>
        <v>59519</v>
      </c>
      <c r="T139" s="3">
        <f>order[[#This Row],[quantity]]*order[[#This Row],[selling_price]]</f>
        <v>129998</v>
      </c>
    </row>
    <row r="140" spans="1:20" x14ac:dyDescent="0.3">
      <c r="A140">
        <v>139</v>
      </c>
      <c r="B140" s="11">
        <v>45369</v>
      </c>
      <c r="C140">
        <v>286</v>
      </c>
      <c r="D140" t="str">
        <f>_xlfn.XLOOKUP(order[[#This Row],[customer_id]],customer[customer_id],customer[customer_name])</f>
        <v>Arjun Nair</v>
      </c>
      <c r="E140">
        <v>204</v>
      </c>
      <c r="F140">
        <v>3</v>
      </c>
      <c r="G140">
        <v>41471</v>
      </c>
      <c r="H140">
        <v>4201</v>
      </c>
      <c r="I140" t="s">
        <v>13</v>
      </c>
      <c r="J140" t="s">
        <v>10</v>
      </c>
      <c r="K140" t="str">
        <f>_xlfn.XLOOKUP(order[[#This Row],[customer_id]],customer[customer_id],customer[city])</f>
        <v>Hyderabad</v>
      </c>
      <c r="L140" t="str">
        <f>_xlfn.XLOOKUP(order[[#This Row],[customer_id]],customer[customer_id],customer[state])</f>
        <v>Telangana</v>
      </c>
      <c r="M140" t="str">
        <f>_xlfn.XLOOKUP(order[[#This Row],[product_id]],products!$A$2:$A$11,products!$B$2:$B$11)</f>
        <v>Levi's Slim Fit Jeans</v>
      </c>
      <c r="N140" s="3" t="str">
        <f>_xlfn.XLOOKUP(order[[#This Row],[product_id]],products!$A$2:$A$11,products!$C$2:$C$11)</f>
        <v>Fashion</v>
      </c>
      <c r="O140" s="3">
        <f>_xlfn.XLOOKUP(order[[#This Row],[product_id]],Table4[product_id],Table4[cost_price])</f>
        <v>1800</v>
      </c>
      <c r="P140" s="11">
        <f>_xlfn.XLOOKUP(order[[#This Row],[order_id]],shipment[order_id],shipment[ship_date])</f>
        <v>45590</v>
      </c>
      <c r="Q140" s="11">
        <f>_xlfn.XLOOKUP(order[[#This Row],[order_id]],shipment[order_id],shipment[delivery_date])</f>
        <v>45592</v>
      </c>
      <c r="R140" s="3" t="str">
        <f>_xlfn.XLOOKUP(order[[#This Row],[order_id]],shipment[shipment_id],shipment[courier])</f>
        <v>Delhivery</v>
      </c>
      <c r="S140" s="3">
        <f>order[[#This Row],[selling_price]]-order[[#This Row],[cost_price]]*order[[#This Row],[quantity]]-order[[#This Row],[discount]]</f>
        <v>31870</v>
      </c>
      <c r="T140" s="3">
        <f>order[[#This Row],[quantity]]*order[[#This Row],[selling_price]]</f>
        <v>124413</v>
      </c>
    </row>
    <row r="141" spans="1:20" x14ac:dyDescent="0.3">
      <c r="A141">
        <v>140</v>
      </c>
      <c r="B141" s="11">
        <v>45453</v>
      </c>
      <c r="C141">
        <v>284</v>
      </c>
      <c r="D141" t="str">
        <f>_xlfn.XLOOKUP(order[[#This Row],[customer_id]],customer[customer_id],customer[customer_name])</f>
        <v>Siddharth Jain</v>
      </c>
      <c r="E141">
        <v>204</v>
      </c>
      <c r="F141">
        <v>1</v>
      </c>
      <c r="G141">
        <v>31977</v>
      </c>
      <c r="H141">
        <v>2958</v>
      </c>
      <c r="I141" t="s">
        <v>9</v>
      </c>
      <c r="J141" t="s">
        <v>12</v>
      </c>
      <c r="K141" t="str">
        <f>_xlfn.XLOOKUP(order[[#This Row],[customer_id]],customer[customer_id],customer[city])</f>
        <v>Delhi</v>
      </c>
      <c r="L141" t="str">
        <f>_xlfn.XLOOKUP(order[[#This Row],[customer_id]],customer[customer_id],customer[state])</f>
        <v>Delhi</v>
      </c>
      <c r="M141" t="str">
        <f>_xlfn.XLOOKUP(order[[#This Row],[product_id]],products!$A$2:$A$11,products!$B$2:$B$11)</f>
        <v>Levi's Slim Fit Jeans</v>
      </c>
      <c r="N141" s="3" t="str">
        <f>_xlfn.XLOOKUP(order[[#This Row],[product_id]],products!$A$2:$A$11,products!$C$2:$C$11)</f>
        <v>Fashion</v>
      </c>
      <c r="O141" s="3">
        <f>_xlfn.XLOOKUP(order[[#This Row],[product_id]],Table4[product_id],Table4[cost_price])</f>
        <v>1800</v>
      </c>
      <c r="P141" s="11">
        <f>_xlfn.XLOOKUP(order[[#This Row],[order_id]],shipment[order_id],shipment[ship_date])</f>
        <v>45539</v>
      </c>
      <c r="Q141" s="11">
        <f>_xlfn.XLOOKUP(order[[#This Row],[order_id]],shipment[order_id],shipment[delivery_date])</f>
        <v>45547</v>
      </c>
      <c r="R141" s="3" t="str">
        <f>_xlfn.XLOOKUP(order[[#This Row],[order_id]],shipment[shipment_id],shipment[courier])</f>
        <v>Ekart</v>
      </c>
      <c r="S141" s="3">
        <f>order[[#This Row],[selling_price]]-order[[#This Row],[cost_price]]*order[[#This Row],[quantity]]-order[[#This Row],[discount]]</f>
        <v>27219</v>
      </c>
      <c r="T141" s="3">
        <f>order[[#This Row],[quantity]]*order[[#This Row],[selling_price]]</f>
        <v>31977</v>
      </c>
    </row>
    <row r="142" spans="1:20" x14ac:dyDescent="0.3">
      <c r="A142">
        <v>141</v>
      </c>
      <c r="B142" s="11">
        <v>45504</v>
      </c>
      <c r="C142">
        <v>248</v>
      </c>
      <c r="D142" t="str">
        <f>_xlfn.XLOOKUP(order[[#This Row],[customer_id]],customer[customer_id],customer[customer_name])</f>
        <v>Siddharth Jain</v>
      </c>
      <c r="E142">
        <v>207</v>
      </c>
      <c r="F142">
        <v>2</v>
      </c>
      <c r="G142">
        <v>59907</v>
      </c>
      <c r="H142">
        <v>1311</v>
      </c>
      <c r="I142" t="s">
        <v>15</v>
      </c>
      <c r="J142" t="s">
        <v>14</v>
      </c>
      <c r="K142" t="str">
        <f>_xlfn.XLOOKUP(order[[#This Row],[customer_id]],customer[customer_id],customer[city])</f>
        <v>Ahmedabad</v>
      </c>
      <c r="L142" t="str">
        <f>_xlfn.XLOOKUP(order[[#This Row],[customer_id]],customer[customer_id],customer[state])</f>
        <v>Gujarat</v>
      </c>
      <c r="M142" t="str">
        <f>_xlfn.XLOOKUP(order[[#This Row],[product_id]],products!$A$2:$A$11,products!$B$2:$B$11)</f>
        <v>Sony WH-1000XM4 Headphones</v>
      </c>
      <c r="N142" s="3" t="str">
        <f>_xlfn.XLOOKUP(order[[#This Row],[product_id]],products!$A$2:$A$11,products!$C$2:$C$11)</f>
        <v>Electronics</v>
      </c>
      <c r="O142" s="3">
        <f>_xlfn.XLOOKUP(order[[#This Row],[product_id]],Table4[product_id],Table4[cost_price])</f>
        <v>20000</v>
      </c>
      <c r="P142" s="11">
        <f>_xlfn.XLOOKUP(order[[#This Row],[order_id]],shipment[order_id],shipment[ship_date])</f>
        <v>45542</v>
      </c>
      <c r="Q142" s="11">
        <f>_xlfn.XLOOKUP(order[[#This Row],[order_id]],shipment[order_id],shipment[delivery_date])</f>
        <v>45549</v>
      </c>
      <c r="R142" s="3" t="str">
        <f>_xlfn.XLOOKUP(order[[#This Row],[order_id]],shipment[shipment_id],shipment[courier])</f>
        <v>Delhivery</v>
      </c>
      <c r="S142" s="3">
        <f>order[[#This Row],[selling_price]]-order[[#This Row],[cost_price]]*order[[#This Row],[quantity]]-order[[#This Row],[discount]]</f>
        <v>18596</v>
      </c>
      <c r="T142" s="3">
        <f>order[[#This Row],[quantity]]*order[[#This Row],[selling_price]]</f>
        <v>119814</v>
      </c>
    </row>
    <row r="143" spans="1:20" x14ac:dyDescent="0.3">
      <c r="A143">
        <v>142</v>
      </c>
      <c r="B143" s="11">
        <v>45640</v>
      </c>
      <c r="C143">
        <v>140</v>
      </c>
      <c r="D143" t="str">
        <f>_xlfn.XLOOKUP(order[[#This Row],[customer_id]],customer[customer_id],customer[customer_name])</f>
        <v>Neha Kapoor</v>
      </c>
      <c r="E143">
        <v>209</v>
      </c>
      <c r="F143">
        <v>4</v>
      </c>
      <c r="G143">
        <v>52686</v>
      </c>
      <c r="H143">
        <v>1858</v>
      </c>
      <c r="I143" t="s">
        <v>15</v>
      </c>
      <c r="J143" t="s">
        <v>12</v>
      </c>
      <c r="K143" t="str">
        <f>_xlfn.XLOOKUP(order[[#This Row],[customer_id]],customer[customer_id],customer[city])</f>
        <v>Chennai</v>
      </c>
      <c r="L143" t="str">
        <f>_xlfn.XLOOKUP(order[[#This Row],[customer_id]],customer[customer_id],customer[state])</f>
        <v>Tamil Nadu</v>
      </c>
      <c r="M143" t="str">
        <f>_xlfn.XLOOKUP(order[[#This Row],[product_id]],products!$A$2:$A$11,products!$B$2:$B$11)</f>
        <v>Milton Thermosteel Bottle</v>
      </c>
      <c r="N143" s="3" t="str">
        <f>_xlfn.XLOOKUP(order[[#This Row],[product_id]],products!$A$2:$A$11,products!$C$2:$C$11)</f>
        <v>Home &amp; Kitchen</v>
      </c>
      <c r="O143" s="3">
        <f>_xlfn.XLOOKUP(order[[#This Row],[product_id]],Table4[product_id],Table4[cost_price])</f>
        <v>800</v>
      </c>
      <c r="P143" s="11">
        <f>_xlfn.XLOOKUP(order[[#This Row],[order_id]],shipment[order_id],shipment[ship_date])</f>
        <v>45426</v>
      </c>
      <c r="Q143" s="11">
        <f>_xlfn.XLOOKUP(order[[#This Row],[order_id]],shipment[order_id],shipment[delivery_date])</f>
        <v>45428</v>
      </c>
      <c r="R143" s="3" t="str">
        <f>_xlfn.XLOOKUP(order[[#This Row],[order_id]],shipment[shipment_id],shipment[courier])</f>
        <v>DTDC</v>
      </c>
      <c r="S143" s="3">
        <f>order[[#This Row],[selling_price]]-order[[#This Row],[cost_price]]*order[[#This Row],[quantity]]-order[[#This Row],[discount]]</f>
        <v>47628</v>
      </c>
      <c r="T143" s="3">
        <f>order[[#This Row],[quantity]]*order[[#This Row],[selling_price]]</f>
        <v>210744</v>
      </c>
    </row>
    <row r="144" spans="1:20" x14ac:dyDescent="0.3">
      <c r="A144">
        <v>462</v>
      </c>
      <c r="B144" s="11">
        <v>45358</v>
      </c>
      <c r="C144">
        <v>277</v>
      </c>
      <c r="D144" t="str">
        <f>_xlfn.XLOOKUP(order[[#This Row],[customer_id]],customer[customer_id],customer[customer_name])</f>
        <v>Ananya Gupta</v>
      </c>
      <c r="E144">
        <v>201</v>
      </c>
      <c r="F144">
        <v>3</v>
      </c>
      <c r="G144">
        <v>50737</v>
      </c>
      <c r="H144">
        <v>2290</v>
      </c>
      <c r="I144" t="s">
        <v>15</v>
      </c>
      <c r="J144" t="s">
        <v>10</v>
      </c>
      <c r="K144" t="str">
        <f>_xlfn.XLOOKUP(order[[#This Row],[customer_id]],customer[customer_id],customer[city])</f>
        <v>Bangalore</v>
      </c>
      <c r="L144" t="str">
        <f>_xlfn.XLOOKUP(order[[#This Row],[customer_id]],customer[customer_id],customer[state])</f>
        <v>Karnataka</v>
      </c>
      <c r="M144" t="str">
        <f>_xlfn.XLOOKUP(order[[#This Row],[product_id]],products!$A$2:$A$11,products!$B$2:$B$11)</f>
        <v>iPhone 13</v>
      </c>
      <c r="N144" s="3" t="str">
        <f>_xlfn.XLOOKUP(order[[#This Row],[product_id]],products!$A$2:$A$11,products!$C$2:$C$11)</f>
        <v>Electronics</v>
      </c>
      <c r="O144" s="3">
        <f>_xlfn.XLOOKUP(order[[#This Row],[product_id]],Table4[product_id],Table4[cost_price])</f>
        <v>52000</v>
      </c>
      <c r="P144" s="11">
        <f>_xlfn.XLOOKUP(order[[#This Row],[order_id]],shipment[order_id],shipment[ship_date])</f>
        <v>45517</v>
      </c>
      <c r="Q144" s="11">
        <f>_xlfn.XLOOKUP(order[[#This Row],[order_id]],shipment[order_id],shipment[delivery_date])</f>
        <v>45527</v>
      </c>
      <c r="R144" s="3" t="str">
        <f>_xlfn.XLOOKUP(order[[#This Row],[order_id]],shipment[shipment_id],shipment[courier])</f>
        <v>Delhivery</v>
      </c>
      <c r="S144" s="3">
        <f>order[[#This Row],[selling_price]]-order[[#This Row],[cost_price]]*order[[#This Row],[quantity]]-order[[#This Row],[discount]]</f>
        <v>-107553</v>
      </c>
      <c r="T144" s="3">
        <f>order[[#This Row],[quantity]]*order[[#This Row],[selling_price]]</f>
        <v>152211</v>
      </c>
    </row>
    <row r="145" spans="1:20" x14ac:dyDescent="0.3">
      <c r="A145">
        <v>1002</v>
      </c>
      <c r="B145" s="11">
        <v>45586</v>
      </c>
      <c r="C145">
        <v>219</v>
      </c>
      <c r="D145" t="str">
        <f>_xlfn.XLOOKUP(order[[#This Row],[customer_id]],customer[customer_id],customer[customer_name])</f>
        <v>Meera Joshi</v>
      </c>
      <c r="E145">
        <v>201</v>
      </c>
      <c r="F145">
        <v>2</v>
      </c>
      <c r="G145">
        <v>51980</v>
      </c>
      <c r="H145">
        <v>2225</v>
      </c>
      <c r="I145" t="s">
        <v>11</v>
      </c>
      <c r="J145" t="s">
        <v>14</v>
      </c>
      <c r="K145" t="str">
        <f>_xlfn.XLOOKUP(order[[#This Row],[customer_id]],customer[customer_id],customer[city])</f>
        <v>Bangalore</v>
      </c>
      <c r="L145" t="str">
        <f>_xlfn.XLOOKUP(order[[#This Row],[customer_id]],customer[customer_id],customer[state])</f>
        <v>Karnataka</v>
      </c>
      <c r="M145" t="str">
        <f>_xlfn.XLOOKUP(order[[#This Row],[product_id]],products!$A$2:$A$11,products!$B$2:$B$11)</f>
        <v>iPhone 13</v>
      </c>
      <c r="N145" s="3" t="str">
        <f>_xlfn.XLOOKUP(order[[#This Row],[product_id]],products!$A$2:$A$11,products!$C$2:$C$11)</f>
        <v>Electronics</v>
      </c>
      <c r="O145" s="3">
        <f>_xlfn.XLOOKUP(order[[#This Row],[product_id]],Table4[product_id],Table4[cost_price])</f>
        <v>52000</v>
      </c>
      <c r="P145" s="11">
        <f>_xlfn.XLOOKUP(order[[#This Row],[order_id]],shipment[order_id],shipment[ship_date])</f>
        <v>45553</v>
      </c>
      <c r="Q145" s="11">
        <f>_xlfn.XLOOKUP(order[[#This Row],[order_id]],shipment[order_id],shipment[delivery_date])</f>
        <v>45556</v>
      </c>
      <c r="R145" s="3" t="str">
        <f>_xlfn.XLOOKUP(order[[#This Row],[order_id]],shipment[shipment_id],shipment[courier])</f>
        <v>Delhivery</v>
      </c>
      <c r="S145" s="3">
        <f>order[[#This Row],[selling_price]]-order[[#This Row],[cost_price]]*order[[#This Row],[quantity]]-order[[#This Row],[discount]]</f>
        <v>-54245</v>
      </c>
      <c r="T145" s="3">
        <f>order[[#This Row],[quantity]]*order[[#This Row],[selling_price]]</f>
        <v>103960</v>
      </c>
    </row>
    <row r="146" spans="1:20" x14ac:dyDescent="0.3">
      <c r="A146">
        <v>73</v>
      </c>
      <c r="B146" s="11">
        <v>45540</v>
      </c>
      <c r="C146">
        <v>222</v>
      </c>
      <c r="D146" t="str">
        <f>_xlfn.XLOOKUP(order[[#This Row],[customer_id]],customer[customer_id],customer[customer_name])</f>
        <v>Ananya Gupta</v>
      </c>
      <c r="E146">
        <v>201</v>
      </c>
      <c r="F146">
        <v>1</v>
      </c>
      <c r="G146">
        <v>39295</v>
      </c>
      <c r="H146">
        <v>2220</v>
      </c>
      <c r="I146" t="s">
        <v>15</v>
      </c>
      <c r="J146" t="s">
        <v>14</v>
      </c>
      <c r="K146" t="str">
        <f>_xlfn.XLOOKUP(order[[#This Row],[customer_id]],customer[customer_id],customer[city])</f>
        <v>Chennai</v>
      </c>
      <c r="L146" t="str">
        <f>_xlfn.XLOOKUP(order[[#This Row],[customer_id]],customer[customer_id],customer[state])</f>
        <v>Tamil Nadu</v>
      </c>
      <c r="M146" t="str">
        <f>_xlfn.XLOOKUP(order[[#This Row],[product_id]],products!$A$2:$A$11,products!$B$2:$B$11)</f>
        <v>iPhone 13</v>
      </c>
      <c r="N146" s="3" t="str">
        <f>_xlfn.XLOOKUP(order[[#This Row],[product_id]],products!$A$2:$A$11,products!$C$2:$C$11)</f>
        <v>Electronics</v>
      </c>
      <c r="O146" s="3">
        <f>_xlfn.XLOOKUP(order[[#This Row],[product_id]],Table4[product_id],Table4[cost_price])</f>
        <v>52000</v>
      </c>
      <c r="P146" s="11">
        <f>_xlfn.XLOOKUP(order[[#This Row],[order_id]],shipment[order_id],shipment[ship_date])</f>
        <v>45512</v>
      </c>
      <c r="Q146" s="11">
        <f>_xlfn.XLOOKUP(order[[#This Row],[order_id]],shipment[order_id],shipment[delivery_date])</f>
        <v>45517</v>
      </c>
      <c r="R146" s="3" t="str">
        <f>_xlfn.XLOOKUP(order[[#This Row],[order_id]],shipment[shipment_id],shipment[courier])</f>
        <v>Delhivery</v>
      </c>
      <c r="S146" s="3">
        <f>order[[#This Row],[selling_price]]-order[[#This Row],[cost_price]]*order[[#This Row],[quantity]]-order[[#This Row],[discount]]</f>
        <v>-14925</v>
      </c>
      <c r="T146" s="3">
        <f>order[[#This Row],[quantity]]*order[[#This Row],[selling_price]]</f>
        <v>39295</v>
      </c>
    </row>
    <row r="147" spans="1:20" x14ac:dyDescent="0.3">
      <c r="A147">
        <v>146</v>
      </c>
      <c r="B147" s="11">
        <v>45441</v>
      </c>
      <c r="C147">
        <v>147</v>
      </c>
      <c r="D147" t="str">
        <f>_xlfn.XLOOKUP(order[[#This Row],[customer_id]],customer[customer_id],customer[customer_name])</f>
        <v>Priya Reddy</v>
      </c>
      <c r="E147">
        <v>208</v>
      </c>
      <c r="F147">
        <v>1</v>
      </c>
      <c r="G147">
        <v>63938</v>
      </c>
      <c r="H147">
        <v>2762</v>
      </c>
      <c r="I147" t="s">
        <v>11</v>
      </c>
      <c r="J147" t="s">
        <v>10</v>
      </c>
      <c r="K147" t="str">
        <f>_xlfn.XLOOKUP(order[[#This Row],[customer_id]],customer[customer_id],customer[city])</f>
        <v>Delhi</v>
      </c>
      <c r="L147" t="str">
        <f>_xlfn.XLOOKUP(order[[#This Row],[customer_id]],customer[customer_id],customer[state])</f>
        <v>Delhi</v>
      </c>
      <c r="M147" t="str">
        <f>_xlfn.XLOOKUP(order[[#This Row],[product_id]],products!$A$2:$A$11,products!$B$2:$B$11)</f>
        <v>Adidas Ultraboost Shoes</v>
      </c>
      <c r="N147" s="3" t="str">
        <f>_xlfn.XLOOKUP(order[[#This Row],[product_id]],products!$A$2:$A$11,products!$C$2:$C$11)</f>
        <v>Fashion</v>
      </c>
      <c r="O147" s="3">
        <f>_xlfn.XLOOKUP(order[[#This Row],[product_id]],Table4[product_id],Table4[cost_price])</f>
        <v>9000</v>
      </c>
      <c r="P147" s="11">
        <f>_xlfn.XLOOKUP(order[[#This Row],[order_id]],shipment[order_id],shipment[ship_date])</f>
        <v>45302</v>
      </c>
      <c r="Q147" s="11">
        <f>_xlfn.XLOOKUP(order[[#This Row],[order_id]],shipment[order_id],shipment[delivery_date])</f>
        <v>45309</v>
      </c>
      <c r="R147" s="3" t="str">
        <f>_xlfn.XLOOKUP(order[[#This Row],[order_id]],shipment[shipment_id],shipment[courier])</f>
        <v>DTDC</v>
      </c>
      <c r="S147" s="3">
        <f>order[[#This Row],[selling_price]]-order[[#This Row],[cost_price]]*order[[#This Row],[quantity]]-order[[#This Row],[discount]]</f>
        <v>52176</v>
      </c>
      <c r="T147" s="3">
        <f>order[[#This Row],[quantity]]*order[[#This Row],[selling_price]]</f>
        <v>63938</v>
      </c>
    </row>
    <row r="148" spans="1:20" x14ac:dyDescent="0.3">
      <c r="A148">
        <v>147</v>
      </c>
      <c r="B148" s="11">
        <v>45482</v>
      </c>
      <c r="C148">
        <v>117</v>
      </c>
      <c r="D148" t="str">
        <f>_xlfn.XLOOKUP(order[[#This Row],[customer_id]],customer[customer_id],customer[customer_name])</f>
        <v>Rohit Verma</v>
      </c>
      <c r="E148">
        <v>202</v>
      </c>
      <c r="F148">
        <v>1</v>
      </c>
      <c r="G148">
        <v>60663</v>
      </c>
      <c r="H148">
        <v>1114</v>
      </c>
      <c r="I148" t="s">
        <v>11</v>
      </c>
      <c r="J148" t="s">
        <v>14</v>
      </c>
      <c r="K148" t="str">
        <f>_xlfn.XLOOKUP(order[[#This Row],[customer_id]],customer[customer_id],customer[city])</f>
        <v>Bangalore</v>
      </c>
      <c r="L148" t="str">
        <f>_xlfn.XLOOKUP(order[[#This Row],[customer_id]],customer[customer_id],customer[state])</f>
        <v>Karnataka</v>
      </c>
      <c r="M148" t="str">
        <f>_xlfn.XLOOKUP(order[[#This Row],[product_id]],products!$A$2:$A$11,products!$B$2:$B$11)</f>
        <v>Samsung Galaxy S21</v>
      </c>
      <c r="N148" s="3" t="str">
        <f>_xlfn.XLOOKUP(order[[#This Row],[product_id]],products!$A$2:$A$11,products!$C$2:$C$11)</f>
        <v>Electronics</v>
      </c>
      <c r="O148" s="3">
        <f>_xlfn.XLOOKUP(order[[#This Row],[product_id]],Table4[product_id],Table4[cost_price])</f>
        <v>45000</v>
      </c>
      <c r="P148" s="11">
        <f>_xlfn.XLOOKUP(order[[#This Row],[order_id]],shipment[order_id],shipment[ship_date])</f>
        <v>45364</v>
      </c>
      <c r="Q148" s="11">
        <f>_xlfn.XLOOKUP(order[[#This Row],[order_id]],shipment[order_id],shipment[delivery_date])</f>
        <v>45369</v>
      </c>
      <c r="R148" s="3" t="str">
        <f>_xlfn.XLOOKUP(order[[#This Row],[order_id]],shipment[shipment_id],shipment[courier])</f>
        <v>Delhivery</v>
      </c>
      <c r="S148" s="3">
        <f>order[[#This Row],[selling_price]]-order[[#This Row],[cost_price]]*order[[#This Row],[quantity]]-order[[#This Row],[discount]]</f>
        <v>14549</v>
      </c>
      <c r="T148" s="3">
        <f>order[[#This Row],[quantity]]*order[[#This Row],[selling_price]]</f>
        <v>60663</v>
      </c>
    </row>
    <row r="149" spans="1:20" x14ac:dyDescent="0.3">
      <c r="A149">
        <v>148</v>
      </c>
      <c r="B149" s="11">
        <v>45592</v>
      </c>
      <c r="C149">
        <v>287</v>
      </c>
      <c r="D149" t="str">
        <f>_xlfn.XLOOKUP(order[[#This Row],[customer_id]],customer[customer_id],customer[customer_name])</f>
        <v>Karan Patel</v>
      </c>
      <c r="E149">
        <v>209</v>
      </c>
      <c r="F149">
        <v>2</v>
      </c>
      <c r="G149">
        <v>35693</v>
      </c>
      <c r="H149">
        <v>928</v>
      </c>
      <c r="I149" t="s">
        <v>15</v>
      </c>
      <c r="J149" t="s">
        <v>12</v>
      </c>
      <c r="K149" t="str">
        <f>_xlfn.XLOOKUP(order[[#This Row],[customer_id]],customer[customer_id],customer[city])</f>
        <v>Chennai</v>
      </c>
      <c r="L149" t="str">
        <f>_xlfn.XLOOKUP(order[[#This Row],[customer_id]],customer[customer_id],customer[state])</f>
        <v>Tamil Nadu</v>
      </c>
      <c r="M149" t="str">
        <f>_xlfn.XLOOKUP(order[[#This Row],[product_id]],products!$A$2:$A$11,products!$B$2:$B$11)</f>
        <v>Milton Thermosteel Bottle</v>
      </c>
      <c r="N149" s="3" t="str">
        <f>_xlfn.XLOOKUP(order[[#This Row],[product_id]],products!$A$2:$A$11,products!$C$2:$C$11)</f>
        <v>Home &amp; Kitchen</v>
      </c>
      <c r="O149" s="3">
        <f>_xlfn.XLOOKUP(order[[#This Row],[product_id]],Table4[product_id],Table4[cost_price])</f>
        <v>800</v>
      </c>
      <c r="P149" s="11">
        <f>_xlfn.XLOOKUP(order[[#This Row],[order_id]],shipment[order_id],shipment[ship_date])</f>
        <v>45308</v>
      </c>
      <c r="Q149" s="11">
        <f>_xlfn.XLOOKUP(order[[#This Row],[order_id]],shipment[order_id],shipment[delivery_date])</f>
        <v>45313</v>
      </c>
      <c r="R149" s="3" t="str">
        <f>_xlfn.XLOOKUP(order[[#This Row],[order_id]],shipment[shipment_id],shipment[courier])</f>
        <v>Ekart</v>
      </c>
      <c r="S149" s="3">
        <f>order[[#This Row],[selling_price]]-order[[#This Row],[cost_price]]*order[[#This Row],[quantity]]-order[[#This Row],[discount]]</f>
        <v>33165</v>
      </c>
      <c r="T149" s="3">
        <f>order[[#This Row],[quantity]]*order[[#This Row],[selling_price]]</f>
        <v>71386</v>
      </c>
    </row>
    <row r="150" spans="1:20" x14ac:dyDescent="0.3">
      <c r="A150">
        <v>149</v>
      </c>
      <c r="B150" s="11">
        <v>45333</v>
      </c>
      <c r="C150">
        <v>212</v>
      </c>
      <c r="D150" t="str">
        <f>_xlfn.XLOOKUP(order[[#This Row],[customer_id]],customer[customer_id],customer[customer_name])</f>
        <v>Vikram Singh</v>
      </c>
      <c r="E150">
        <v>204</v>
      </c>
      <c r="F150">
        <v>3</v>
      </c>
      <c r="G150">
        <v>50368</v>
      </c>
      <c r="H150">
        <v>702</v>
      </c>
      <c r="I150" t="s">
        <v>9</v>
      </c>
      <c r="J150" t="s">
        <v>10</v>
      </c>
      <c r="K150" t="str">
        <f>_xlfn.XLOOKUP(order[[#This Row],[customer_id]],customer[customer_id],customer[city])</f>
        <v>Ahmedabad</v>
      </c>
      <c r="L150" t="str">
        <f>_xlfn.XLOOKUP(order[[#This Row],[customer_id]],customer[customer_id],customer[state])</f>
        <v>Gujarat</v>
      </c>
      <c r="M150" t="str">
        <f>_xlfn.XLOOKUP(order[[#This Row],[product_id]],products!$A$2:$A$11,products!$B$2:$B$11)</f>
        <v>Levi's Slim Fit Jeans</v>
      </c>
      <c r="N150" s="3" t="str">
        <f>_xlfn.XLOOKUP(order[[#This Row],[product_id]],products!$A$2:$A$11,products!$C$2:$C$11)</f>
        <v>Fashion</v>
      </c>
      <c r="O150" s="3">
        <f>_xlfn.XLOOKUP(order[[#This Row],[product_id]],Table4[product_id],Table4[cost_price])</f>
        <v>1800</v>
      </c>
      <c r="P150" s="11">
        <f>_xlfn.XLOOKUP(order[[#This Row],[order_id]],shipment[order_id],shipment[ship_date])</f>
        <v>45635</v>
      </c>
      <c r="Q150" s="11">
        <f>_xlfn.XLOOKUP(order[[#This Row],[order_id]],shipment[order_id],shipment[delivery_date])</f>
        <v>45643</v>
      </c>
      <c r="R150" s="3" t="str">
        <f>_xlfn.XLOOKUP(order[[#This Row],[order_id]],shipment[shipment_id],shipment[courier])</f>
        <v>BlueDart</v>
      </c>
      <c r="S150" s="3">
        <f>order[[#This Row],[selling_price]]-order[[#This Row],[cost_price]]*order[[#This Row],[quantity]]-order[[#This Row],[discount]]</f>
        <v>44266</v>
      </c>
      <c r="T150" s="3">
        <f>order[[#This Row],[quantity]]*order[[#This Row],[selling_price]]</f>
        <v>151104</v>
      </c>
    </row>
    <row r="151" spans="1:20" x14ac:dyDescent="0.3">
      <c r="A151">
        <v>547</v>
      </c>
      <c r="B151" s="11">
        <v>45436</v>
      </c>
      <c r="C151">
        <v>246</v>
      </c>
      <c r="D151" t="str">
        <f>_xlfn.XLOOKUP(order[[#This Row],[customer_id]],customer[customer_id],customer[customer_name])</f>
        <v>Priya Reddy</v>
      </c>
      <c r="E151">
        <v>201</v>
      </c>
      <c r="F151">
        <v>4</v>
      </c>
      <c r="G151">
        <v>33072</v>
      </c>
      <c r="H151">
        <v>2173</v>
      </c>
      <c r="I151" t="s">
        <v>9</v>
      </c>
      <c r="J151" t="s">
        <v>14</v>
      </c>
      <c r="K151" t="str">
        <f>_xlfn.XLOOKUP(order[[#This Row],[customer_id]],customer[customer_id],customer[city])</f>
        <v>Pune</v>
      </c>
      <c r="L151" t="str">
        <f>_xlfn.XLOOKUP(order[[#This Row],[customer_id]],customer[customer_id],customer[state])</f>
        <v>Maharashtra</v>
      </c>
      <c r="M151" t="str">
        <f>_xlfn.XLOOKUP(order[[#This Row],[product_id]],products!$A$2:$A$11,products!$B$2:$B$11)</f>
        <v>iPhone 13</v>
      </c>
      <c r="N151" s="3" t="str">
        <f>_xlfn.XLOOKUP(order[[#This Row],[product_id]],products!$A$2:$A$11,products!$C$2:$C$11)</f>
        <v>Electronics</v>
      </c>
      <c r="O151" s="3">
        <f>_xlfn.XLOOKUP(order[[#This Row],[product_id]],Table4[product_id],Table4[cost_price])</f>
        <v>52000</v>
      </c>
      <c r="P151" s="11">
        <f>_xlfn.XLOOKUP(order[[#This Row],[order_id]],shipment[order_id],shipment[ship_date])</f>
        <v>45312</v>
      </c>
      <c r="Q151" s="11">
        <f>_xlfn.XLOOKUP(order[[#This Row],[order_id]],shipment[order_id],shipment[delivery_date])</f>
        <v>45319</v>
      </c>
      <c r="R151" s="3" t="str">
        <f>_xlfn.XLOOKUP(order[[#This Row],[order_id]],shipment[shipment_id],shipment[courier])</f>
        <v>DTDC</v>
      </c>
      <c r="S151" s="3">
        <f>order[[#This Row],[selling_price]]-order[[#This Row],[cost_price]]*order[[#This Row],[quantity]]-order[[#This Row],[discount]]</f>
        <v>-177101</v>
      </c>
      <c r="T151" s="3">
        <f>order[[#This Row],[quantity]]*order[[#This Row],[selling_price]]</f>
        <v>132288</v>
      </c>
    </row>
    <row r="152" spans="1:20" x14ac:dyDescent="0.3">
      <c r="A152">
        <v>151</v>
      </c>
      <c r="B152" s="11">
        <v>45589</v>
      </c>
      <c r="C152">
        <v>155</v>
      </c>
      <c r="D152" t="str">
        <f>_xlfn.XLOOKUP(order[[#This Row],[customer_id]],customer[customer_id],customer[customer_name])</f>
        <v>Siddharth Jain</v>
      </c>
      <c r="E152">
        <v>205</v>
      </c>
      <c r="F152">
        <v>4</v>
      </c>
      <c r="G152">
        <v>32664</v>
      </c>
      <c r="H152">
        <v>4057</v>
      </c>
      <c r="I152" t="s">
        <v>9</v>
      </c>
      <c r="J152" t="s">
        <v>14</v>
      </c>
      <c r="K152" t="str">
        <f>_xlfn.XLOOKUP(order[[#This Row],[customer_id]],customer[customer_id],customer[city])</f>
        <v>Pune</v>
      </c>
      <c r="L152" t="str">
        <f>_xlfn.XLOOKUP(order[[#This Row],[customer_id]],customer[customer_id],customer[state])</f>
        <v>Maharashtra</v>
      </c>
      <c r="M152" t="str">
        <f>_xlfn.XLOOKUP(order[[#This Row],[product_id]],products!$A$2:$A$11,products!$B$2:$B$11)</f>
        <v>Prestige Pressure Cooker 5L</v>
      </c>
      <c r="N152" s="3" t="str">
        <f>_xlfn.XLOOKUP(order[[#This Row],[product_id]],products!$A$2:$A$11,products!$C$2:$C$11)</f>
        <v>Home &amp; Kitchen</v>
      </c>
      <c r="O152" s="3">
        <f>_xlfn.XLOOKUP(order[[#This Row],[product_id]],Table4[product_id],Table4[cost_price])</f>
        <v>1200</v>
      </c>
      <c r="P152" s="11">
        <f>_xlfn.XLOOKUP(order[[#This Row],[order_id]],shipment[order_id],shipment[ship_date])</f>
        <v>45606</v>
      </c>
      <c r="Q152" s="11">
        <f>_xlfn.XLOOKUP(order[[#This Row],[order_id]],shipment[order_id],shipment[delivery_date])</f>
        <v>45614</v>
      </c>
      <c r="R152" s="3" t="str">
        <f>_xlfn.XLOOKUP(order[[#This Row],[order_id]],shipment[shipment_id],shipment[courier])</f>
        <v>Ekart</v>
      </c>
      <c r="S152" s="3">
        <f>order[[#This Row],[selling_price]]-order[[#This Row],[cost_price]]*order[[#This Row],[quantity]]-order[[#This Row],[discount]]</f>
        <v>23807</v>
      </c>
      <c r="T152" s="3">
        <f>order[[#This Row],[quantity]]*order[[#This Row],[selling_price]]</f>
        <v>130656</v>
      </c>
    </row>
    <row r="153" spans="1:20" x14ac:dyDescent="0.3">
      <c r="A153">
        <v>152</v>
      </c>
      <c r="B153" s="11">
        <v>45398</v>
      </c>
      <c r="C153">
        <v>157</v>
      </c>
      <c r="D153" t="str">
        <f>_xlfn.XLOOKUP(order[[#This Row],[customer_id]],customer[customer_id],customer[customer_name])</f>
        <v>Rohit Verma</v>
      </c>
      <c r="E153">
        <v>209</v>
      </c>
      <c r="F153">
        <v>2</v>
      </c>
      <c r="G153">
        <v>16831</v>
      </c>
      <c r="H153">
        <v>4209</v>
      </c>
      <c r="I153" t="s">
        <v>9</v>
      </c>
      <c r="J153" t="s">
        <v>14</v>
      </c>
      <c r="K153" t="str">
        <f>_xlfn.XLOOKUP(order[[#This Row],[customer_id]],customer[customer_id],customer[city])</f>
        <v>Pune</v>
      </c>
      <c r="L153" t="str">
        <f>_xlfn.XLOOKUP(order[[#This Row],[customer_id]],customer[customer_id],customer[state])</f>
        <v>Maharashtra</v>
      </c>
      <c r="M153" t="str">
        <f>_xlfn.XLOOKUP(order[[#This Row],[product_id]],products!$A$2:$A$11,products!$B$2:$B$11)</f>
        <v>Milton Thermosteel Bottle</v>
      </c>
      <c r="N153" s="3" t="str">
        <f>_xlfn.XLOOKUP(order[[#This Row],[product_id]],products!$A$2:$A$11,products!$C$2:$C$11)</f>
        <v>Home &amp; Kitchen</v>
      </c>
      <c r="O153" s="3">
        <f>_xlfn.XLOOKUP(order[[#This Row],[product_id]],Table4[product_id],Table4[cost_price])</f>
        <v>800</v>
      </c>
      <c r="P153" s="11">
        <f>_xlfn.XLOOKUP(order[[#This Row],[order_id]],shipment[order_id],shipment[ship_date])</f>
        <v>45518</v>
      </c>
      <c r="Q153" s="11">
        <f>_xlfn.XLOOKUP(order[[#This Row],[order_id]],shipment[order_id],shipment[delivery_date])</f>
        <v>45521</v>
      </c>
      <c r="R153" s="3" t="str">
        <f>_xlfn.XLOOKUP(order[[#This Row],[order_id]],shipment[shipment_id],shipment[courier])</f>
        <v>Delhivery</v>
      </c>
      <c r="S153" s="3">
        <f>order[[#This Row],[selling_price]]-order[[#This Row],[cost_price]]*order[[#This Row],[quantity]]-order[[#This Row],[discount]]</f>
        <v>11022</v>
      </c>
      <c r="T153" s="3">
        <f>order[[#This Row],[quantity]]*order[[#This Row],[selling_price]]</f>
        <v>33662</v>
      </c>
    </row>
    <row r="154" spans="1:20" x14ac:dyDescent="0.3">
      <c r="A154">
        <v>153</v>
      </c>
      <c r="B154" s="11">
        <v>45608</v>
      </c>
      <c r="C154">
        <v>207</v>
      </c>
      <c r="D154" t="str">
        <f>_xlfn.XLOOKUP(order[[#This Row],[customer_id]],customer[customer_id],customer[customer_name])</f>
        <v>Neha Kapoor</v>
      </c>
      <c r="E154">
        <v>206</v>
      </c>
      <c r="F154">
        <v>1</v>
      </c>
      <c r="G154">
        <v>22680</v>
      </c>
      <c r="H154">
        <v>1802</v>
      </c>
      <c r="I154" t="s">
        <v>9</v>
      </c>
      <c r="J154" t="s">
        <v>12</v>
      </c>
      <c r="K154" t="str">
        <f>_xlfn.XLOOKUP(order[[#This Row],[customer_id]],customer[customer_id],customer[city])</f>
        <v>Mumbai</v>
      </c>
      <c r="L154" t="str">
        <f>_xlfn.XLOOKUP(order[[#This Row],[customer_id]],customer[customer_id],customer[state])</f>
        <v>Maharashtra</v>
      </c>
      <c r="M154" t="str">
        <f>_xlfn.XLOOKUP(order[[#This Row],[product_id]],products!$A$2:$A$11,products!$B$2:$B$11)</f>
        <v>Philips Air Fryer</v>
      </c>
      <c r="N154" s="3" t="str">
        <f>_xlfn.XLOOKUP(order[[#This Row],[product_id]],products!$A$2:$A$11,products!$C$2:$C$11)</f>
        <v>Home &amp; Kitchen</v>
      </c>
      <c r="O154" s="3">
        <f>_xlfn.XLOOKUP(order[[#This Row],[product_id]],Table4[product_id],Table4[cost_price])</f>
        <v>7000</v>
      </c>
      <c r="P154" s="11">
        <f>_xlfn.XLOOKUP(order[[#This Row],[order_id]],shipment[order_id],shipment[ship_date])</f>
        <v>45451</v>
      </c>
      <c r="Q154" s="11">
        <f>_xlfn.XLOOKUP(order[[#This Row],[order_id]],shipment[order_id],shipment[delivery_date])</f>
        <v>45454</v>
      </c>
      <c r="R154" s="3" t="str">
        <f>_xlfn.XLOOKUP(order[[#This Row],[order_id]],shipment[shipment_id],shipment[courier])</f>
        <v>DTDC</v>
      </c>
      <c r="S154" s="3">
        <f>order[[#This Row],[selling_price]]-order[[#This Row],[cost_price]]*order[[#This Row],[quantity]]-order[[#This Row],[discount]]</f>
        <v>13878</v>
      </c>
      <c r="T154" s="3">
        <f>order[[#This Row],[quantity]]*order[[#This Row],[selling_price]]</f>
        <v>22680</v>
      </c>
    </row>
    <row r="155" spans="1:20" x14ac:dyDescent="0.3">
      <c r="A155">
        <v>621</v>
      </c>
      <c r="B155" s="11">
        <v>45597</v>
      </c>
      <c r="C155">
        <v>254</v>
      </c>
      <c r="D155" t="str">
        <f>_xlfn.XLOOKUP(order[[#This Row],[customer_id]],customer[customer_id],customer[customer_name])</f>
        <v>Neha Kapoor</v>
      </c>
      <c r="E155">
        <v>201</v>
      </c>
      <c r="F155">
        <v>3</v>
      </c>
      <c r="G155">
        <v>19937</v>
      </c>
      <c r="H155">
        <v>2162</v>
      </c>
      <c r="I155" t="s">
        <v>15</v>
      </c>
      <c r="J155" t="s">
        <v>12</v>
      </c>
      <c r="K155" t="str">
        <f>_xlfn.XLOOKUP(order[[#This Row],[customer_id]],customer[customer_id],customer[city])</f>
        <v>Bangalore</v>
      </c>
      <c r="L155" t="str">
        <f>_xlfn.XLOOKUP(order[[#This Row],[customer_id]],customer[customer_id],customer[state])</f>
        <v>Karnataka</v>
      </c>
      <c r="M155" t="str">
        <f>_xlfn.XLOOKUP(order[[#This Row],[product_id]],products!$A$2:$A$11,products!$B$2:$B$11)</f>
        <v>iPhone 13</v>
      </c>
      <c r="N155" s="3" t="str">
        <f>_xlfn.XLOOKUP(order[[#This Row],[product_id]],products!$A$2:$A$11,products!$C$2:$C$11)</f>
        <v>Electronics</v>
      </c>
      <c r="O155" s="3">
        <f>_xlfn.XLOOKUP(order[[#This Row],[product_id]],Table4[product_id],Table4[cost_price])</f>
        <v>52000</v>
      </c>
      <c r="P155" s="11">
        <f>_xlfn.XLOOKUP(order[[#This Row],[order_id]],shipment[order_id],shipment[ship_date])</f>
        <v>45538</v>
      </c>
      <c r="Q155" s="11">
        <f>_xlfn.XLOOKUP(order[[#This Row],[order_id]],shipment[order_id],shipment[delivery_date])</f>
        <v>45546</v>
      </c>
      <c r="R155" s="3" t="str">
        <f>_xlfn.XLOOKUP(order[[#This Row],[order_id]],shipment[shipment_id],shipment[courier])</f>
        <v>Ekart</v>
      </c>
      <c r="S155" s="3">
        <f>order[[#This Row],[selling_price]]-order[[#This Row],[cost_price]]*order[[#This Row],[quantity]]-order[[#This Row],[discount]]</f>
        <v>-138225</v>
      </c>
      <c r="T155" s="3">
        <f>order[[#This Row],[quantity]]*order[[#This Row],[selling_price]]</f>
        <v>59811</v>
      </c>
    </row>
    <row r="156" spans="1:20" x14ac:dyDescent="0.3">
      <c r="A156">
        <v>155</v>
      </c>
      <c r="B156" s="11">
        <v>45632</v>
      </c>
      <c r="C156">
        <v>129</v>
      </c>
      <c r="D156" t="str">
        <f>_xlfn.XLOOKUP(order[[#This Row],[customer_id]],customer[customer_id],customer[customer_name])</f>
        <v>Rahul Mehta</v>
      </c>
      <c r="E156">
        <v>206</v>
      </c>
      <c r="F156">
        <v>1</v>
      </c>
      <c r="G156">
        <v>34490</v>
      </c>
      <c r="H156">
        <v>246</v>
      </c>
      <c r="I156" t="s">
        <v>11</v>
      </c>
      <c r="J156" t="s">
        <v>12</v>
      </c>
      <c r="K156" t="str">
        <f>_xlfn.XLOOKUP(order[[#This Row],[customer_id]],customer[customer_id],customer[city])</f>
        <v>Hyderabad</v>
      </c>
      <c r="L156" t="str">
        <f>_xlfn.XLOOKUP(order[[#This Row],[customer_id]],customer[customer_id],customer[state])</f>
        <v>Telangana</v>
      </c>
      <c r="M156" t="str">
        <f>_xlfn.XLOOKUP(order[[#This Row],[product_id]],products!$A$2:$A$11,products!$B$2:$B$11)</f>
        <v>Philips Air Fryer</v>
      </c>
      <c r="N156" s="3" t="str">
        <f>_xlfn.XLOOKUP(order[[#This Row],[product_id]],products!$A$2:$A$11,products!$C$2:$C$11)</f>
        <v>Home &amp; Kitchen</v>
      </c>
      <c r="O156" s="3">
        <f>_xlfn.XLOOKUP(order[[#This Row],[product_id]],Table4[product_id],Table4[cost_price])</f>
        <v>7000</v>
      </c>
      <c r="P156" s="11">
        <f>_xlfn.XLOOKUP(order[[#This Row],[order_id]],shipment[order_id],shipment[ship_date])</f>
        <v>45498</v>
      </c>
      <c r="Q156" s="11">
        <f>_xlfn.XLOOKUP(order[[#This Row],[order_id]],shipment[order_id],shipment[delivery_date])</f>
        <v>45508</v>
      </c>
      <c r="R156" s="3" t="str">
        <f>_xlfn.XLOOKUP(order[[#This Row],[order_id]],shipment[shipment_id],shipment[courier])</f>
        <v>DTDC</v>
      </c>
      <c r="S156" s="3">
        <f>order[[#This Row],[selling_price]]-order[[#This Row],[cost_price]]*order[[#This Row],[quantity]]-order[[#This Row],[discount]]</f>
        <v>27244</v>
      </c>
      <c r="T156" s="3">
        <f>order[[#This Row],[quantity]]*order[[#This Row],[selling_price]]</f>
        <v>34490</v>
      </c>
    </row>
    <row r="157" spans="1:20" x14ac:dyDescent="0.3">
      <c r="A157">
        <v>156</v>
      </c>
      <c r="B157" s="11">
        <v>45306</v>
      </c>
      <c r="C157">
        <v>119</v>
      </c>
      <c r="D157" t="str">
        <f>_xlfn.XLOOKUP(order[[#This Row],[customer_id]],customer[customer_id],customer[customer_name])</f>
        <v>Pooja Nair</v>
      </c>
      <c r="E157">
        <v>207</v>
      </c>
      <c r="F157">
        <v>1</v>
      </c>
      <c r="G157">
        <v>65559</v>
      </c>
      <c r="H157">
        <v>1402</v>
      </c>
      <c r="I157" t="s">
        <v>9</v>
      </c>
      <c r="J157" t="s">
        <v>10</v>
      </c>
      <c r="K157" t="str">
        <f>_xlfn.XLOOKUP(order[[#This Row],[customer_id]],customer[customer_id],customer[city])</f>
        <v>Bangalore</v>
      </c>
      <c r="L157" t="str">
        <f>_xlfn.XLOOKUP(order[[#This Row],[customer_id]],customer[customer_id],customer[state])</f>
        <v>Karnataka</v>
      </c>
      <c r="M157" t="str">
        <f>_xlfn.XLOOKUP(order[[#This Row],[product_id]],products!$A$2:$A$11,products!$B$2:$B$11)</f>
        <v>Sony WH-1000XM4 Headphones</v>
      </c>
      <c r="N157" s="3" t="str">
        <f>_xlfn.XLOOKUP(order[[#This Row],[product_id]],products!$A$2:$A$11,products!$C$2:$C$11)</f>
        <v>Electronics</v>
      </c>
      <c r="O157" s="3">
        <f>_xlfn.XLOOKUP(order[[#This Row],[product_id]],Table4[product_id],Table4[cost_price])</f>
        <v>20000</v>
      </c>
      <c r="P157" s="11">
        <f>_xlfn.XLOOKUP(order[[#This Row],[order_id]],shipment[order_id],shipment[ship_date])</f>
        <v>45425</v>
      </c>
      <c r="Q157" s="11">
        <f>_xlfn.XLOOKUP(order[[#This Row],[order_id]],shipment[order_id],shipment[delivery_date])</f>
        <v>45428</v>
      </c>
      <c r="R157" s="3" t="str">
        <f>_xlfn.XLOOKUP(order[[#This Row],[order_id]],shipment[shipment_id],shipment[courier])</f>
        <v>BlueDart</v>
      </c>
      <c r="S157" s="3">
        <f>order[[#This Row],[selling_price]]-order[[#This Row],[cost_price]]*order[[#This Row],[quantity]]-order[[#This Row],[discount]]</f>
        <v>44157</v>
      </c>
      <c r="T157" s="3">
        <f>order[[#This Row],[quantity]]*order[[#This Row],[selling_price]]</f>
        <v>65559</v>
      </c>
    </row>
    <row r="158" spans="1:20" x14ac:dyDescent="0.3">
      <c r="A158">
        <v>230</v>
      </c>
      <c r="B158" s="11">
        <v>45325</v>
      </c>
      <c r="C158">
        <v>212</v>
      </c>
      <c r="D158" t="str">
        <f>_xlfn.XLOOKUP(order[[#This Row],[customer_id]],customer[customer_id],customer[customer_name])</f>
        <v>Vikram Singh</v>
      </c>
      <c r="E158">
        <v>201</v>
      </c>
      <c r="F158">
        <v>1</v>
      </c>
      <c r="G158">
        <v>34967</v>
      </c>
      <c r="H158">
        <v>2134</v>
      </c>
      <c r="I158" t="s">
        <v>13</v>
      </c>
      <c r="J158" t="s">
        <v>12</v>
      </c>
      <c r="K158" t="str">
        <f>_xlfn.XLOOKUP(order[[#This Row],[customer_id]],customer[customer_id],customer[city])</f>
        <v>Ahmedabad</v>
      </c>
      <c r="L158" t="str">
        <f>_xlfn.XLOOKUP(order[[#This Row],[customer_id]],customer[customer_id],customer[state])</f>
        <v>Gujarat</v>
      </c>
      <c r="M158" t="str">
        <f>_xlfn.XLOOKUP(order[[#This Row],[product_id]],products!$A$2:$A$11,products!$B$2:$B$11)</f>
        <v>iPhone 13</v>
      </c>
      <c r="N158" s="3" t="str">
        <f>_xlfn.XLOOKUP(order[[#This Row],[product_id]],products!$A$2:$A$11,products!$C$2:$C$11)</f>
        <v>Electronics</v>
      </c>
      <c r="O158" s="3">
        <f>_xlfn.XLOOKUP(order[[#This Row],[product_id]],Table4[product_id],Table4[cost_price])</f>
        <v>52000</v>
      </c>
      <c r="P158" s="11">
        <f>_xlfn.XLOOKUP(order[[#This Row],[order_id]],shipment[order_id],shipment[ship_date])</f>
        <v>45493</v>
      </c>
      <c r="Q158" s="11">
        <f>_xlfn.XLOOKUP(order[[#This Row],[order_id]],shipment[order_id],shipment[delivery_date])</f>
        <v>45499</v>
      </c>
      <c r="R158" s="3" t="str">
        <f>_xlfn.XLOOKUP(order[[#This Row],[order_id]],shipment[shipment_id],shipment[courier])</f>
        <v>DTDC</v>
      </c>
      <c r="S158" s="3">
        <f>order[[#This Row],[selling_price]]-order[[#This Row],[cost_price]]*order[[#This Row],[quantity]]-order[[#This Row],[discount]]</f>
        <v>-19167</v>
      </c>
      <c r="T158" s="3">
        <f>order[[#This Row],[quantity]]*order[[#This Row],[selling_price]]</f>
        <v>34967</v>
      </c>
    </row>
    <row r="159" spans="1:20" x14ac:dyDescent="0.3">
      <c r="A159">
        <v>158</v>
      </c>
      <c r="B159" s="11">
        <v>45533</v>
      </c>
      <c r="C159">
        <v>202</v>
      </c>
      <c r="D159" t="str">
        <f>_xlfn.XLOOKUP(order[[#This Row],[customer_id]],customer[customer_id],customer[customer_name])</f>
        <v>Meera Joshi</v>
      </c>
      <c r="E159">
        <v>210</v>
      </c>
      <c r="F159">
        <v>2</v>
      </c>
      <c r="G159">
        <v>69992</v>
      </c>
      <c r="H159">
        <v>1605</v>
      </c>
      <c r="I159" t="s">
        <v>15</v>
      </c>
      <c r="J159" t="s">
        <v>10</v>
      </c>
      <c r="K159" t="str">
        <f>_xlfn.XLOOKUP(order[[#This Row],[customer_id]],customer[customer_id],customer[city])</f>
        <v>Chennai</v>
      </c>
      <c r="L159" t="str">
        <f>_xlfn.XLOOKUP(order[[#This Row],[customer_id]],customer[customer_id],customer[state])</f>
        <v>Tamil Nadu</v>
      </c>
      <c r="M159" t="str">
        <f>_xlfn.XLOOKUP(order[[#This Row],[product_id]],products!$A$2:$A$11,products!$B$2:$B$11)</f>
        <v>LG 43 Inch Smart TV</v>
      </c>
      <c r="N159" s="3" t="str">
        <f>_xlfn.XLOOKUP(order[[#This Row],[product_id]],products!$A$2:$A$11,products!$C$2:$C$11)</f>
        <v>Electronics</v>
      </c>
      <c r="O159" s="3">
        <f>_xlfn.XLOOKUP(order[[#This Row],[product_id]],Table4[product_id],Table4[cost_price])</f>
        <v>30000</v>
      </c>
      <c r="P159" s="11">
        <f>_xlfn.XLOOKUP(order[[#This Row],[order_id]],shipment[order_id],shipment[ship_date])</f>
        <v>45518</v>
      </c>
      <c r="Q159" s="11">
        <f>_xlfn.XLOOKUP(order[[#This Row],[order_id]],shipment[order_id],shipment[delivery_date])</f>
        <v>45525</v>
      </c>
      <c r="R159" s="3" t="str">
        <f>_xlfn.XLOOKUP(order[[#This Row],[order_id]],shipment[shipment_id],shipment[courier])</f>
        <v>BlueDart</v>
      </c>
      <c r="S159" s="3">
        <f>order[[#This Row],[selling_price]]-order[[#This Row],[cost_price]]*order[[#This Row],[quantity]]-order[[#This Row],[discount]]</f>
        <v>8387</v>
      </c>
      <c r="T159" s="3">
        <f>order[[#This Row],[quantity]]*order[[#This Row],[selling_price]]</f>
        <v>139984</v>
      </c>
    </row>
    <row r="160" spans="1:20" x14ac:dyDescent="0.3">
      <c r="A160">
        <v>542</v>
      </c>
      <c r="B160" s="11">
        <v>45628</v>
      </c>
      <c r="C160">
        <v>149</v>
      </c>
      <c r="D160" t="str">
        <f>_xlfn.XLOOKUP(order[[#This Row],[customer_id]],customer[customer_id],customer[customer_name])</f>
        <v>Karan Patel</v>
      </c>
      <c r="E160">
        <v>201</v>
      </c>
      <c r="F160">
        <v>1</v>
      </c>
      <c r="G160">
        <v>16664</v>
      </c>
      <c r="H160">
        <v>2119</v>
      </c>
      <c r="I160" t="s">
        <v>15</v>
      </c>
      <c r="J160" t="s">
        <v>10</v>
      </c>
      <c r="K160" t="str">
        <f>_xlfn.XLOOKUP(order[[#This Row],[customer_id]],customer[customer_id],customer[city])</f>
        <v>Delhi</v>
      </c>
      <c r="L160" t="str">
        <f>_xlfn.XLOOKUP(order[[#This Row],[customer_id]],customer[customer_id],customer[state])</f>
        <v>Delhi</v>
      </c>
      <c r="M160" t="str">
        <f>_xlfn.XLOOKUP(order[[#This Row],[product_id]],products!$A$2:$A$11,products!$B$2:$B$11)</f>
        <v>iPhone 13</v>
      </c>
      <c r="N160" s="3" t="str">
        <f>_xlfn.XLOOKUP(order[[#This Row],[product_id]],products!$A$2:$A$11,products!$C$2:$C$11)</f>
        <v>Electronics</v>
      </c>
      <c r="O160" s="3">
        <f>_xlfn.XLOOKUP(order[[#This Row],[product_id]],Table4[product_id],Table4[cost_price])</f>
        <v>52000</v>
      </c>
      <c r="P160" s="11">
        <f>_xlfn.XLOOKUP(order[[#This Row],[order_id]],shipment[order_id],shipment[ship_date])</f>
        <v>45609</v>
      </c>
      <c r="Q160" s="11">
        <f>_xlfn.XLOOKUP(order[[#This Row],[order_id]],shipment[order_id],shipment[delivery_date])</f>
        <v>45612</v>
      </c>
      <c r="R160" s="3" t="str">
        <f>_xlfn.XLOOKUP(order[[#This Row],[order_id]],shipment[shipment_id],shipment[courier])</f>
        <v>BlueDart</v>
      </c>
      <c r="S160" s="3">
        <f>order[[#This Row],[selling_price]]-order[[#This Row],[cost_price]]*order[[#This Row],[quantity]]-order[[#This Row],[discount]]</f>
        <v>-37455</v>
      </c>
      <c r="T160" s="3">
        <f>order[[#This Row],[quantity]]*order[[#This Row],[selling_price]]</f>
        <v>16664</v>
      </c>
    </row>
    <row r="161" spans="1:20" x14ac:dyDescent="0.3">
      <c r="A161">
        <v>762</v>
      </c>
      <c r="B161" s="11">
        <v>45563</v>
      </c>
      <c r="C161">
        <v>295</v>
      </c>
      <c r="D161" t="str">
        <f>_xlfn.XLOOKUP(order[[#This Row],[customer_id]],customer[customer_id],customer[customer_name])</f>
        <v>Aarav Sharma</v>
      </c>
      <c r="E161">
        <v>201</v>
      </c>
      <c r="F161">
        <v>2</v>
      </c>
      <c r="G161">
        <v>27737</v>
      </c>
      <c r="H161">
        <v>2098</v>
      </c>
      <c r="I161" t="s">
        <v>13</v>
      </c>
      <c r="J161" t="s">
        <v>12</v>
      </c>
      <c r="K161" t="str">
        <f>_xlfn.XLOOKUP(order[[#This Row],[customer_id]],customer[customer_id],customer[city])</f>
        <v>Chennai</v>
      </c>
      <c r="L161" t="str">
        <f>_xlfn.XLOOKUP(order[[#This Row],[customer_id]],customer[customer_id],customer[state])</f>
        <v>Tamil Nadu</v>
      </c>
      <c r="M161" t="str">
        <f>_xlfn.XLOOKUP(order[[#This Row],[product_id]],products!$A$2:$A$11,products!$B$2:$B$11)</f>
        <v>iPhone 13</v>
      </c>
      <c r="N161" s="3" t="str">
        <f>_xlfn.XLOOKUP(order[[#This Row],[product_id]],products!$A$2:$A$11,products!$C$2:$C$11)</f>
        <v>Electronics</v>
      </c>
      <c r="O161" s="3">
        <f>_xlfn.XLOOKUP(order[[#This Row],[product_id]],Table4[product_id],Table4[cost_price])</f>
        <v>52000</v>
      </c>
      <c r="P161" s="11">
        <f>_xlfn.XLOOKUP(order[[#This Row],[order_id]],shipment[order_id],shipment[ship_date])</f>
        <v>45393</v>
      </c>
      <c r="Q161" s="11">
        <f>_xlfn.XLOOKUP(order[[#This Row],[order_id]],shipment[order_id],shipment[delivery_date])</f>
        <v>45398</v>
      </c>
      <c r="R161" s="3" t="str">
        <f>_xlfn.XLOOKUP(order[[#This Row],[order_id]],shipment[shipment_id],shipment[courier])</f>
        <v>Delhivery</v>
      </c>
      <c r="S161" s="3">
        <f>order[[#This Row],[selling_price]]-order[[#This Row],[cost_price]]*order[[#This Row],[quantity]]-order[[#This Row],[discount]]</f>
        <v>-78361</v>
      </c>
      <c r="T161" s="3">
        <f>order[[#This Row],[quantity]]*order[[#This Row],[selling_price]]</f>
        <v>55474</v>
      </c>
    </row>
    <row r="162" spans="1:20" x14ac:dyDescent="0.3">
      <c r="A162">
        <v>166</v>
      </c>
      <c r="B162" s="11">
        <v>45305</v>
      </c>
      <c r="C162">
        <v>251</v>
      </c>
      <c r="D162" t="str">
        <f>_xlfn.XLOOKUP(order[[#This Row],[customer_id]],customer[customer_id],customer[customer_name])</f>
        <v>Manish Yadav</v>
      </c>
      <c r="E162">
        <v>201</v>
      </c>
      <c r="F162">
        <v>3</v>
      </c>
      <c r="G162">
        <v>54395</v>
      </c>
      <c r="H162">
        <v>2049</v>
      </c>
      <c r="I162" t="s">
        <v>13</v>
      </c>
      <c r="J162" t="s">
        <v>14</v>
      </c>
      <c r="K162" t="str">
        <f>_xlfn.XLOOKUP(order[[#This Row],[customer_id]],customer[customer_id],customer[city])</f>
        <v>Bangalore</v>
      </c>
      <c r="L162" t="str">
        <f>_xlfn.XLOOKUP(order[[#This Row],[customer_id]],customer[customer_id],customer[state])</f>
        <v>Karnataka</v>
      </c>
      <c r="M162" t="str">
        <f>_xlfn.XLOOKUP(order[[#This Row],[product_id]],products!$A$2:$A$11,products!$B$2:$B$11)</f>
        <v>iPhone 13</v>
      </c>
      <c r="N162" s="3" t="str">
        <f>_xlfn.XLOOKUP(order[[#This Row],[product_id]],products!$A$2:$A$11,products!$C$2:$C$11)</f>
        <v>Electronics</v>
      </c>
      <c r="O162" s="3">
        <f>_xlfn.XLOOKUP(order[[#This Row],[product_id]],Table4[product_id],Table4[cost_price])</f>
        <v>52000</v>
      </c>
      <c r="P162" s="11">
        <f>_xlfn.XLOOKUP(order[[#This Row],[order_id]],shipment[order_id],shipment[ship_date])</f>
        <v>45409</v>
      </c>
      <c r="Q162" s="11">
        <f>_xlfn.XLOOKUP(order[[#This Row],[order_id]],shipment[order_id],shipment[delivery_date])</f>
        <v>45416</v>
      </c>
      <c r="R162" s="3" t="str">
        <f>_xlfn.XLOOKUP(order[[#This Row],[order_id]],shipment[shipment_id],shipment[courier])</f>
        <v>Delhivery</v>
      </c>
      <c r="S162" s="3">
        <f>order[[#This Row],[selling_price]]-order[[#This Row],[cost_price]]*order[[#This Row],[quantity]]-order[[#This Row],[discount]]</f>
        <v>-103654</v>
      </c>
      <c r="T162" s="3">
        <f>order[[#This Row],[quantity]]*order[[#This Row],[selling_price]]</f>
        <v>163185</v>
      </c>
    </row>
    <row r="163" spans="1:20" x14ac:dyDescent="0.3">
      <c r="A163">
        <v>406</v>
      </c>
      <c r="B163" s="11">
        <v>45517</v>
      </c>
      <c r="C163">
        <v>229</v>
      </c>
      <c r="D163" t="str">
        <f>_xlfn.XLOOKUP(order[[#This Row],[customer_id]],customer[customer_id],customer[customer_name])</f>
        <v>Aarav Sharma</v>
      </c>
      <c r="E163">
        <v>201</v>
      </c>
      <c r="F163">
        <v>4</v>
      </c>
      <c r="G163">
        <v>60017</v>
      </c>
      <c r="H163">
        <v>2032</v>
      </c>
      <c r="I163" t="s">
        <v>11</v>
      </c>
      <c r="J163" t="s">
        <v>14</v>
      </c>
      <c r="K163" t="str">
        <f>_xlfn.XLOOKUP(order[[#This Row],[customer_id]],customer[customer_id],customer[city])</f>
        <v>Hyderabad</v>
      </c>
      <c r="L163" t="str">
        <f>_xlfn.XLOOKUP(order[[#This Row],[customer_id]],customer[customer_id],customer[state])</f>
        <v>Telangana</v>
      </c>
      <c r="M163" t="str">
        <f>_xlfn.XLOOKUP(order[[#This Row],[product_id]],products!$A$2:$A$11,products!$B$2:$B$11)</f>
        <v>iPhone 13</v>
      </c>
      <c r="N163" s="3" t="str">
        <f>_xlfn.XLOOKUP(order[[#This Row],[product_id]],products!$A$2:$A$11,products!$C$2:$C$11)</f>
        <v>Electronics</v>
      </c>
      <c r="O163" s="3">
        <f>_xlfn.XLOOKUP(order[[#This Row],[product_id]],Table4[product_id],Table4[cost_price])</f>
        <v>52000</v>
      </c>
      <c r="P163" s="11">
        <f>_xlfn.XLOOKUP(order[[#This Row],[order_id]],shipment[order_id],shipment[ship_date])</f>
        <v>45580</v>
      </c>
      <c r="Q163" s="11">
        <f>_xlfn.XLOOKUP(order[[#This Row],[order_id]],shipment[order_id],shipment[delivery_date])</f>
        <v>45584</v>
      </c>
      <c r="R163" s="3" t="str">
        <f>_xlfn.XLOOKUP(order[[#This Row],[order_id]],shipment[shipment_id],shipment[courier])</f>
        <v>Delhivery</v>
      </c>
      <c r="S163" s="3">
        <f>order[[#This Row],[selling_price]]-order[[#This Row],[cost_price]]*order[[#This Row],[quantity]]-order[[#This Row],[discount]]</f>
        <v>-150015</v>
      </c>
      <c r="T163" s="3">
        <f>order[[#This Row],[quantity]]*order[[#This Row],[selling_price]]</f>
        <v>240068</v>
      </c>
    </row>
    <row r="164" spans="1:20" x14ac:dyDescent="0.3">
      <c r="A164">
        <v>145</v>
      </c>
      <c r="B164" s="11">
        <v>45518</v>
      </c>
      <c r="C164">
        <v>200</v>
      </c>
      <c r="D164" t="str">
        <f>_xlfn.XLOOKUP(order[[#This Row],[customer_id]],customer[customer_id],customer[customer_name])</f>
        <v>Sneha Iyer</v>
      </c>
      <c r="E164">
        <v>201</v>
      </c>
      <c r="F164">
        <v>4</v>
      </c>
      <c r="G164">
        <v>62140</v>
      </c>
      <c r="H164">
        <v>2019</v>
      </c>
      <c r="I164" t="s">
        <v>15</v>
      </c>
      <c r="J164" t="s">
        <v>10</v>
      </c>
      <c r="K164" t="str">
        <f>_xlfn.XLOOKUP(order[[#This Row],[customer_id]],customer[customer_id],customer[city])</f>
        <v>Hyderabad</v>
      </c>
      <c r="L164" t="str">
        <f>_xlfn.XLOOKUP(order[[#This Row],[customer_id]],customer[customer_id],customer[state])</f>
        <v>Telangana</v>
      </c>
      <c r="M164" t="str">
        <f>_xlfn.XLOOKUP(order[[#This Row],[product_id]],products!$A$2:$A$11,products!$B$2:$B$11)</f>
        <v>iPhone 13</v>
      </c>
      <c r="N164" s="3" t="str">
        <f>_xlfn.XLOOKUP(order[[#This Row],[product_id]],products!$A$2:$A$11,products!$C$2:$C$11)</f>
        <v>Electronics</v>
      </c>
      <c r="O164" s="3">
        <f>_xlfn.XLOOKUP(order[[#This Row],[product_id]],Table4[product_id],Table4[cost_price])</f>
        <v>52000</v>
      </c>
      <c r="P164" s="11">
        <f>_xlfn.XLOOKUP(order[[#This Row],[order_id]],shipment[order_id],shipment[ship_date])</f>
        <v>45573</v>
      </c>
      <c r="Q164" s="11">
        <f>_xlfn.XLOOKUP(order[[#This Row],[order_id]],shipment[order_id],shipment[delivery_date])</f>
        <v>45575</v>
      </c>
      <c r="R164" s="3" t="str">
        <f>_xlfn.XLOOKUP(order[[#This Row],[order_id]],shipment[shipment_id],shipment[courier])</f>
        <v>Delhivery</v>
      </c>
      <c r="S164" s="3">
        <f>order[[#This Row],[selling_price]]-order[[#This Row],[cost_price]]*order[[#This Row],[quantity]]-order[[#This Row],[discount]]</f>
        <v>-147879</v>
      </c>
      <c r="T164" s="3">
        <f>order[[#This Row],[quantity]]*order[[#This Row],[selling_price]]</f>
        <v>248560</v>
      </c>
    </row>
    <row r="165" spans="1:20" x14ac:dyDescent="0.3">
      <c r="A165">
        <v>164</v>
      </c>
      <c r="B165" s="11">
        <v>45327</v>
      </c>
      <c r="C165">
        <v>164</v>
      </c>
      <c r="D165" t="str">
        <f>_xlfn.XLOOKUP(order[[#This Row],[customer_id]],customer[customer_id],customer[customer_name])</f>
        <v>Pooja Nair</v>
      </c>
      <c r="E165">
        <v>206</v>
      </c>
      <c r="F165">
        <v>1</v>
      </c>
      <c r="G165">
        <v>28851</v>
      </c>
      <c r="H165">
        <v>3143</v>
      </c>
      <c r="I165" t="s">
        <v>9</v>
      </c>
      <c r="J165" t="s">
        <v>14</v>
      </c>
      <c r="K165" t="str">
        <f>_xlfn.XLOOKUP(order[[#This Row],[customer_id]],customer[customer_id],customer[city])</f>
        <v>Ahmedabad</v>
      </c>
      <c r="L165" t="str">
        <f>_xlfn.XLOOKUP(order[[#This Row],[customer_id]],customer[customer_id],customer[state])</f>
        <v>Gujarat</v>
      </c>
      <c r="M165" t="str">
        <f>_xlfn.XLOOKUP(order[[#This Row],[product_id]],products!$A$2:$A$11,products!$B$2:$B$11)</f>
        <v>Philips Air Fryer</v>
      </c>
      <c r="N165" s="3" t="str">
        <f>_xlfn.XLOOKUP(order[[#This Row],[product_id]],products!$A$2:$A$11,products!$C$2:$C$11)</f>
        <v>Home &amp; Kitchen</v>
      </c>
      <c r="O165" s="3">
        <f>_xlfn.XLOOKUP(order[[#This Row],[product_id]],Table4[product_id],Table4[cost_price])</f>
        <v>7000</v>
      </c>
      <c r="P165" s="11">
        <f>_xlfn.XLOOKUP(order[[#This Row],[order_id]],shipment[order_id],shipment[ship_date])</f>
        <v>45309</v>
      </c>
      <c r="Q165" s="11">
        <f>_xlfn.XLOOKUP(order[[#This Row],[order_id]],shipment[order_id],shipment[delivery_date])</f>
        <v>45317</v>
      </c>
      <c r="R165" s="3" t="str">
        <f>_xlfn.XLOOKUP(order[[#This Row],[order_id]],shipment[shipment_id],shipment[courier])</f>
        <v>Ekart</v>
      </c>
      <c r="S165" s="3">
        <f>order[[#This Row],[selling_price]]-order[[#This Row],[cost_price]]*order[[#This Row],[quantity]]-order[[#This Row],[discount]]</f>
        <v>18708</v>
      </c>
      <c r="T165" s="3">
        <f>order[[#This Row],[quantity]]*order[[#This Row],[selling_price]]</f>
        <v>28851</v>
      </c>
    </row>
    <row r="166" spans="1:20" x14ac:dyDescent="0.3">
      <c r="A166">
        <v>165</v>
      </c>
      <c r="B166" s="11">
        <v>45582</v>
      </c>
      <c r="C166">
        <v>164</v>
      </c>
      <c r="D166" t="str">
        <f>_xlfn.XLOOKUP(order[[#This Row],[customer_id]],customer[customer_id],customer[customer_name])</f>
        <v>Pooja Nair</v>
      </c>
      <c r="E166">
        <v>206</v>
      </c>
      <c r="F166">
        <v>1</v>
      </c>
      <c r="G166">
        <v>19776</v>
      </c>
      <c r="H166">
        <v>3221</v>
      </c>
      <c r="I166" t="s">
        <v>11</v>
      </c>
      <c r="J166" t="s">
        <v>14</v>
      </c>
      <c r="K166" t="str">
        <f>_xlfn.XLOOKUP(order[[#This Row],[customer_id]],customer[customer_id],customer[city])</f>
        <v>Ahmedabad</v>
      </c>
      <c r="L166" t="str">
        <f>_xlfn.XLOOKUP(order[[#This Row],[customer_id]],customer[customer_id],customer[state])</f>
        <v>Gujarat</v>
      </c>
      <c r="M166" t="str">
        <f>_xlfn.XLOOKUP(order[[#This Row],[product_id]],products!$A$2:$A$11,products!$B$2:$B$11)</f>
        <v>Philips Air Fryer</v>
      </c>
      <c r="N166" s="3" t="str">
        <f>_xlfn.XLOOKUP(order[[#This Row],[product_id]],products!$A$2:$A$11,products!$C$2:$C$11)</f>
        <v>Home &amp; Kitchen</v>
      </c>
      <c r="O166" s="3">
        <f>_xlfn.XLOOKUP(order[[#This Row],[product_id]],Table4[product_id],Table4[cost_price])</f>
        <v>7000</v>
      </c>
      <c r="P166" s="11">
        <f>_xlfn.XLOOKUP(order[[#This Row],[order_id]],shipment[order_id],shipment[ship_date])</f>
        <v>45656</v>
      </c>
      <c r="Q166" s="11">
        <f>_xlfn.XLOOKUP(order[[#This Row],[order_id]],shipment[order_id],shipment[delivery_date])</f>
        <v>45658</v>
      </c>
      <c r="R166" s="3" t="str">
        <f>_xlfn.XLOOKUP(order[[#This Row],[order_id]],shipment[shipment_id],shipment[courier])</f>
        <v>Delhivery</v>
      </c>
      <c r="S166" s="3">
        <f>order[[#This Row],[selling_price]]-order[[#This Row],[cost_price]]*order[[#This Row],[quantity]]-order[[#This Row],[discount]]</f>
        <v>9555</v>
      </c>
      <c r="T166" s="3">
        <f>order[[#This Row],[quantity]]*order[[#This Row],[selling_price]]</f>
        <v>19776</v>
      </c>
    </row>
    <row r="167" spans="1:20" x14ac:dyDescent="0.3">
      <c r="A167">
        <v>656</v>
      </c>
      <c r="B167" s="11">
        <v>45420</v>
      </c>
      <c r="C167">
        <v>139</v>
      </c>
      <c r="D167" t="str">
        <f>_xlfn.XLOOKUP(order[[#This Row],[customer_id]],customer[customer_id],customer[customer_name])</f>
        <v>Neha Kapoor</v>
      </c>
      <c r="E167">
        <v>201</v>
      </c>
      <c r="F167">
        <v>1</v>
      </c>
      <c r="G167">
        <v>35372</v>
      </c>
      <c r="H167">
        <v>2005</v>
      </c>
      <c r="I167" t="s">
        <v>13</v>
      </c>
      <c r="J167" t="s">
        <v>14</v>
      </c>
      <c r="K167" t="str">
        <f>_xlfn.XLOOKUP(order[[#This Row],[customer_id]],customer[customer_id],customer[city])</f>
        <v>Chennai</v>
      </c>
      <c r="L167" t="str">
        <f>_xlfn.XLOOKUP(order[[#This Row],[customer_id]],customer[customer_id],customer[state])</f>
        <v>Tamil Nadu</v>
      </c>
      <c r="M167" t="str">
        <f>_xlfn.XLOOKUP(order[[#This Row],[product_id]],products!$A$2:$A$11,products!$B$2:$B$11)</f>
        <v>iPhone 13</v>
      </c>
      <c r="N167" s="3" t="str">
        <f>_xlfn.XLOOKUP(order[[#This Row],[product_id]],products!$A$2:$A$11,products!$C$2:$C$11)</f>
        <v>Electronics</v>
      </c>
      <c r="O167" s="3">
        <f>_xlfn.XLOOKUP(order[[#This Row],[product_id]],Table4[product_id],Table4[cost_price])</f>
        <v>52000</v>
      </c>
      <c r="P167" s="11">
        <f>_xlfn.XLOOKUP(order[[#This Row],[order_id]],shipment[order_id],shipment[ship_date])</f>
        <v>45543</v>
      </c>
      <c r="Q167" s="11">
        <f>_xlfn.XLOOKUP(order[[#This Row],[order_id]],shipment[order_id],shipment[delivery_date])</f>
        <v>45551</v>
      </c>
      <c r="R167" s="3" t="str">
        <f>_xlfn.XLOOKUP(order[[#This Row],[order_id]],shipment[shipment_id],shipment[courier])</f>
        <v>Delhivery</v>
      </c>
      <c r="S167" s="3">
        <f>order[[#This Row],[selling_price]]-order[[#This Row],[cost_price]]*order[[#This Row],[quantity]]-order[[#This Row],[discount]]</f>
        <v>-18633</v>
      </c>
      <c r="T167" s="3">
        <f>order[[#This Row],[quantity]]*order[[#This Row],[selling_price]]</f>
        <v>35372</v>
      </c>
    </row>
    <row r="168" spans="1:20" x14ac:dyDescent="0.3">
      <c r="A168">
        <v>167</v>
      </c>
      <c r="B168" s="11">
        <v>45516</v>
      </c>
      <c r="C168">
        <v>175</v>
      </c>
      <c r="D168" t="str">
        <f>_xlfn.XLOOKUP(order[[#This Row],[customer_id]],customer[customer_id],customer[customer_name])</f>
        <v>Aarav Sharma</v>
      </c>
      <c r="E168">
        <v>206</v>
      </c>
      <c r="F168">
        <v>2</v>
      </c>
      <c r="G168">
        <v>30290</v>
      </c>
      <c r="H168">
        <v>359</v>
      </c>
      <c r="I168" t="s">
        <v>9</v>
      </c>
      <c r="J168" t="s">
        <v>12</v>
      </c>
      <c r="K168" t="str">
        <f>_xlfn.XLOOKUP(order[[#This Row],[customer_id]],customer[customer_id],customer[city])</f>
        <v>Ahmedabad</v>
      </c>
      <c r="L168" t="str">
        <f>_xlfn.XLOOKUP(order[[#This Row],[customer_id]],customer[customer_id],customer[state])</f>
        <v>Gujarat</v>
      </c>
      <c r="M168" t="str">
        <f>_xlfn.XLOOKUP(order[[#This Row],[product_id]],products!$A$2:$A$11,products!$B$2:$B$11)</f>
        <v>Philips Air Fryer</v>
      </c>
      <c r="N168" s="3" t="str">
        <f>_xlfn.XLOOKUP(order[[#This Row],[product_id]],products!$A$2:$A$11,products!$C$2:$C$11)</f>
        <v>Home &amp; Kitchen</v>
      </c>
      <c r="O168" s="3">
        <f>_xlfn.XLOOKUP(order[[#This Row],[product_id]],Table4[product_id],Table4[cost_price])</f>
        <v>7000</v>
      </c>
      <c r="P168" s="11">
        <f>_xlfn.XLOOKUP(order[[#This Row],[order_id]],shipment[order_id],shipment[ship_date])</f>
        <v>45624</v>
      </c>
      <c r="Q168" s="11">
        <f>_xlfn.XLOOKUP(order[[#This Row],[order_id]],shipment[order_id],shipment[delivery_date])</f>
        <v>45630</v>
      </c>
      <c r="R168" s="3" t="str">
        <f>_xlfn.XLOOKUP(order[[#This Row],[order_id]],shipment[shipment_id],shipment[courier])</f>
        <v>Ekart</v>
      </c>
      <c r="S168" s="3">
        <f>order[[#This Row],[selling_price]]-order[[#This Row],[cost_price]]*order[[#This Row],[quantity]]-order[[#This Row],[discount]]</f>
        <v>15931</v>
      </c>
      <c r="T168" s="3">
        <f>order[[#This Row],[quantity]]*order[[#This Row],[selling_price]]</f>
        <v>60580</v>
      </c>
    </row>
    <row r="169" spans="1:20" x14ac:dyDescent="0.3">
      <c r="A169">
        <v>168</v>
      </c>
      <c r="B169" s="11">
        <v>45506</v>
      </c>
      <c r="C169">
        <v>195</v>
      </c>
      <c r="D169" t="str">
        <f>_xlfn.XLOOKUP(order[[#This Row],[customer_id]],customer[customer_id],customer[customer_name])</f>
        <v>Rahul Mehta</v>
      </c>
      <c r="E169">
        <v>202</v>
      </c>
      <c r="F169">
        <v>1</v>
      </c>
      <c r="G169">
        <v>66562</v>
      </c>
      <c r="H169">
        <v>1675</v>
      </c>
      <c r="I169" t="s">
        <v>13</v>
      </c>
      <c r="J169" t="s">
        <v>14</v>
      </c>
      <c r="K169" t="str">
        <f>_xlfn.XLOOKUP(order[[#This Row],[customer_id]],customer[customer_id],customer[city])</f>
        <v>Bangalore</v>
      </c>
      <c r="L169" t="str">
        <f>_xlfn.XLOOKUP(order[[#This Row],[customer_id]],customer[customer_id],customer[state])</f>
        <v>Karnataka</v>
      </c>
      <c r="M169" t="str">
        <f>_xlfn.XLOOKUP(order[[#This Row],[product_id]],products!$A$2:$A$11,products!$B$2:$B$11)</f>
        <v>Samsung Galaxy S21</v>
      </c>
      <c r="N169" s="3" t="str">
        <f>_xlfn.XLOOKUP(order[[#This Row],[product_id]],products!$A$2:$A$11,products!$C$2:$C$11)</f>
        <v>Electronics</v>
      </c>
      <c r="O169" s="3">
        <f>_xlfn.XLOOKUP(order[[#This Row],[product_id]],Table4[product_id],Table4[cost_price])</f>
        <v>45000</v>
      </c>
      <c r="P169" s="11">
        <f>_xlfn.XLOOKUP(order[[#This Row],[order_id]],shipment[order_id],shipment[ship_date])</f>
        <v>45587</v>
      </c>
      <c r="Q169" s="11">
        <f>_xlfn.XLOOKUP(order[[#This Row],[order_id]],shipment[order_id],shipment[delivery_date])</f>
        <v>45588</v>
      </c>
      <c r="R169" s="3" t="str">
        <f>_xlfn.XLOOKUP(order[[#This Row],[order_id]],shipment[shipment_id],shipment[courier])</f>
        <v>Delhivery</v>
      </c>
      <c r="S169" s="3">
        <f>order[[#This Row],[selling_price]]-order[[#This Row],[cost_price]]*order[[#This Row],[quantity]]-order[[#This Row],[discount]]</f>
        <v>19887</v>
      </c>
      <c r="T169" s="3">
        <f>order[[#This Row],[quantity]]*order[[#This Row],[selling_price]]</f>
        <v>66562</v>
      </c>
    </row>
    <row r="170" spans="1:20" x14ac:dyDescent="0.3">
      <c r="A170">
        <v>169</v>
      </c>
      <c r="B170" s="11">
        <v>45623</v>
      </c>
      <c r="C170">
        <v>181</v>
      </c>
      <c r="D170" t="str">
        <f>_xlfn.XLOOKUP(order[[#This Row],[customer_id]],customer[customer_id],customer[customer_name])</f>
        <v>Manish Yadav</v>
      </c>
      <c r="E170">
        <v>203</v>
      </c>
      <c r="F170">
        <v>1</v>
      </c>
      <c r="G170">
        <v>52067</v>
      </c>
      <c r="H170">
        <v>4735</v>
      </c>
      <c r="I170" t="s">
        <v>15</v>
      </c>
      <c r="J170" t="s">
        <v>14</v>
      </c>
      <c r="K170" t="str">
        <f>_xlfn.XLOOKUP(order[[#This Row],[customer_id]],customer[customer_id],customer[city])</f>
        <v>Delhi</v>
      </c>
      <c r="L170" t="str">
        <f>_xlfn.XLOOKUP(order[[#This Row],[customer_id]],customer[customer_id],customer[state])</f>
        <v>Delhi</v>
      </c>
      <c r="M170" t="str">
        <f>_xlfn.XLOOKUP(order[[#This Row],[product_id]],products!$A$2:$A$11,products!$B$2:$B$11)</f>
        <v>Nike Air Max Shoes</v>
      </c>
      <c r="N170" s="3" t="str">
        <f>_xlfn.XLOOKUP(order[[#This Row],[product_id]],products!$A$2:$A$11,products!$C$2:$C$11)</f>
        <v>Fashion</v>
      </c>
      <c r="O170" s="3">
        <f>_xlfn.XLOOKUP(order[[#This Row],[product_id]],Table4[product_id],Table4[cost_price])</f>
        <v>4000</v>
      </c>
      <c r="P170" s="11">
        <f>_xlfn.XLOOKUP(order[[#This Row],[order_id]],shipment[order_id],shipment[ship_date])</f>
        <v>45480</v>
      </c>
      <c r="Q170" s="11">
        <f>_xlfn.XLOOKUP(order[[#This Row],[order_id]],shipment[order_id],shipment[delivery_date])</f>
        <v>45489</v>
      </c>
      <c r="R170" s="3" t="str">
        <f>_xlfn.XLOOKUP(order[[#This Row],[order_id]],shipment[shipment_id],shipment[courier])</f>
        <v>DTDC</v>
      </c>
      <c r="S170" s="3">
        <f>order[[#This Row],[selling_price]]-order[[#This Row],[cost_price]]*order[[#This Row],[quantity]]-order[[#This Row],[discount]]</f>
        <v>43332</v>
      </c>
      <c r="T170" s="3">
        <f>order[[#This Row],[quantity]]*order[[#This Row],[selling_price]]</f>
        <v>52067</v>
      </c>
    </row>
    <row r="171" spans="1:20" x14ac:dyDescent="0.3">
      <c r="A171">
        <v>63</v>
      </c>
      <c r="B171" s="11">
        <v>45325</v>
      </c>
      <c r="C171">
        <v>290</v>
      </c>
      <c r="D171" t="str">
        <f>_xlfn.XLOOKUP(order[[#This Row],[customer_id]],customer[customer_id],customer[customer_name])</f>
        <v>Karan Patel</v>
      </c>
      <c r="E171">
        <v>201</v>
      </c>
      <c r="F171">
        <v>2</v>
      </c>
      <c r="G171">
        <v>61173</v>
      </c>
      <c r="H171">
        <v>1916</v>
      </c>
      <c r="I171" t="s">
        <v>9</v>
      </c>
      <c r="J171" t="s">
        <v>12</v>
      </c>
      <c r="K171" t="str">
        <f>_xlfn.XLOOKUP(order[[#This Row],[customer_id]],customer[customer_id],customer[city])</f>
        <v>Pune</v>
      </c>
      <c r="L171" t="str">
        <f>_xlfn.XLOOKUP(order[[#This Row],[customer_id]],customer[customer_id],customer[state])</f>
        <v>Maharashtra</v>
      </c>
      <c r="M171" t="str">
        <f>_xlfn.XLOOKUP(order[[#This Row],[product_id]],products!$A$2:$A$11,products!$B$2:$B$11)</f>
        <v>iPhone 13</v>
      </c>
      <c r="N171" s="3" t="str">
        <f>_xlfn.XLOOKUP(order[[#This Row],[product_id]],products!$A$2:$A$11,products!$C$2:$C$11)</f>
        <v>Electronics</v>
      </c>
      <c r="O171" s="3">
        <f>_xlfn.XLOOKUP(order[[#This Row],[product_id]],Table4[product_id],Table4[cost_price])</f>
        <v>52000</v>
      </c>
      <c r="P171" s="11">
        <f>_xlfn.XLOOKUP(order[[#This Row],[order_id]],shipment[order_id],shipment[ship_date])</f>
        <v>45603</v>
      </c>
      <c r="Q171" s="11">
        <f>_xlfn.XLOOKUP(order[[#This Row],[order_id]],shipment[order_id],shipment[delivery_date])</f>
        <v>45608</v>
      </c>
      <c r="R171" s="3" t="str">
        <f>_xlfn.XLOOKUP(order[[#This Row],[order_id]],shipment[shipment_id],shipment[courier])</f>
        <v>DTDC</v>
      </c>
      <c r="S171" s="3">
        <f>order[[#This Row],[selling_price]]-order[[#This Row],[cost_price]]*order[[#This Row],[quantity]]-order[[#This Row],[discount]]</f>
        <v>-44743</v>
      </c>
      <c r="T171" s="3">
        <f>order[[#This Row],[quantity]]*order[[#This Row],[selling_price]]</f>
        <v>122346</v>
      </c>
    </row>
    <row r="172" spans="1:20" x14ac:dyDescent="0.3">
      <c r="A172">
        <v>171</v>
      </c>
      <c r="B172" s="11">
        <v>45443</v>
      </c>
      <c r="C172">
        <v>280</v>
      </c>
      <c r="D172" t="str">
        <f>_xlfn.XLOOKUP(order[[#This Row],[customer_id]],customer[customer_id],customer[customer_name])</f>
        <v>Aarav Sharma</v>
      </c>
      <c r="E172">
        <v>206</v>
      </c>
      <c r="F172">
        <v>3</v>
      </c>
      <c r="G172">
        <v>48017</v>
      </c>
      <c r="H172">
        <v>3752</v>
      </c>
      <c r="I172" t="s">
        <v>11</v>
      </c>
      <c r="J172" t="s">
        <v>14</v>
      </c>
      <c r="K172" t="str">
        <f>_xlfn.XLOOKUP(order[[#This Row],[customer_id]],customer[customer_id],customer[city])</f>
        <v>Hyderabad</v>
      </c>
      <c r="L172" t="str">
        <f>_xlfn.XLOOKUP(order[[#This Row],[customer_id]],customer[customer_id],customer[state])</f>
        <v>Telangana</v>
      </c>
      <c r="M172" t="str">
        <f>_xlfn.XLOOKUP(order[[#This Row],[product_id]],products!$A$2:$A$11,products!$B$2:$B$11)</f>
        <v>Philips Air Fryer</v>
      </c>
      <c r="N172" s="3" t="str">
        <f>_xlfn.XLOOKUP(order[[#This Row],[product_id]],products!$A$2:$A$11,products!$C$2:$C$11)</f>
        <v>Home &amp; Kitchen</v>
      </c>
      <c r="O172" s="3">
        <f>_xlfn.XLOOKUP(order[[#This Row],[product_id]],Table4[product_id],Table4[cost_price])</f>
        <v>7000</v>
      </c>
      <c r="P172" s="11">
        <f>_xlfn.XLOOKUP(order[[#This Row],[order_id]],shipment[order_id],shipment[ship_date])</f>
        <v>45580</v>
      </c>
      <c r="Q172" s="11">
        <f>_xlfn.XLOOKUP(order[[#This Row],[order_id]],shipment[order_id],shipment[delivery_date])</f>
        <v>45588</v>
      </c>
      <c r="R172" s="3" t="str">
        <f>_xlfn.XLOOKUP(order[[#This Row],[order_id]],shipment[shipment_id],shipment[courier])</f>
        <v>DTDC</v>
      </c>
      <c r="S172" s="3">
        <f>order[[#This Row],[selling_price]]-order[[#This Row],[cost_price]]*order[[#This Row],[quantity]]-order[[#This Row],[discount]]</f>
        <v>23265</v>
      </c>
      <c r="T172" s="3">
        <f>order[[#This Row],[quantity]]*order[[#This Row],[selling_price]]</f>
        <v>144051</v>
      </c>
    </row>
    <row r="173" spans="1:20" x14ac:dyDescent="0.3">
      <c r="A173">
        <v>172</v>
      </c>
      <c r="B173" s="11">
        <v>45654</v>
      </c>
      <c r="C173">
        <v>233</v>
      </c>
      <c r="D173" t="str">
        <f>_xlfn.XLOOKUP(order[[#This Row],[customer_id]],customer[customer_id],customer[customer_name])</f>
        <v>Arjun Nair</v>
      </c>
      <c r="E173">
        <v>206</v>
      </c>
      <c r="F173">
        <v>1</v>
      </c>
      <c r="G173">
        <v>46634</v>
      </c>
      <c r="H173">
        <v>1855</v>
      </c>
      <c r="I173" t="s">
        <v>11</v>
      </c>
      <c r="J173" t="s">
        <v>12</v>
      </c>
      <c r="K173" t="str">
        <f>_xlfn.XLOOKUP(order[[#This Row],[customer_id]],customer[customer_id],customer[city])</f>
        <v>Hyderabad</v>
      </c>
      <c r="L173" t="str">
        <f>_xlfn.XLOOKUP(order[[#This Row],[customer_id]],customer[customer_id],customer[state])</f>
        <v>Telangana</v>
      </c>
      <c r="M173" t="str">
        <f>_xlfn.XLOOKUP(order[[#This Row],[product_id]],products!$A$2:$A$11,products!$B$2:$B$11)</f>
        <v>Philips Air Fryer</v>
      </c>
      <c r="N173" s="3" t="str">
        <f>_xlfn.XLOOKUP(order[[#This Row],[product_id]],products!$A$2:$A$11,products!$C$2:$C$11)</f>
        <v>Home &amp; Kitchen</v>
      </c>
      <c r="O173" s="3">
        <f>_xlfn.XLOOKUP(order[[#This Row],[product_id]],Table4[product_id],Table4[cost_price])</f>
        <v>7000</v>
      </c>
      <c r="P173" s="11">
        <f>_xlfn.XLOOKUP(order[[#This Row],[order_id]],shipment[order_id],shipment[ship_date])</f>
        <v>45345</v>
      </c>
      <c r="Q173" s="11">
        <f>_xlfn.XLOOKUP(order[[#This Row],[order_id]],shipment[order_id],shipment[delivery_date])</f>
        <v>45353</v>
      </c>
      <c r="R173" s="3" t="str">
        <f>_xlfn.XLOOKUP(order[[#This Row],[order_id]],shipment[shipment_id],shipment[courier])</f>
        <v>DTDC</v>
      </c>
      <c r="S173" s="3">
        <f>order[[#This Row],[selling_price]]-order[[#This Row],[cost_price]]*order[[#This Row],[quantity]]-order[[#This Row],[discount]]</f>
        <v>37779</v>
      </c>
      <c r="T173" s="3">
        <f>order[[#This Row],[quantity]]*order[[#This Row],[selling_price]]</f>
        <v>46634</v>
      </c>
    </row>
    <row r="174" spans="1:20" x14ac:dyDescent="0.3">
      <c r="A174">
        <v>369</v>
      </c>
      <c r="B174" s="11">
        <v>45629</v>
      </c>
      <c r="C174">
        <v>179</v>
      </c>
      <c r="D174" t="str">
        <f>_xlfn.XLOOKUP(order[[#This Row],[customer_id]],customer[customer_id],customer[customer_name])</f>
        <v>Ananya Gupta</v>
      </c>
      <c r="E174">
        <v>201</v>
      </c>
      <c r="F174">
        <v>2</v>
      </c>
      <c r="G174">
        <v>22549</v>
      </c>
      <c r="H174">
        <v>1901</v>
      </c>
      <c r="I174" t="s">
        <v>9</v>
      </c>
      <c r="J174" t="s">
        <v>12</v>
      </c>
      <c r="K174" t="str">
        <f>_xlfn.XLOOKUP(order[[#This Row],[customer_id]],customer[customer_id],customer[city])</f>
        <v>Hyderabad</v>
      </c>
      <c r="L174" t="str">
        <f>_xlfn.XLOOKUP(order[[#This Row],[customer_id]],customer[customer_id],customer[state])</f>
        <v>Telangana</v>
      </c>
      <c r="M174" t="str">
        <f>_xlfn.XLOOKUP(order[[#This Row],[product_id]],products!$A$2:$A$11,products!$B$2:$B$11)</f>
        <v>iPhone 13</v>
      </c>
      <c r="N174" s="3" t="str">
        <f>_xlfn.XLOOKUP(order[[#This Row],[product_id]],products!$A$2:$A$11,products!$C$2:$C$11)</f>
        <v>Electronics</v>
      </c>
      <c r="O174" s="3">
        <f>_xlfn.XLOOKUP(order[[#This Row],[product_id]],Table4[product_id],Table4[cost_price])</f>
        <v>52000</v>
      </c>
      <c r="P174" s="11">
        <f>_xlfn.XLOOKUP(order[[#This Row],[order_id]],shipment[order_id],shipment[ship_date])</f>
        <v>45549</v>
      </c>
      <c r="Q174" s="11">
        <f>_xlfn.XLOOKUP(order[[#This Row],[order_id]],shipment[order_id],shipment[delivery_date])</f>
        <v>45554</v>
      </c>
      <c r="R174" s="3" t="str">
        <f>_xlfn.XLOOKUP(order[[#This Row],[order_id]],shipment[shipment_id],shipment[courier])</f>
        <v>DTDC</v>
      </c>
      <c r="S174" s="3">
        <f>order[[#This Row],[selling_price]]-order[[#This Row],[cost_price]]*order[[#This Row],[quantity]]-order[[#This Row],[discount]]</f>
        <v>-83352</v>
      </c>
      <c r="T174" s="3">
        <f>order[[#This Row],[quantity]]*order[[#This Row],[selling_price]]</f>
        <v>45098</v>
      </c>
    </row>
    <row r="175" spans="1:20" x14ac:dyDescent="0.3">
      <c r="A175">
        <v>599</v>
      </c>
      <c r="B175" s="11">
        <v>45317</v>
      </c>
      <c r="C175">
        <v>267</v>
      </c>
      <c r="D175" t="str">
        <f>_xlfn.XLOOKUP(order[[#This Row],[customer_id]],customer[customer_id],customer[customer_name])</f>
        <v>Neha Kapoor</v>
      </c>
      <c r="E175">
        <v>201</v>
      </c>
      <c r="F175">
        <v>3</v>
      </c>
      <c r="G175">
        <v>4588</v>
      </c>
      <c r="H175">
        <v>1886</v>
      </c>
      <c r="I175" t="s">
        <v>13</v>
      </c>
      <c r="J175" t="s">
        <v>12</v>
      </c>
      <c r="K175" t="str">
        <f>_xlfn.XLOOKUP(order[[#This Row],[customer_id]],customer[customer_id],customer[city])</f>
        <v>Hyderabad</v>
      </c>
      <c r="L175" t="str">
        <f>_xlfn.XLOOKUP(order[[#This Row],[customer_id]],customer[customer_id],customer[state])</f>
        <v>Telangana</v>
      </c>
      <c r="M175" t="str">
        <f>_xlfn.XLOOKUP(order[[#This Row],[product_id]],products!$A$2:$A$11,products!$B$2:$B$11)</f>
        <v>iPhone 13</v>
      </c>
      <c r="N175" s="3" t="str">
        <f>_xlfn.XLOOKUP(order[[#This Row],[product_id]],products!$A$2:$A$11,products!$C$2:$C$11)</f>
        <v>Electronics</v>
      </c>
      <c r="O175" s="3">
        <f>_xlfn.XLOOKUP(order[[#This Row],[product_id]],Table4[product_id],Table4[cost_price])</f>
        <v>52000</v>
      </c>
      <c r="P175" s="11">
        <f>_xlfn.XLOOKUP(order[[#This Row],[order_id]],shipment[order_id],shipment[ship_date])</f>
        <v>45336</v>
      </c>
      <c r="Q175" s="11">
        <f>_xlfn.XLOOKUP(order[[#This Row],[order_id]],shipment[order_id],shipment[delivery_date])</f>
        <v>45337</v>
      </c>
      <c r="R175" s="3" t="str">
        <f>_xlfn.XLOOKUP(order[[#This Row],[order_id]],shipment[shipment_id],shipment[courier])</f>
        <v>DTDC</v>
      </c>
      <c r="S175" s="3">
        <f>order[[#This Row],[selling_price]]-order[[#This Row],[cost_price]]*order[[#This Row],[quantity]]-order[[#This Row],[discount]]</f>
        <v>-153298</v>
      </c>
      <c r="T175" s="3">
        <f>order[[#This Row],[quantity]]*order[[#This Row],[selling_price]]</f>
        <v>13764</v>
      </c>
    </row>
    <row r="176" spans="1:20" x14ac:dyDescent="0.3">
      <c r="A176">
        <v>184</v>
      </c>
      <c r="B176" s="11">
        <v>45442</v>
      </c>
      <c r="C176">
        <v>231</v>
      </c>
      <c r="D176" t="str">
        <f>_xlfn.XLOOKUP(order[[#This Row],[customer_id]],customer[customer_id],customer[customer_name])</f>
        <v>Neha Kapoor</v>
      </c>
      <c r="E176">
        <v>201</v>
      </c>
      <c r="F176">
        <v>4</v>
      </c>
      <c r="G176">
        <v>13134</v>
      </c>
      <c r="H176">
        <v>1797</v>
      </c>
      <c r="I176" t="s">
        <v>15</v>
      </c>
      <c r="J176" t="s">
        <v>10</v>
      </c>
      <c r="K176" t="str">
        <f>_xlfn.XLOOKUP(order[[#This Row],[customer_id]],customer[customer_id],customer[city])</f>
        <v>Hyderabad</v>
      </c>
      <c r="L176" t="str">
        <f>_xlfn.XLOOKUP(order[[#This Row],[customer_id]],customer[customer_id],customer[state])</f>
        <v>Telangana</v>
      </c>
      <c r="M176" t="str">
        <f>_xlfn.XLOOKUP(order[[#This Row],[product_id]],products!$A$2:$A$11,products!$B$2:$B$11)</f>
        <v>iPhone 13</v>
      </c>
      <c r="N176" s="3" t="str">
        <f>_xlfn.XLOOKUP(order[[#This Row],[product_id]],products!$A$2:$A$11,products!$C$2:$C$11)</f>
        <v>Electronics</v>
      </c>
      <c r="O176" s="3">
        <f>_xlfn.XLOOKUP(order[[#This Row],[product_id]],Table4[product_id],Table4[cost_price])</f>
        <v>52000</v>
      </c>
      <c r="P176" s="11">
        <f>_xlfn.XLOOKUP(order[[#This Row],[order_id]],shipment[order_id],shipment[ship_date])</f>
        <v>45320</v>
      </c>
      <c r="Q176" s="11">
        <f>_xlfn.XLOOKUP(order[[#This Row],[order_id]],shipment[order_id],shipment[delivery_date])</f>
        <v>45322</v>
      </c>
      <c r="R176" s="3" t="str">
        <f>_xlfn.XLOOKUP(order[[#This Row],[order_id]],shipment[shipment_id],shipment[courier])</f>
        <v>BlueDart</v>
      </c>
      <c r="S176" s="3">
        <f>order[[#This Row],[selling_price]]-order[[#This Row],[cost_price]]*order[[#This Row],[quantity]]-order[[#This Row],[discount]]</f>
        <v>-196663</v>
      </c>
      <c r="T176" s="3">
        <f>order[[#This Row],[quantity]]*order[[#This Row],[selling_price]]</f>
        <v>52536</v>
      </c>
    </row>
    <row r="177" spans="1:20" x14ac:dyDescent="0.3">
      <c r="A177">
        <v>366</v>
      </c>
      <c r="B177" s="11">
        <v>45460</v>
      </c>
      <c r="C177">
        <v>250</v>
      </c>
      <c r="D177" t="str">
        <f>_xlfn.XLOOKUP(order[[#This Row],[customer_id]],customer[customer_id],customer[customer_name])</f>
        <v>Vikram Singh</v>
      </c>
      <c r="E177">
        <v>201</v>
      </c>
      <c r="F177">
        <v>2</v>
      </c>
      <c r="G177">
        <v>47884</v>
      </c>
      <c r="H177">
        <v>1744</v>
      </c>
      <c r="I177" t="s">
        <v>9</v>
      </c>
      <c r="J177" t="s">
        <v>10</v>
      </c>
      <c r="K177" t="str">
        <f>_xlfn.XLOOKUP(order[[#This Row],[customer_id]],customer[customer_id],customer[city])</f>
        <v>Bangalore</v>
      </c>
      <c r="L177" t="str">
        <f>_xlfn.XLOOKUP(order[[#This Row],[customer_id]],customer[customer_id],customer[state])</f>
        <v>Karnataka</v>
      </c>
      <c r="M177" t="str">
        <f>_xlfn.XLOOKUP(order[[#This Row],[product_id]],products!$A$2:$A$11,products!$B$2:$B$11)</f>
        <v>iPhone 13</v>
      </c>
      <c r="N177" s="3" t="str">
        <f>_xlfn.XLOOKUP(order[[#This Row],[product_id]],products!$A$2:$A$11,products!$C$2:$C$11)</f>
        <v>Electronics</v>
      </c>
      <c r="O177" s="3">
        <f>_xlfn.XLOOKUP(order[[#This Row],[product_id]],Table4[product_id],Table4[cost_price])</f>
        <v>52000</v>
      </c>
      <c r="P177" s="11">
        <f>_xlfn.XLOOKUP(order[[#This Row],[order_id]],shipment[order_id],shipment[ship_date])</f>
        <v>45516</v>
      </c>
      <c r="Q177" s="11">
        <f>_xlfn.XLOOKUP(order[[#This Row],[order_id]],shipment[order_id],shipment[delivery_date])</f>
        <v>45521</v>
      </c>
      <c r="R177" s="3" t="str">
        <f>_xlfn.XLOOKUP(order[[#This Row],[order_id]],shipment[shipment_id],shipment[courier])</f>
        <v>Ekart</v>
      </c>
      <c r="S177" s="3">
        <f>order[[#This Row],[selling_price]]-order[[#This Row],[cost_price]]*order[[#This Row],[quantity]]-order[[#This Row],[discount]]</f>
        <v>-57860</v>
      </c>
      <c r="T177" s="3">
        <f>order[[#This Row],[quantity]]*order[[#This Row],[selling_price]]</f>
        <v>95768</v>
      </c>
    </row>
    <row r="178" spans="1:20" x14ac:dyDescent="0.3">
      <c r="A178">
        <v>177</v>
      </c>
      <c r="B178" s="11">
        <v>45333</v>
      </c>
      <c r="C178">
        <v>108</v>
      </c>
      <c r="D178" t="str">
        <f>_xlfn.XLOOKUP(order[[#This Row],[customer_id]],customer[customer_id],customer[customer_name])</f>
        <v>Arjun Nair</v>
      </c>
      <c r="E178">
        <v>203</v>
      </c>
      <c r="F178">
        <v>4</v>
      </c>
      <c r="G178">
        <v>44490</v>
      </c>
      <c r="H178">
        <v>3182</v>
      </c>
      <c r="I178" t="s">
        <v>13</v>
      </c>
      <c r="J178" t="s">
        <v>10</v>
      </c>
      <c r="K178" t="str">
        <f>_xlfn.XLOOKUP(order[[#This Row],[customer_id]],customer[customer_id],customer[city])</f>
        <v>Ahmedabad</v>
      </c>
      <c r="L178" t="str">
        <f>_xlfn.XLOOKUP(order[[#This Row],[customer_id]],customer[customer_id],customer[state])</f>
        <v>Gujarat</v>
      </c>
      <c r="M178" t="str">
        <f>_xlfn.XLOOKUP(order[[#This Row],[product_id]],products!$A$2:$A$11,products!$B$2:$B$11)</f>
        <v>Nike Air Max Shoes</v>
      </c>
      <c r="N178" s="3" t="str">
        <f>_xlfn.XLOOKUP(order[[#This Row],[product_id]],products!$A$2:$A$11,products!$C$2:$C$11)</f>
        <v>Fashion</v>
      </c>
      <c r="O178" s="3">
        <f>_xlfn.XLOOKUP(order[[#This Row],[product_id]],Table4[product_id],Table4[cost_price])</f>
        <v>4000</v>
      </c>
      <c r="P178" s="11">
        <f>_xlfn.XLOOKUP(order[[#This Row],[order_id]],shipment[order_id],shipment[ship_date])</f>
        <v>45419</v>
      </c>
      <c r="Q178" s="11">
        <f>_xlfn.XLOOKUP(order[[#This Row],[order_id]],shipment[order_id],shipment[delivery_date])</f>
        <v>45423</v>
      </c>
      <c r="R178" s="3" t="str">
        <f>_xlfn.XLOOKUP(order[[#This Row],[order_id]],shipment[shipment_id],shipment[courier])</f>
        <v>BlueDart</v>
      </c>
      <c r="S178" s="3">
        <f>order[[#This Row],[selling_price]]-order[[#This Row],[cost_price]]*order[[#This Row],[quantity]]-order[[#This Row],[discount]]</f>
        <v>25308</v>
      </c>
      <c r="T178" s="3">
        <f>order[[#This Row],[quantity]]*order[[#This Row],[selling_price]]</f>
        <v>177960</v>
      </c>
    </row>
    <row r="179" spans="1:20" x14ac:dyDescent="0.3">
      <c r="A179">
        <v>659</v>
      </c>
      <c r="B179" s="11">
        <v>45321</v>
      </c>
      <c r="C179">
        <v>129</v>
      </c>
      <c r="D179" t="str">
        <f>_xlfn.XLOOKUP(order[[#This Row],[customer_id]],customer[customer_id],customer[customer_name])</f>
        <v>Rahul Mehta</v>
      </c>
      <c r="E179">
        <v>201</v>
      </c>
      <c r="F179">
        <v>1</v>
      </c>
      <c r="G179">
        <v>9818</v>
      </c>
      <c r="H179">
        <v>1715</v>
      </c>
      <c r="I179" t="s">
        <v>13</v>
      </c>
      <c r="J179" t="s">
        <v>12</v>
      </c>
      <c r="K179" t="str">
        <f>_xlfn.XLOOKUP(order[[#This Row],[customer_id]],customer[customer_id],customer[city])</f>
        <v>Hyderabad</v>
      </c>
      <c r="L179" t="str">
        <f>_xlfn.XLOOKUP(order[[#This Row],[customer_id]],customer[customer_id],customer[state])</f>
        <v>Telangana</v>
      </c>
      <c r="M179" t="str">
        <f>_xlfn.XLOOKUP(order[[#This Row],[product_id]],products!$A$2:$A$11,products!$B$2:$B$11)</f>
        <v>iPhone 13</v>
      </c>
      <c r="N179" s="3" t="str">
        <f>_xlfn.XLOOKUP(order[[#This Row],[product_id]],products!$A$2:$A$11,products!$C$2:$C$11)</f>
        <v>Electronics</v>
      </c>
      <c r="O179" s="3">
        <f>_xlfn.XLOOKUP(order[[#This Row],[product_id]],Table4[product_id],Table4[cost_price])</f>
        <v>52000</v>
      </c>
      <c r="P179" s="11">
        <f>_xlfn.XLOOKUP(order[[#This Row],[order_id]],shipment[order_id],shipment[ship_date])</f>
        <v>45423</v>
      </c>
      <c r="Q179" s="11">
        <f>_xlfn.XLOOKUP(order[[#This Row],[order_id]],shipment[order_id],shipment[delivery_date])</f>
        <v>45431</v>
      </c>
      <c r="R179" s="3" t="str">
        <f>_xlfn.XLOOKUP(order[[#This Row],[order_id]],shipment[shipment_id],shipment[courier])</f>
        <v>Ekart</v>
      </c>
      <c r="S179" s="3">
        <f>order[[#This Row],[selling_price]]-order[[#This Row],[cost_price]]*order[[#This Row],[quantity]]-order[[#This Row],[discount]]</f>
        <v>-43897</v>
      </c>
      <c r="T179" s="3">
        <f>order[[#This Row],[quantity]]*order[[#This Row],[selling_price]]</f>
        <v>9818</v>
      </c>
    </row>
    <row r="180" spans="1:20" x14ac:dyDescent="0.3">
      <c r="A180">
        <v>179</v>
      </c>
      <c r="B180" s="11">
        <v>45531</v>
      </c>
      <c r="C180">
        <v>230</v>
      </c>
      <c r="D180" t="str">
        <f>_xlfn.XLOOKUP(order[[#This Row],[customer_id]],customer[customer_id],customer[customer_name])</f>
        <v>Rohit Verma</v>
      </c>
      <c r="E180">
        <v>203</v>
      </c>
      <c r="F180">
        <v>2</v>
      </c>
      <c r="G180">
        <v>27756</v>
      </c>
      <c r="H180">
        <v>4549</v>
      </c>
      <c r="I180" t="s">
        <v>13</v>
      </c>
      <c r="J180" t="s">
        <v>12</v>
      </c>
      <c r="K180" t="str">
        <f>_xlfn.XLOOKUP(order[[#This Row],[customer_id]],customer[customer_id],customer[city])</f>
        <v>Mumbai</v>
      </c>
      <c r="L180" t="str">
        <f>_xlfn.XLOOKUP(order[[#This Row],[customer_id]],customer[customer_id],customer[state])</f>
        <v>Maharashtra</v>
      </c>
      <c r="M180" t="str">
        <f>_xlfn.XLOOKUP(order[[#This Row],[product_id]],products!$A$2:$A$11,products!$B$2:$B$11)</f>
        <v>Nike Air Max Shoes</v>
      </c>
      <c r="N180" s="3" t="str">
        <f>_xlfn.XLOOKUP(order[[#This Row],[product_id]],products!$A$2:$A$11,products!$C$2:$C$11)</f>
        <v>Fashion</v>
      </c>
      <c r="O180" s="3">
        <f>_xlfn.XLOOKUP(order[[#This Row],[product_id]],Table4[product_id],Table4[cost_price])</f>
        <v>4000</v>
      </c>
      <c r="P180" s="11">
        <f>_xlfn.XLOOKUP(order[[#This Row],[order_id]],shipment[order_id],shipment[ship_date])</f>
        <v>45426</v>
      </c>
      <c r="Q180" s="11">
        <f>_xlfn.XLOOKUP(order[[#This Row],[order_id]],shipment[order_id],shipment[delivery_date])</f>
        <v>45436</v>
      </c>
      <c r="R180" s="3" t="str">
        <f>_xlfn.XLOOKUP(order[[#This Row],[order_id]],shipment[shipment_id],shipment[courier])</f>
        <v>Ekart</v>
      </c>
      <c r="S180" s="3">
        <f>order[[#This Row],[selling_price]]-order[[#This Row],[cost_price]]*order[[#This Row],[quantity]]-order[[#This Row],[discount]]</f>
        <v>15207</v>
      </c>
      <c r="T180" s="3">
        <f>order[[#This Row],[quantity]]*order[[#This Row],[selling_price]]</f>
        <v>55512</v>
      </c>
    </row>
    <row r="181" spans="1:20" x14ac:dyDescent="0.3">
      <c r="A181">
        <v>180</v>
      </c>
      <c r="B181" s="11">
        <v>45559</v>
      </c>
      <c r="C181">
        <v>274</v>
      </c>
      <c r="D181" t="str">
        <f>_xlfn.XLOOKUP(order[[#This Row],[customer_id]],customer[customer_id],customer[customer_name])</f>
        <v>Sneha Iyer</v>
      </c>
      <c r="E181">
        <v>205</v>
      </c>
      <c r="F181">
        <v>2</v>
      </c>
      <c r="G181">
        <v>5619</v>
      </c>
      <c r="H181">
        <v>2225</v>
      </c>
      <c r="I181" t="s">
        <v>13</v>
      </c>
      <c r="J181" t="s">
        <v>10</v>
      </c>
      <c r="K181" t="str">
        <f>_xlfn.XLOOKUP(order[[#This Row],[customer_id]],customer[customer_id],customer[city])</f>
        <v>Bangalore</v>
      </c>
      <c r="L181" t="str">
        <f>_xlfn.XLOOKUP(order[[#This Row],[customer_id]],customer[customer_id],customer[state])</f>
        <v>Karnataka</v>
      </c>
      <c r="M181" t="str">
        <f>_xlfn.XLOOKUP(order[[#This Row],[product_id]],products!$A$2:$A$11,products!$B$2:$B$11)</f>
        <v>Prestige Pressure Cooker 5L</v>
      </c>
      <c r="N181" s="3" t="str">
        <f>_xlfn.XLOOKUP(order[[#This Row],[product_id]],products!$A$2:$A$11,products!$C$2:$C$11)</f>
        <v>Home &amp; Kitchen</v>
      </c>
      <c r="O181" s="3">
        <f>_xlfn.XLOOKUP(order[[#This Row],[product_id]],Table4[product_id],Table4[cost_price])</f>
        <v>1200</v>
      </c>
      <c r="P181" s="11">
        <f>_xlfn.XLOOKUP(order[[#This Row],[order_id]],shipment[order_id],shipment[ship_date])</f>
        <v>45315</v>
      </c>
      <c r="Q181" s="11">
        <f>_xlfn.XLOOKUP(order[[#This Row],[order_id]],shipment[order_id],shipment[delivery_date])</f>
        <v>45322</v>
      </c>
      <c r="R181" s="3" t="str">
        <f>_xlfn.XLOOKUP(order[[#This Row],[order_id]],shipment[shipment_id],shipment[courier])</f>
        <v>Delhivery</v>
      </c>
      <c r="S181" s="3">
        <f>order[[#This Row],[selling_price]]-order[[#This Row],[cost_price]]*order[[#This Row],[quantity]]-order[[#This Row],[discount]]</f>
        <v>994</v>
      </c>
      <c r="T181" s="3">
        <f>order[[#This Row],[quantity]]*order[[#This Row],[selling_price]]</f>
        <v>11238</v>
      </c>
    </row>
    <row r="182" spans="1:20" x14ac:dyDescent="0.3">
      <c r="A182">
        <v>181</v>
      </c>
      <c r="B182" s="11">
        <v>45339</v>
      </c>
      <c r="C182">
        <v>169</v>
      </c>
      <c r="D182" t="str">
        <f>_xlfn.XLOOKUP(order[[#This Row],[customer_id]],customer[customer_id],customer[customer_name])</f>
        <v>Vikram Singh</v>
      </c>
      <c r="E182">
        <v>207</v>
      </c>
      <c r="F182">
        <v>1</v>
      </c>
      <c r="G182">
        <v>66772</v>
      </c>
      <c r="H182">
        <v>3252</v>
      </c>
      <c r="I182" t="s">
        <v>15</v>
      </c>
      <c r="J182" t="s">
        <v>10</v>
      </c>
      <c r="K182" t="str">
        <f>_xlfn.XLOOKUP(order[[#This Row],[customer_id]],customer[customer_id],customer[city])</f>
        <v>Ahmedabad</v>
      </c>
      <c r="L182" t="str">
        <f>_xlfn.XLOOKUP(order[[#This Row],[customer_id]],customer[customer_id],customer[state])</f>
        <v>Gujarat</v>
      </c>
      <c r="M182" t="str">
        <f>_xlfn.XLOOKUP(order[[#This Row],[product_id]],products!$A$2:$A$11,products!$B$2:$B$11)</f>
        <v>Sony WH-1000XM4 Headphones</v>
      </c>
      <c r="N182" s="3" t="str">
        <f>_xlfn.XLOOKUP(order[[#This Row],[product_id]],products!$A$2:$A$11,products!$C$2:$C$11)</f>
        <v>Electronics</v>
      </c>
      <c r="O182" s="3">
        <f>_xlfn.XLOOKUP(order[[#This Row],[product_id]],Table4[product_id],Table4[cost_price])</f>
        <v>20000</v>
      </c>
      <c r="P182" s="11">
        <f>_xlfn.XLOOKUP(order[[#This Row],[order_id]],shipment[order_id],shipment[ship_date])</f>
        <v>45594</v>
      </c>
      <c r="Q182" s="11">
        <f>_xlfn.XLOOKUP(order[[#This Row],[order_id]],shipment[order_id],shipment[delivery_date])</f>
        <v>45600</v>
      </c>
      <c r="R182" s="3" t="str">
        <f>_xlfn.XLOOKUP(order[[#This Row],[order_id]],shipment[shipment_id],shipment[courier])</f>
        <v>DTDC</v>
      </c>
      <c r="S182" s="3">
        <f>order[[#This Row],[selling_price]]-order[[#This Row],[cost_price]]*order[[#This Row],[quantity]]-order[[#This Row],[discount]]</f>
        <v>43520</v>
      </c>
      <c r="T182" s="3">
        <f>order[[#This Row],[quantity]]*order[[#This Row],[selling_price]]</f>
        <v>66772</v>
      </c>
    </row>
    <row r="183" spans="1:20" x14ac:dyDescent="0.3">
      <c r="A183">
        <v>182</v>
      </c>
      <c r="B183" s="11">
        <v>45526</v>
      </c>
      <c r="C183">
        <v>214</v>
      </c>
      <c r="D183" t="str">
        <f>_xlfn.XLOOKUP(order[[#This Row],[customer_id]],customer[customer_id],customer[customer_name])</f>
        <v>Ishita Bose</v>
      </c>
      <c r="E183">
        <v>205</v>
      </c>
      <c r="F183">
        <v>1</v>
      </c>
      <c r="G183">
        <v>13575</v>
      </c>
      <c r="H183">
        <v>1787</v>
      </c>
      <c r="I183" t="s">
        <v>9</v>
      </c>
      <c r="J183" t="s">
        <v>12</v>
      </c>
      <c r="K183" t="str">
        <f>_xlfn.XLOOKUP(order[[#This Row],[customer_id]],customer[customer_id],customer[city])</f>
        <v>Mumbai</v>
      </c>
      <c r="L183" t="str">
        <f>_xlfn.XLOOKUP(order[[#This Row],[customer_id]],customer[customer_id],customer[state])</f>
        <v>Maharashtra</v>
      </c>
      <c r="M183" t="str">
        <f>_xlfn.XLOOKUP(order[[#This Row],[product_id]],products!$A$2:$A$11,products!$B$2:$B$11)</f>
        <v>Prestige Pressure Cooker 5L</v>
      </c>
      <c r="N183" s="3" t="str">
        <f>_xlfn.XLOOKUP(order[[#This Row],[product_id]],products!$A$2:$A$11,products!$C$2:$C$11)</f>
        <v>Home &amp; Kitchen</v>
      </c>
      <c r="O183" s="3">
        <f>_xlfn.XLOOKUP(order[[#This Row],[product_id]],Table4[product_id],Table4[cost_price])</f>
        <v>1200</v>
      </c>
      <c r="P183" s="11">
        <f>_xlfn.XLOOKUP(order[[#This Row],[order_id]],shipment[order_id],shipment[ship_date])</f>
        <v>45636</v>
      </c>
      <c r="Q183" s="11">
        <f>_xlfn.XLOOKUP(order[[#This Row],[order_id]],shipment[order_id],shipment[delivery_date])</f>
        <v>45638</v>
      </c>
      <c r="R183" s="3" t="str">
        <f>_xlfn.XLOOKUP(order[[#This Row],[order_id]],shipment[shipment_id],shipment[courier])</f>
        <v>Ekart</v>
      </c>
      <c r="S183" s="3">
        <f>order[[#This Row],[selling_price]]-order[[#This Row],[cost_price]]*order[[#This Row],[quantity]]-order[[#This Row],[discount]]</f>
        <v>10588</v>
      </c>
      <c r="T183" s="3">
        <f>order[[#This Row],[quantity]]*order[[#This Row],[selling_price]]</f>
        <v>13575</v>
      </c>
    </row>
    <row r="184" spans="1:20" x14ac:dyDescent="0.3">
      <c r="A184">
        <v>183</v>
      </c>
      <c r="B184" s="11">
        <v>45621</v>
      </c>
      <c r="C184">
        <v>115</v>
      </c>
      <c r="D184" t="str">
        <f>_xlfn.XLOOKUP(order[[#This Row],[customer_id]],customer[customer_id],customer[customer_name])</f>
        <v>Siddharth Jain</v>
      </c>
      <c r="E184">
        <v>206</v>
      </c>
      <c r="F184">
        <v>2</v>
      </c>
      <c r="G184">
        <v>29526</v>
      </c>
      <c r="H184">
        <v>3732</v>
      </c>
      <c r="I184" t="s">
        <v>13</v>
      </c>
      <c r="J184" t="s">
        <v>12</v>
      </c>
      <c r="K184" t="str">
        <f>_xlfn.XLOOKUP(order[[#This Row],[customer_id]],customer[customer_id],customer[city])</f>
        <v>Delhi</v>
      </c>
      <c r="L184" t="str">
        <f>_xlfn.XLOOKUP(order[[#This Row],[customer_id]],customer[customer_id],customer[state])</f>
        <v>Delhi</v>
      </c>
      <c r="M184" t="str">
        <f>_xlfn.XLOOKUP(order[[#This Row],[product_id]],products!$A$2:$A$11,products!$B$2:$B$11)</f>
        <v>Philips Air Fryer</v>
      </c>
      <c r="N184" s="3" t="str">
        <f>_xlfn.XLOOKUP(order[[#This Row],[product_id]],products!$A$2:$A$11,products!$C$2:$C$11)</f>
        <v>Home &amp; Kitchen</v>
      </c>
      <c r="O184" s="3">
        <f>_xlfn.XLOOKUP(order[[#This Row],[product_id]],Table4[product_id],Table4[cost_price])</f>
        <v>7000</v>
      </c>
      <c r="P184" s="11">
        <f>_xlfn.XLOOKUP(order[[#This Row],[order_id]],shipment[order_id],shipment[ship_date])</f>
        <v>45638</v>
      </c>
      <c r="Q184" s="11">
        <f>_xlfn.XLOOKUP(order[[#This Row],[order_id]],shipment[order_id],shipment[delivery_date])</f>
        <v>45647</v>
      </c>
      <c r="R184" s="3" t="str">
        <f>_xlfn.XLOOKUP(order[[#This Row],[order_id]],shipment[shipment_id],shipment[courier])</f>
        <v>BlueDart</v>
      </c>
      <c r="S184" s="3">
        <f>order[[#This Row],[selling_price]]-order[[#This Row],[cost_price]]*order[[#This Row],[quantity]]-order[[#This Row],[discount]]</f>
        <v>11794</v>
      </c>
      <c r="T184" s="3">
        <f>order[[#This Row],[quantity]]*order[[#This Row],[selling_price]]</f>
        <v>59052</v>
      </c>
    </row>
    <row r="185" spans="1:20" x14ac:dyDescent="0.3">
      <c r="A185">
        <v>187</v>
      </c>
      <c r="B185" s="11">
        <v>45633</v>
      </c>
      <c r="C185">
        <v>277</v>
      </c>
      <c r="D185" t="str">
        <f>_xlfn.XLOOKUP(order[[#This Row],[customer_id]],customer[customer_id],customer[customer_name])</f>
        <v>Ananya Gupta</v>
      </c>
      <c r="E185">
        <v>201</v>
      </c>
      <c r="F185">
        <v>1</v>
      </c>
      <c r="G185">
        <v>32582</v>
      </c>
      <c r="H185">
        <v>1709</v>
      </c>
      <c r="I185" t="s">
        <v>15</v>
      </c>
      <c r="J185" t="s">
        <v>12</v>
      </c>
      <c r="K185" t="str">
        <f>_xlfn.XLOOKUP(order[[#This Row],[customer_id]],customer[customer_id],customer[city])</f>
        <v>Bangalore</v>
      </c>
      <c r="L185" t="str">
        <f>_xlfn.XLOOKUP(order[[#This Row],[customer_id]],customer[customer_id],customer[state])</f>
        <v>Karnataka</v>
      </c>
      <c r="M185" t="str">
        <f>_xlfn.XLOOKUP(order[[#This Row],[product_id]],products!$A$2:$A$11,products!$B$2:$B$11)</f>
        <v>iPhone 13</v>
      </c>
      <c r="N185" s="3" t="str">
        <f>_xlfn.XLOOKUP(order[[#This Row],[product_id]],products!$A$2:$A$11,products!$C$2:$C$11)</f>
        <v>Electronics</v>
      </c>
      <c r="O185" s="3">
        <f>_xlfn.XLOOKUP(order[[#This Row],[product_id]],Table4[product_id],Table4[cost_price])</f>
        <v>52000</v>
      </c>
      <c r="P185" s="11">
        <f>_xlfn.XLOOKUP(order[[#This Row],[order_id]],shipment[order_id],shipment[ship_date])</f>
        <v>45613</v>
      </c>
      <c r="Q185" s="11">
        <f>_xlfn.XLOOKUP(order[[#This Row],[order_id]],shipment[order_id],shipment[delivery_date])</f>
        <v>45621</v>
      </c>
      <c r="R185" s="3" t="str">
        <f>_xlfn.XLOOKUP(order[[#This Row],[order_id]],shipment[shipment_id],shipment[courier])</f>
        <v>Ekart</v>
      </c>
      <c r="S185" s="3">
        <f>order[[#This Row],[selling_price]]-order[[#This Row],[cost_price]]*order[[#This Row],[quantity]]-order[[#This Row],[discount]]</f>
        <v>-21127</v>
      </c>
      <c r="T185" s="3">
        <f>order[[#This Row],[quantity]]*order[[#This Row],[selling_price]]</f>
        <v>32582</v>
      </c>
    </row>
    <row r="186" spans="1:20" x14ac:dyDescent="0.3">
      <c r="A186">
        <v>131</v>
      </c>
      <c r="B186" s="11">
        <v>45340</v>
      </c>
      <c r="C186">
        <v>205</v>
      </c>
      <c r="D186" t="str">
        <f>_xlfn.XLOOKUP(order[[#This Row],[customer_id]],customer[customer_id],customer[customer_name])</f>
        <v>Siddharth Jain</v>
      </c>
      <c r="E186">
        <v>201</v>
      </c>
      <c r="F186">
        <v>4</v>
      </c>
      <c r="G186">
        <v>29277</v>
      </c>
      <c r="H186">
        <v>1707</v>
      </c>
      <c r="I186" t="s">
        <v>11</v>
      </c>
      <c r="J186" t="s">
        <v>10</v>
      </c>
      <c r="K186" t="str">
        <f>_xlfn.XLOOKUP(order[[#This Row],[customer_id]],customer[customer_id],customer[city])</f>
        <v>Hyderabad</v>
      </c>
      <c r="L186" t="str">
        <f>_xlfn.XLOOKUP(order[[#This Row],[customer_id]],customer[customer_id],customer[state])</f>
        <v>Telangana</v>
      </c>
      <c r="M186" t="str">
        <f>_xlfn.XLOOKUP(order[[#This Row],[product_id]],products!$A$2:$A$11,products!$B$2:$B$11)</f>
        <v>iPhone 13</v>
      </c>
      <c r="N186" s="3" t="str">
        <f>_xlfn.XLOOKUP(order[[#This Row],[product_id]],products!$A$2:$A$11,products!$C$2:$C$11)</f>
        <v>Electronics</v>
      </c>
      <c r="O186" s="3">
        <f>_xlfn.XLOOKUP(order[[#This Row],[product_id]],Table4[product_id],Table4[cost_price])</f>
        <v>52000</v>
      </c>
      <c r="P186" s="11">
        <f>_xlfn.XLOOKUP(order[[#This Row],[order_id]],shipment[order_id],shipment[ship_date])</f>
        <v>45372</v>
      </c>
      <c r="Q186" s="11">
        <f>_xlfn.XLOOKUP(order[[#This Row],[order_id]],shipment[order_id],shipment[delivery_date])</f>
        <v>45379</v>
      </c>
      <c r="R186" s="3" t="str">
        <f>_xlfn.XLOOKUP(order[[#This Row],[order_id]],shipment[shipment_id],shipment[courier])</f>
        <v>DTDC</v>
      </c>
      <c r="S186" s="3">
        <f>order[[#This Row],[selling_price]]-order[[#This Row],[cost_price]]*order[[#This Row],[quantity]]-order[[#This Row],[discount]]</f>
        <v>-180430</v>
      </c>
      <c r="T186" s="3">
        <f>order[[#This Row],[quantity]]*order[[#This Row],[selling_price]]</f>
        <v>117108</v>
      </c>
    </row>
    <row r="187" spans="1:20" x14ac:dyDescent="0.3">
      <c r="A187">
        <v>186</v>
      </c>
      <c r="B187" s="11">
        <v>45521</v>
      </c>
      <c r="C187">
        <v>284</v>
      </c>
      <c r="D187" t="str">
        <f>_xlfn.XLOOKUP(order[[#This Row],[customer_id]],customer[customer_id],customer[customer_name])</f>
        <v>Siddharth Jain</v>
      </c>
      <c r="E187">
        <v>204</v>
      </c>
      <c r="F187">
        <v>3</v>
      </c>
      <c r="G187">
        <v>33247</v>
      </c>
      <c r="H187">
        <v>1147</v>
      </c>
      <c r="I187" t="s">
        <v>13</v>
      </c>
      <c r="J187" t="s">
        <v>10</v>
      </c>
      <c r="K187" t="str">
        <f>_xlfn.XLOOKUP(order[[#This Row],[customer_id]],customer[customer_id],customer[city])</f>
        <v>Delhi</v>
      </c>
      <c r="L187" t="str">
        <f>_xlfn.XLOOKUP(order[[#This Row],[customer_id]],customer[customer_id],customer[state])</f>
        <v>Delhi</v>
      </c>
      <c r="M187" t="str">
        <f>_xlfn.XLOOKUP(order[[#This Row],[product_id]],products!$A$2:$A$11,products!$B$2:$B$11)</f>
        <v>Levi's Slim Fit Jeans</v>
      </c>
      <c r="N187" s="3" t="str">
        <f>_xlfn.XLOOKUP(order[[#This Row],[product_id]],products!$A$2:$A$11,products!$C$2:$C$11)</f>
        <v>Fashion</v>
      </c>
      <c r="O187" s="3">
        <f>_xlfn.XLOOKUP(order[[#This Row],[product_id]],Table4[product_id],Table4[cost_price])</f>
        <v>1800</v>
      </c>
      <c r="P187" s="11">
        <f>_xlfn.XLOOKUP(order[[#This Row],[order_id]],shipment[order_id],shipment[ship_date])</f>
        <v>45466</v>
      </c>
      <c r="Q187" s="11">
        <f>_xlfn.XLOOKUP(order[[#This Row],[order_id]],shipment[order_id],shipment[delivery_date])</f>
        <v>45474</v>
      </c>
      <c r="R187" s="3" t="str">
        <f>_xlfn.XLOOKUP(order[[#This Row],[order_id]],shipment[shipment_id],shipment[courier])</f>
        <v>BlueDart</v>
      </c>
      <c r="S187" s="3">
        <f>order[[#This Row],[selling_price]]-order[[#This Row],[cost_price]]*order[[#This Row],[quantity]]-order[[#This Row],[discount]]</f>
        <v>26700</v>
      </c>
      <c r="T187" s="3">
        <f>order[[#This Row],[quantity]]*order[[#This Row],[selling_price]]</f>
        <v>99741</v>
      </c>
    </row>
    <row r="188" spans="1:20" x14ac:dyDescent="0.3">
      <c r="A188">
        <v>251</v>
      </c>
      <c r="B188" s="11">
        <v>45603</v>
      </c>
      <c r="C188">
        <v>218</v>
      </c>
      <c r="D188" t="str">
        <f>_xlfn.XLOOKUP(order[[#This Row],[customer_id]],customer[customer_id],customer[customer_name])</f>
        <v>Manish Yadav</v>
      </c>
      <c r="E188">
        <v>201</v>
      </c>
      <c r="F188">
        <v>3</v>
      </c>
      <c r="G188">
        <v>18810</v>
      </c>
      <c r="H188">
        <v>1687</v>
      </c>
      <c r="I188" t="s">
        <v>11</v>
      </c>
      <c r="J188" t="s">
        <v>14</v>
      </c>
      <c r="K188" t="str">
        <f>_xlfn.XLOOKUP(order[[#This Row],[customer_id]],customer[customer_id],customer[city])</f>
        <v>Delhi</v>
      </c>
      <c r="L188" t="str">
        <f>_xlfn.XLOOKUP(order[[#This Row],[customer_id]],customer[customer_id],customer[state])</f>
        <v>Delhi</v>
      </c>
      <c r="M188" t="str">
        <f>_xlfn.XLOOKUP(order[[#This Row],[product_id]],products!$A$2:$A$11,products!$B$2:$B$11)</f>
        <v>iPhone 13</v>
      </c>
      <c r="N188" s="3" t="str">
        <f>_xlfn.XLOOKUP(order[[#This Row],[product_id]],products!$A$2:$A$11,products!$C$2:$C$11)</f>
        <v>Electronics</v>
      </c>
      <c r="O188" s="3">
        <f>_xlfn.XLOOKUP(order[[#This Row],[product_id]],Table4[product_id],Table4[cost_price])</f>
        <v>52000</v>
      </c>
      <c r="P188" s="11">
        <f>_xlfn.XLOOKUP(order[[#This Row],[order_id]],shipment[order_id],shipment[ship_date])</f>
        <v>45326</v>
      </c>
      <c r="Q188" s="11">
        <f>_xlfn.XLOOKUP(order[[#This Row],[order_id]],shipment[order_id],shipment[delivery_date])</f>
        <v>45336</v>
      </c>
      <c r="R188" s="3" t="str">
        <f>_xlfn.XLOOKUP(order[[#This Row],[order_id]],shipment[shipment_id],shipment[courier])</f>
        <v>DTDC</v>
      </c>
      <c r="S188" s="3">
        <f>order[[#This Row],[selling_price]]-order[[#This Row],[cost_price]]*order[[#This Row],[quantity]]-order[[#This Row],[discount]]</f>
        <v>-138877</v>
      </c>
      <c r="T188" s="3">
        <f>order[[#This Row],[quantity]]*order[[#This Row],[selling_price]]</f>
        <v>56430</v>
      </c>
    </row>
    <row r="189" spans="1:20" x14ac:dyDescent="0.3">
      <c r="A189">
        <v>188</v>
      </c>
      <c r="B189" s="11">
        <v>45518</v>
      </c>
      <c r="C189">
        <v>209</v>
      </c>
      <c r="D189" t="str">
        <f>_xlfn.XLOOKUP(order[[#This Row],[customer_id]],customer[customer_id],customer[customer_name])</f>
        <v>Neha Kapoor</v>
      </c>
      <c r="E189">
        <v>205</v>
      </c>
      <c r="F189">
        <v>1</v>
      </c>
      <c r="G189">
        <v>17836</v>
      </c>
      <c r="H189">
        <v>802</v>
      </c>
      <c r="I189" t="s">
        <v>9</v>
      </c>
      <c r="J189" t="s">
        <v>10</v>
      </c>
      <c r="K189" t="str">
        <f>_xlfn.XLOOKUP(order[[#This Row],[customer_id]],customer[customer_id],customer[city])</f>
        <v>Mumbai</v>
      </c>
      <c r="L189" t="str">
        <f>_xlfn.XLOOKUP(order[[#This Row],[customer_id]],customer[customer_id],customer[state])</f>
        <v>Maharashtra</v>
      </c>
      <c r="M189" t="str">
        <f>_xlfn.XLOOKUP(order[[#This Row],[product_id]],products!$A$2:$A$11,products!$B$2:$B$11)</f>
        <v>Prestige Pressure Cooker 5L</v>
      </c>
      <c r="N189" s="3" t="str">
        <f>_xlfn.XLOOKUP(order[[#This Row],[product_id]],products!$A$2:$A$11,products!$C$2:$C$11)</f>
        <v>Home &amp; Kitchen</v>
      </c>
      <c r="O189" s="3">
        <f>_xlfn.XLOOKUP(order[[#This Row],[product_id]],Table4[product_id],Table4[cost_price])</f>
        <v>1200</v>
      </c>
      <c r="P189" s="11">
        <f>_xlfn.XLOOKUP(order[[#This Row],[order_id]],shipment[order_id],shipment[ship_date])</f>
        <v>45342</v>
      </c>
      <c r="Q189" s="11">
        <f>_xlfn.XLOOKUP(order[[#This Row],[order_id]],shipment[order_id],shipment[delivery_date])</f>
        <v>45351</v>
      </c>
      <c r="R189" s="3" t="str">
        <f>_xlfn.XLOOKUP(order[[#This Row],[order_id]],shipment[shipment_id],shipment[courier])</f>
        <v>Delhivery</v>
      </c>
      <c r="S189" s="3">
        <f>order[[#This Row],[selling_price]]-order[[#This Row],[cost_price]]*order[[#This Row],[quantity]]-order[[#This Row],[discount]]</f>
        <v>15834</v>
      </c>
      <c r="T189" s="3">
        <f>order[[#This Row],[quantity]]*order[[#This Row],[selling_price]]</f>
        <v>17836</v>
      </c>
    </row>
    <row r="190" spans="1:20" x14ac:dyDescent="0.3">
      <c r="A190">
        <v>189</v>
      </c>
      <c r="B190" s="11">
        <v>45436</v>
      </c>
      <c r="C190">
        <v>130</v>
      </c>
      <c r="D190" t="str">
        <f>_xlfn.XLOOKUP(order[[#This Row],[customer_id]],customer[customer_id],customer[customer_name])</f>
        <v>Siddharth Jain</v>
      </c>
      <c r="E190">
        <v>205</v>
      </c>
      <c r="F190">
        <v>3</v>
      </c>
      <c r="G190">
        <v>60682</v>
      </c>
      <c r="H190">
        <v>4747</v>
      </c>
      <c r="I190" t="s">
        <v>11</v>
      </c>
      <c r="J190" t="s">
        <v>14</v>
      </c>
      <c r="K190" t="str">
        <f>_xlfn.XLOOKUP(order[[#This Row],[customer_id]],customer[customer_id],customer[city])</f>
        <v>Mumbai</v>
      </c>
      <c r="L190" t="str">
        <f>_xlfn.XLOOKUP(order[[#This Row],[customer_id]],customer[customer_id],customer[state])</f>
        <v>Maharashtra</v>
      </c>
      <c r="M190" t="str">
        <f>_xlfn.XLOOKUP(order[[#This Row],[product_id]],products!$A$2:$A$11,products!$B$2:$B$11)</f>
        <v>Prestige Pressure Cooker 5L</v>
      </c>
      <c r="N190" s="3" t="str">
        <f>_xlfn.XLOOKUP(order[[#This Row],[product_id]],products!$A$2:$A$11,products!$C$2:$C$11)</f>
        <v>Home &amp; Kitchen</v>
      </c>
      <c r="O190" s="3">
        <f>_xlfn.XLOOKUP(order[[#This Row],[product_id]],Table4[product_id],Table4[cost_price])</f>
        <v>1200</v>
      </c>
      <c r="P190" s="11">
        <f>_xlfn.XLOOKUP(order[[#This Row],[order_id]],shipment[order_id],shipment[ship_date])</f>
        <v>45559</v>
      </c>
      <c r="Q190" s="11">
        <f>_xlfn.XLOOKUP(order[[#This Row],[order_id]],shipment[order_id],shipment[delivery_date])</f>
        <v>45563</v>
      </c>
      <c r="R190" s="3" t="str">
        <f>_xlfn.XLOOKUP(order[[#This Row],[order_id]],shipment[shipment_id],shipment[courier])</f>
        <v>BlueDart</v>
      </c>
      <c r="S190" s="3">
        <f>order[[#This Row],[selling_price]]-order[[#This Row],[cost_price]]*order[[#This Row],[quantity]]-order[[#This Row],[discount]]</f>
        <v>52335</v>
      </c>
      <c r="T190" s="3">
        <f>order[[#This Row],[quantity]]*order[[#This Row],[selling_price]]</f>
        <v>182046</v>
      </c>
    </row>
    <row r="191" spans="1:20" x14ac:dyDescent="0.3">
      <c r="A191">
        <v>263</v>
      </c>
      <c r="B191" s="11">
        <v>45369</v>
      </c>
      <c r="C191">
        <v>107</v>
      </c>
      <c r="D191" t="str">
        <f>_xlfn.XLOOKUP(order[[#This Row],[customer_id]],customer[customer_id],customer[customer_name])</f>
        <v>Pooja Nair</v>
      </c>
      <c r="E191">
        <v>201</v>
      </c>
      <c r="F191">
        <v>2</v>
      </c>
      <c r="G191">
        <v>40652</v>
      </c>
      <c r="H191">
        <v>1662</v>
      </c>
      <c r="I191" t="s">
        <v>11</v>
      </c>
      <c r="J191" t="s">
        <v>12</v>
      </c>
      <c r="K191" t="str">
        <f>_xlfn.XLOOKUP(order[[#This Row],[customer_id]],customer[customer_id],customer[city])</f>
        <v>Pune</v>
      </c>
      <c r="L191" t="str">
        <f>_xlfn.XLOOKUP(order[[#This Row],[customer_id]],customer[customer_id],customer[state])</f>
        <v>Maharashtra</v>
      </c>
      <c r="M191" t="str">
        <f>_xlfn.XLOOKUP(order[[#This Row],[product_id]],products!$A$2:$A$11,products!$B$2:$B$11)</f>
        <v>iPhone 13</v>
      </c>
      <c r="N191" s="3" t="str">
        <f>_xlfn.XLOOKUP(order[[#This Row],[product_id]],products!$A$2:$A$11,products!$C$2:$C$11)</f>
        <v>Electronics</v>
      </c>
      <c r="O191" s="3">
        <f>_xlfn.XLOOKUP(order[[#This Row],[product_id]],Table4[product_id],Table4[cost_price])</f>
        <v>52000</v>
      </c>
      <c r="P191" s="11">
        <f>_xlfn.XLOOKUP(order[[#This Row],[order_id]],shipment[order_id],shipment[ship_date])</f>
        <v>45455</v>
      </c>
      <c r="Q191" s="11">
        <f>_xlfn.XLOOKUP(order[[#This Row],[order_id]],shipment[order_id],shipment[delivery_date])</f>
        <v>45457</v>
      </c>
      <c r="R191" s="3" t="str">
        <f>_xlfn.XLOOKUP(order[[#This Row],[order_id]],shipment[shipment_id],shipment[courier])</f>
        <v>DTDC</v>
      </c>
      <c r="S191" s="3">
        <f>order[[#This Row],[selling_price]]-order[[#This Row],[cost_price]]*order[[#This Row],[quantity]]-order[[#This Row],[discount]]</f>
        <v>-65010</v>
      </c>
      <c r="T191" s="3">
        <f>order[[#This Row],[quantity]]*order[[#This Row],[selling_price]]</f>
        <v>81304</v>
      </c>
    </row>
    <row r="192" spans="1:20" x14ac:dyDescent="0.3">
      <c r="A192">
        <v>301</v>
      </c>
      <c r="B192" s="11">
        <v>45378</v>
      </c>
      <c r="C192">
        <v>115</v>
      </c>
      <c r="D192" t="str">
        <f>_xlfn.XLOOKUP(order[[#This Row],[customer_id]],customer[customer_id],customer[customer_name])</f>
        <v>Siddharth Jain</v>
      </c>
      <c r="E192">
        <v>201</v>
      </c>
      <c r="F192">
        <v>2</v>
      </c>
      <c r="G192">
        <v>46652</v>
      </c>
      <c r="H192">
        <v>1643</v>
      </c>
      <c r="I192" t="s">
        <v>9</v>
      </c>
      <c r="J192" t="s">
        <v>12</v>
      </c>
      <c r="K192" t="str">
        <f>_xlfn.XLOOKUP(order[[#This Row],[customer_id]],customer[customer_id],customer[city])</f>
        <v>Delhi</v>
      </c>
      <c r="L192" t="str">
        <f>_xlfn.XLOOKUP(order[[#This Row],[customer_id]],customer[customer_id],customer[state])</f>
        <v>Delhi</v>
      </c>
      <c r="M192" t="str">
        <f>_xlfn.XLOOKUP(order[[#This Row],[product_id]],products!$A$2:$A$11,products!$B$2:$B$11)</f>
        <v>iPhone 13</v>
      </c>
      <c r="N192" s="3" t="str">
        <f>_xlfn.XLOOKUP(order[[#This Row],[product_id]],products!$A$2:$A$11,products!$C$2:$C$11)</f>
        <v>Electronics</v>
      </c>
      <c r="O192" s="3">
        <f>_xlfn.XLOOKUP(order[[#This Row],[product_id]],Table4[product_id],Table4[cost_price])</f>
        <v>52000</v>
      </c>
      <c r="P192" s="11">
        <f>_xlfn.XLOOKUP(order[[#This Row],[order_id]],shipment[order_id],shipment[ship_date])</f>
        <v>45327</v>
      </c>
      <c r="Q192" s="11">
        <f>_xlfn.XLOOKUP(order[[#This Row],[order_id]],shipment[order_id],shipment[delivery_date])</f>
        <v>45333</v>
      </c>
      <c r="R192" s="3" t="str">
        <f>_xlfn.XLOOKUP(order[[#This Row],[order_id]],shipment[shipment_id],shipment[courier])</f>
        <v>BlueDart</v>
      </c>
      <c r="S192" s="3">
        <f>order[[#This Row],[selling_price]]-order[[#This Row],[cost_price]]*order[[#This Row],[quantity]]-order[[#This Row],[discount]]</f>
        <v>-58991</v>
      </c>
      <c r="T192" s="3">
        <f>order[[#This Row],[quantity]]*order[[#This Row],[selling_price]]</f>
        <v>93304</v>
      </c>
    </row>
    <row r="193" spans="1:20" x14ac:dyDescent="0.3">
      <c r="A193">
        <v>192</v>
      </c>
      <c r="B193" s="11">
        <v>45297</v>
      </c>
      <c r="C193">
        <v>109</v>
      </c>
      <c r="D193" t="str">
        <f>_xlfn.XLOOKUP(order[[#This Row],[customer_id]],customer[customer_id],customer[customer_name])</f>
        <v>Sneha Iyer</v>
      </c>
      <c r="E193">
        <v>204</v>
      </c>
      <c r="F193">
        <v>4</v>
      </c>
      <c r="G193">
        <v>23607</v>
      </c>
      <c r="H193">
        <v>4775</v>
      </c>
      <c r="I193" t="s">
        <v>13</v>
      </c>
      <c r="J193" t="s">
        <v>14</v>
      </c>
      <c r="K193" t="str">
        <f>_xlfn.XLOOKUP(order[[#This Row],[customer_id]],customer[customer_id],customer[city])</f>
        <v>Hyderabad</v>
      </c>
      <c r="L193" t="str">
        <f>_xlfn.XLOOKUP(order[[#This Row],[customer_id]],customer[customer_id],customer[state])</f>
        <v>Telangana</v>
      </c>
      <c r="M193" t="str">
        <f>_xlfn.XLOOKUP(order[[#This Row],[product_id]],products!$A$2:$A$11,products!$B$2:$B$11)</f>
        <v>Levi's Slim Fit Jeans</v>
      </c>
      <c r="N193" s="3" t="str">
        <f>_xlfn.XLOOKUP(order[[#This Row],[product_id]],products!$A$2:$A$11,products!$C$2:$C$11)</f>
        <v>Fashion</v>
      </c>
      <c r="O193" s="3">
        <f>_xlfn.XLOOKUP(order[[#This Row],[product_id]],Table4[product_id],Table4[cost_price])</f>
        <v>1800</v>
      </c>
      <c r="P193" s="11">
        <f>_xlfn.XLOOKUP(order[[#This Row],[order_id]],shipment[order_id],shipment[ship_date])</f>
        <v>45652</v>
      </c>
      <c r="Q193" s="11">
        <f>_xlfn.XLOOKUP(order[[#This Row],[order_id]],shipment[order_id],shipment[delivery_date])</f>
        <v>45653</v>
      </c>
      <c r="R193" s="3" t="str">
        <f>_xlfn.XLOOKUP(order[[#This Row],[order_id]],shipment[shipment_id],shipment[courier])</f>
        <v>DTDC</v>
      </c>
      <c r="S193" s="3">
        <f>order[[#This Row],[selling_price]]-order[[#This Row],[cost_price]]*order[[#This Row],[quantity]]-order[[#This Row],[discount]]</f>
        <v>11632</v>
      </c>
      <c r="T193" s="3">
        <f>order[[#This Row],[quantity]]*order[[#This Row],[selling_price]]</f>
        <v>94428</v>
      </c>
    </row>
    <row r="194" spans="1:20" x14ac:dyDescent="0.3">
      <c r="A194">
        <v>193</v>
      </c>
      <c r="B194" s="11">
        <v>45293</v>
      </c>
      <c r="C194">
        <v>189</v>
      </c>
      <c r="D194" t="str">
        <f>_xlfn.XLOOKUP(order[[#This Row],[customer_id]],customer[customer_id],customer[customer_name])</f>
        <v>Karan Patel</v>
      </c>
      <c r="E194">
        <v>204</v>
      </c>
      <c r="F194">
        <v>2</v>
      </c>
      <c r="G194">
        <v>50803</v>
      </c>
      <c r="H194">
        <v>784</v>
      </c>
      <c r="I194" t="s">
        <v>13</v>
      </c>
      <c r="J194" t="s">
        <v>10</v>
      </c>
      <c r="K194" t="str">
        <f>_xlfn.XLOOKUP(order[[#This Row],[customer_id]],customer[customer_id],customer[city])</f>
        <v>Bangalore</v>
      </c>
      <c r="L194" t="str">
        <f>_xlfn.XLOOKUP(order[[#This Row],[customer_id]],customer[customer_id],customer[state])</f>
        <v>Karnataka</v>
      </c>
      <c r="M194" t="str">
        <f>_xlfn.XLOOKUP(order[[#This Row],[product_id]],products!$A$2:$A$11,products!$B$2:$B$11)</f>
        <v>Levi's Slim Fit Jeans</v>
      </c>
      <c r="N194" s="3" t="str">
        <f>_xlfn.XLOOKUP(order[[#This Row],[product_id]],products!$A$2:$A$11,products!$C$2:$C$11)</f>
        <v>Fashion</v>
      </c>
      <c r="O194" s="3">
        <f>_xlfn.XLOOKUP(order[[#This Row],[product_id]],Table4[product_id],Table4[cost_price])</f>
        <v>1800</v>
      </c>
      <c r="P194" s="11">
        <f>_xlfn.XLOOKUP(order[[#This Row],[order_id]],shipment[order_id],shipment[ship_date])</f>
        <v>45351</v>
      </c>
      <c r="Q194" s="11">
        <f>_xlfn.XLOOKUP(order[[#This Row],[order_id]],shipment[order_id],shipment[delivery_date])</f>
        <v>45354</v>
      </c>
      <c r="R194" s="3" t="str">
        <f>_xlfn.XLOOKUP(order[[#This Row],[order_id]],shipment[shipment_id],shipment[courier])</f>
        <v>Delhivery</v>
      </c>
      <c r="S194" s="3">
        <f>order[[#This Row],[selling_price]]-order[[#This Row],[cost_price]]*order[[#This Row],[quantity]]-order[[#This Row],[discount]]</f>
        <v>46419</v>
      </c>
      <c r="T194" s="3">
        <f>order[[#This Row],[quantity]]*order[[#This Row],[selling_price]]</f>
        <v>101606</v>
      </c>
    </row>
    <row r="195" spans="1:20" x14ac:dyDescent="0.3">
      <c r="A195">
        <v>1164</v>
      </c>
      <c r="B195" s="11">
        <v>45299</v>
      </c>
      <c r="C195">
        <v>153</v>
      </c>
      <c r="D195" t="str">
        <f>_xlfn.XLOOKUP(order[[#This Row],[customer_id]],customer[customer_id],customer[customer_name])</f>
        <v>Meera Joshi</v>
      </c>
      <c r="E195">
        <v>201</v>
      </c>
      <c r="F195">
        <v>4</v>
      </c>
      <c r="G195">
        <v>67930</v>
      </c>
      <c r="H195">
        <v>1619</v>
      </c>
      <c r="I195" t="s">
        <v>9</v>
      </c>
      <c r="J195" t="s">
        <v>10</v>
      </c>
      <c r="K195" t="str">
        <f>_xlfn.XLOOKUP(order[[#This Row],[customer_id]],customer[customer_id],customer[city])</f>
        <v>Ahmedabad</v>
      </c>
      <c r="L195" t="str">
        <f>_xlfn.XLOOKUP(order[[#This Row],[customer_id]],customer[customer_id],customer[state])</f>
        <v>Gujarat</v>
      </c>
      <c r="M195" t="str">
        <f>_xlfn.XLOOKUP(order[[#This Row],[product_id]],products!$A$2:$A$11,products!$B$2:$B$11)</f>
        <v>iPhone 13</v>
      </c>
      <c r="N195" s="3" t="str">
        <f>_xlfn.XLOOKUP(order[[#This Row],[product_id]],products!$A$2:$A$11,products!$C$2:$C$11)</f>
        <v>Electronics</v>
      </c>
      <c r="O195" s="3">
        <f>_xlfn.XLOOKUP(order[[#This Row],[product_id]],Table4[product_id],Table4[cost_price])</f>
        <v>52000</v>
      </c>
      <c r="P195" s="11">
        <f>_xlfn.XLOOKUP(order[[#This Row],[order_id]],shipment[order_id],shipment[ship_date])</f>
        <v>45340</v>
      </c>
      <c r="Q195" s="11">
        <f>_xlfn.XLOOKUP(order[[#This Row],[order_id]],shipment[order_id],shipment[delivery_date])</f>
        <v>45346</v>
      </c>
      <c r="R195" s="3" t="str">
        <f>_xlfn.XLOOKUP(order[[#This Row],[order_id]],shipment[shipment_id],shipment[courier])</f>
        <v>Ekart</v>
      </c>
      <c r="S195" s="3">
        <f>order[[#This Row],[selling_price]]-order[[#This Row],[cost_price]]*order[[#This Row],[quantity]]-order[[#This Row],[discount]]</f>
        <v>-141689</v>
      </c>
      <c r="T195" s="3">
        <f>order[[#This Row],[quantity]]*order[[#This Row],[selling_price]]</f>
        <v>271720</v>
      </c>
    </row>
    <row r="196" spans="1:20" x14ac:dyDescent="0.3">
      <c r="A196">
        <v>195</v>
      </c>
      <c r="B196" s="11">
        <v>45657</v>
      </c>
      <c r="C196">
        <v>271</v>
      </c>
      <c r="D196" t="str">
        <f>_xlfn.XLOOKUP(order[[#This Row],[customer_id]],customer[customer_id],customer[customer_name])</f>
        <v>Neha Kapoor</v>
      </c>
      <c r="E196">
        <v>209</v>
      </c>
      <c r="F196">
        <v>1</v>
      </c>
      <c r="G196">
        <v>21498</v>
      </c>
      <c r="H196">
        <v>3761</v>
      </c>
      <c r="I196" t="s">
        <v>13</v>
      </c>
      <c r="J196" t="s">
        <v>12</v>
      </c>
      <c r="K196" t="str">
        <f>_xlfn.XLOOKUP(order[[#This Row],[customer_id]],customer[customer_id],customer[city])</f>
        <v>Ahmedabad</v>
      </c>
      <c r="L196" t="str">
        <f>_xlfn.XLOOKUP(order[[#This Row],[customer_id]],customer[customer_id],customer[state])</f>
        <v>Gujarat</v>
      </c>
      <c r="M196" t="str">
        <f>_xlfn.XLOOKUP(order[[#This Row],[product_id]],products!$A$2:$A$11,products!$B$2:$B$11)</f>
        <v>Milton Thermosteel Bottle</v>
      </c>
      <c r="N196" s="3" t="str">
        <f>_xlfn.XLOOKUP(order[[#This Row],[product_id]],products!$A$2:$A$11,products!$C$2:$C$11)</f>
        <v>Home &amp; Kitchen</v>
      </c>
      <c r="O196" s="3">
        <f>_xlfn.XLOOKUP(order[[#This Row],[product_id]],Table4[product_id],Table4[cost_price])</f>
        <v>800</v>
      </c>
      <c r="P196" s="11">
        <f>_xlfn.XLOOKUP(order[[#This Row],[order_id]],shipment[order_id],shipment[ship_date])</f>
        <v>45476</v>
      </c>
      <c r="Q196" s="11">
        <f>_xlfn.XLOOKUP(order[[#This Row],[order_id]],shipment[order_id],shipment[delivery_date])</f>
        <v>45481</v>
      </c>
      <c r="R196" s="3" t="str">
        <f>_xlfn.XLOOKUP(order[[#This Row],[order_id]],shipment[shipment_id],shipment[courier])</f>
        <v>BlueDart</v>
      </c>
      <c r="S196" s="3">
        <f>order[[#This Row],[selling_price]]-order[[#This Row],[cost_price]]*order[[#This Row],[quantity]]-order[[#This Row],[discount]]</f>
        <v>16937</v>
      </c>
      <c r="T196" s="3">
        <f>order[[#This Row],[quantity]]*order[[#This Row],[selling_price]]</f>
        <v>21498</v>
      </c>
    </row>
    <row r="197" spans="1:20" x14ac:dyDescent="0.3">
      <c r="A197">
        <v>631</v>
      </c>
      <c r="B197" s="11">
        <v>45588</v>
      </c>
      <c r="C197">
        <v>205</v>
      </c>
      <c r="D197" t="str">
        <f>_xlfn.XLOOKUP(order[[#This Row],[customer_id]],customer[customer_id],customer[customer_name])</f>
        <v>Siddharth Jain</v>
      </c>
      <c r="E197">
        <v>201</v>
      </c>
      <c r="F197">
        <v>3</v>
      </c>
      <c r="G197">
        <v>1968</v>
      </c>
      <c r="H197">
        <v>1566</v>
      </c>
      <c r="I197" t="s">
        <v>11</v>
      </c>
      <c r="J197" t="s">
        <v>14</v>
      </c>
      <c r="K197" t="str">
        <f>_xlfn.XLOOKUP(order[[#This Row],[customer_id]],customer[customer_id],customer[city])</f>
        <v>Hyderabad</v>
      </c>
      <c r="L197" t="str">
        <f>_xlfn.XLOOKUP(order[[#This Row],[customer_id]],customer[customer_id],customer[state])</f>
        <v>Telangana</v>
      </c>
      <c r="M197" t="str">
        <f>_xlfn.XLOOKUP(order[[#This Row],[product_id]],products!$A$2:$A$11,products!$B$2:$B$11)</f>
        <v>iPhone 13</v>
      </c>
      <c r="N197" s="3" t="str">
        <f>_xlfn.XLOOKUP(order[[#This Row],[product_id]],products!$A$2:$A$11,products!$C$2:$C$11)</f>
        <v>Electronics</v>
      </c>
      <c r="O197" s="3">
        <f>_xlfn.XLOOKUP(order[[#This Row],[product_id]],Table4[product_id],Table4[cost_price])</f>
        <v>52000</v>
      </c>
      <c r="P197" s="11">
        <f>_xlfn.XLOOKUP(order[[#This Row],[order_id]],shipment[order_id],shipment[ship_date])</f>
        <v>45568</v>
      </c>
      <c r="Q197" s="11">
        <f>_xlfn.XLOOKUP(order[[#This Row],[order_id]],shipment[order_id],shipment[delivery_date])</f>
        <v>45572</v>
      </c>
      <c r="R197" s="3" t="str">
        <f>_xlfn.XLOOKUP(order[[#This Row],[order_id]],shipment[shipment_id],shipment[courier])</f>
        <v>Ekart</v>
      </c>
      <c r="S197" s="3">
        <f>order[[#This Row],[selling_price]]-order[[#This Row],[cost_price]]*order[[#This Row],[quantity]]-order[[#This Row],[discount]]</f>
        <v>-155598</v>
      </c>
      <c r="T197" s="3">
        <f>order[[#This Row],[quantity]]*order[[#This Row],[selling_price]]</f>
        <v>5904</v>
      </c>
    </row>
    <row r="198" spans="1:20" x14ac:dyDescent="0.3">
      <c r="A198">
        <v>197</v>
      </c>
      <c r="B198" s="11">
        <v>45622</v>
      </c>
      <c r="C198">
        <v>155</v>
      </c>
      <c r="D198" t="str">
        <f>_xlfn.XLOOKUP(order[[#This Row],[customer_id]],customer[customer_id],customer[customer_name])</f>
        <v>Siddharth Jain</v>
      </c>
      <c r="E198">
        <v>208</v>
      </c>
      <c r="F198">
        <v>2</v>
      </c>
      <c r="G198">
        <v>45615</v>
      </c>
      <c r="H198">
        <v>1277</v>
      </c>
      <c r="I198" t="s">
        <v>11</v>
      </c>
      <c r="J198" t="s">
        <v>10</v>
      </c>
      <c r="K198" t="str">
        <f>_xlfn.XLOOKUP(order[[#This Row],[customer_id]],customer[customer_id],customer[city])</f>
        <v>Pune</v>
      </c>
      <c r="L198" t="str">
        <f>_xlfn.XLOOKUP(order[[#This Row],[customer_id]],customer[customer_id],customer[state])</f>
        <v>Maharashtra</v>
      </c>
      <c r="M198" t="str">
        <f>_xlfn.XLOOKUP(order[[#This Row],[product_id]],products!$A$2:$A$11,products!$B$2:$B$11)</f>
        <v>Adidas Ultraboost Shoes</v>
      </c>
      <c r="N198" s="3" t="str">
        <f>_xlfn.XLOOKUP(order[[#This Row],[product_id]],products!$A$2:$A$11,products!$C$2:$C$11)</f>
        <v>Fashion</v>
      </c>
      <c r="O198" s="3">
        <f>_xlfn.XLOOKUP(order[[#This Row],[product_id]],Table4[product_id],Table4[cost_price])</f>
        <v>9000</v>
      </c>
      <c r="P198" s="11">
        <f>_xlfn.XLOOKUP(order[[#This Row],[order_id]],shipment[order_id],shipment[ship_date])</f>
        <v>45388</v>
      </c>
      <c r="Q198" s="11">
        <f>_xlfn.XLOOKUP(order[[#This Row],[order_id]],shipment[order_id],shipment[delivery_date])</f>
        <v>45395</v>
      </c>
      <c r="R198" s="3" t="str">
        <f>_xlfn.XLOOKUP(order[[#This Row],[order_id]],shipment[shipment_id],shipment[courier])</f>
        <v>Delhivery</v>
      </c>
      <c r="S198" s="3">
        <f>order[[#This Row],[selling_price]]-order[[#This Row],[cost_price]]*order[[#This Row],[quantity]]-order[[#This Row],[discount]]</f>
        <v>26338</v>
      </c>
      <c r="T198" s="3">
        <f>order[[#This Row],[quantity]]*order[[#This Row],[selling_price]]</f>
        <v>91230</v>
      </c>
    </row>
    <row r="199" spans="1:20" x14ac:dyDescent="0.3">
      <c r="A199">
        <v>272</v>
      </c>
      <c r="B199" s="11">
        <v>45569</v>
      </c>
      <c r="C199">
        <v>146</v>
      </c>
      <c r="D199" t="str">
        <f>_xlfn.XLOOKUP(order[[#This Row],[customer_id]],customer[customer_id],customer[customer_name])</f>
        <v>Siddharth Jain</v>
      </c>
      <c r="E199">
        <v>201</v>
      </c>
      <c r="F199">
        <v>1</v>
      </c>
      <c r="G199">
        <v>27842</v>
      </c>
      <c r="H199">
        <v>1502</v>
      </c>
      <c r="I199" t="s">
        <v>15</v>
      </c>
      <c r="J199" t="s">
        <v>10</v>
      </c>
      <c r="K199" t="str">
        <f>_xlfn.XLOOKUP(order[[#This Row],[customer_id]],customer[customer_id],customer[city])</f>
        <v>Hyderabad</v>
      </c>
      <c r="L199" t="str">
        <f>_xlfn.XLOOKUP(order[[#This Row],[customer_id]],customer[customer_id],customer[state])</f>
        <v>Telangana</v>
      </c>
      <c r="M199" t="str">
        <f>_xlfn.XLOOKUP(order[[#This Row],[product_id]],products!$A$2:$A$11,products!$B$2:$B$11)</f>
        <v>iPhone 13</v>
      </c>
      <c r="N199" s="3" t="str">
        <f>_xlfn.XLOOKUP(order[[#This Row],[product_id]],products!$A$2:$A$11,products!$C$2:$C$11)</f>
        <v>Electronics</v>
      </c>
      <c r="O199" s="3">
        <f>_xlfn.XLOOKUP(order[[#This Row],[product_id]],Table4[product_id],Table4[cost_price])</f>
        <v>52000</v>
      </c>
      <c r="P199" s="11">
        <f>_xlfn.XLOOKUP(order[[#This Row],[order_id]],shipment[order_id],shipment[ship_date])</f>
        <v>45636</v>
      </c>
      <c r="Q199" s="11">
        <f>_xlfn.XLOOKUP(order[[#This Row],[order_id]],shipment[order_id],shipment[delivery_date])</f>
        <v>45641</v>
      </c>
      <c r="R199" s="3" t="str">
        <f>_xlfn.XLOOKUP(order[[#This Row],[order_id]],shipment[shipment_id],shipment[courier])</f>
        <v>Delhivery</v>
      </c>
      <c r="S199" s="3">
        <f>order[[#This Row],[selling_price]]-order[[#This Row],[cost_price]]*order[[#This Row],[quantity]]-order[[#This Row],[discount]]</f>
        <v>-25660</v>
      </c>
      <c r="T199" s="3">
        <f>order[[#This Row],[quantity]]*order[[#This Row],[selling_price]]</f>
        <v>27842</v>
      </c>
    </row>
    <row r="200" spans="1:20" x14ac:dyDescent="0.3">
      <c r="A200">
        <v>505</v>
      </c>
      <c r="B200" s="11">
        <v>45293</v>
      </c>
      <c r="C200">
        <v>290</v>
      </c>
      <c r="D200" t="str">
        <f>_xlfn.XLOOKUP(order[[#This Row],[customer_id]],customer[customer_id],customer[customer_name])</f>
        <v>Karan Patel</v>
      </c>
      <c r="E200">
        <v>201</v>
      </c>
      <c r="F200">
        <v>4</v>
      </c>
      <c r="G200">
        <v>20015</v>
      </c>
      <c r="H200">
        <v>1391</v>
      </c>
      <c r="I200" t="s">
        <v>11</v>
      </c>
      <c r="J200" t="s">
        <v>12</v>
      </c>
      <c r="K200" t="str">
        <f>_xlfn.XLOOKUP(order[[#This Row],[customer_id]],customer[customer_id],customer[city])</f>
        <v>Pune</v>
      </c>
      <c r="L200" t="str">
        <f>_xlfn.XLOOKUP(order[[#This Row],[customer_id]],customer[customer_id],customer[state])</f>
        <v>Maharashtra</v>
      </c>
      <c r="M200" t="str">
        <f>_xlfn.XLOOKUP(order[[#This Row],[product_id]],products!$A$2:$A$11,products!$B$2:$B$11)</f>
        <v>iPhone 13</v>
      </c>
      <c r="N200" s="3" t="str">
        <f>_xlfn.XLOOKUP(order[[#This Row],[product_id]],products!$A$2:$A$11,products!$C$2:$C$11)</f>
        <v>Electronics</v>
      </c>
      <c r="O200" s="3">
        <f>_xlfn.XLOOKUP(order[[#This Row],[product_id]],Table4[product_id],Table4[cost_price])</f>
        <v>52000</v>
      </c>
      <c r="P200" s="11">
        <f>_xlfn.XLOOKUP(order[[#This Row],[order_id]],shipment[order_id],shipment[ship_date])</f>
        <v>45364</v>
      </c>
      <c r="Q200" s="11">
        <f>_xlfn.XLOOKUP(order[[#This Row],[order_id]],shipment[order_id],shipment[delivery_date])</f>
        <v>45371</v>
      </c>
      <c r="R200" s="3" t="str">
        <f>_xlfn.XLOOKUP(order[[#This Row],[order_id]],shipment[shipment_id],shipment[courier])</f>
        <v>Ekart</v>
      </c>
      <c r="S200" s="3">
        <f>order[[#This Row],[selling_price]]-order[[#This Row],[cost_price]]*order[[#This Row],[quantity]]-order[[#This Row],[discount]]</f>
        <v>-189376</v>
      </c>
      <c r="T200" s="3">
        <f>order[[#This Row],[quantity]]*order[[#This Row],[selling_price]]</f>
        <v>80060</v>
      </c>
    </row>
    <row r="201" spans="1:20" x14ac:dyDescent="0.3">
      <c r="A201">
        <v>744</v>
      </c>
      <c r="B201" s="11">
        <v>45477</v>
      </c>
      <c r="C201">
        <v>171</v>
      </c>
      <c r="D201" t="str">
        <f>_xlfn.XLOOKUP(order[[#This Row],[customer_id]],customer[customer_id],customer[customer_name])</f>
        <v>Vikram Singh</v>
      </c>
      <c r="E201">
        <v>201</v>
      </c>
      <c r="F201">
        <v>4</v>
      </c>
      <c r="G201">
        <v>30855</v>
      </c>
      <c r="H201">
        <v>1389</v>
      </c>
      <c r="I201" t="s">
        <v>9</v>
      </c>
      <c r="J201" t="s">
        <v>10</v>
      </c>
      <c r="K201" t="str">
        <f>_xlfn.XLOOKUP(order[[#This Row],[customer_id]],customer[customer_id],customer[city])</f>
        <v>Pune</v>
      </c>
      <c r="L201" t="str">
        <f>_xlfn.XLOOKUP(order[[#This Row],[customer_id]],customer[customer_id],customer[state])</f>
        <v>Maharashtra</v>
      </c>
      <c r="M201" t="str">
        <f>_xlfn.XLOOKUP(order[[#This Row],[product_id]],products!$A$2:$A$11,products!$B$2:$B$11)</f>
        <v>iPhone 13</v>
      </c>
      <c r="N201" s="3" t="str">
        <f>_xlfn.XLOOKUP(order[[#This Row],[product_id]],products!$A$2:$A$11,products!$C$2:$C$11)</f>
        <v>Electronics</v>
      </c>
      <c r="O201" s="3">
        <f>_xlfn.XLOOKUP(order[[#This Row],[product_id]],Table4[product_id],Table4[cost_price])</f>
        <v>52000</v>
      </c>
      <c r="P201" s="11">
        <f>_xlfn.XLOOKUP(order[[#This Row],[order_id]],shipment[order_id],shipment[ship_date])</f>
        <v>45515</v>
      </c>
      <c r="Q201" s="11">
        <f>_xlfn.XLOOKUP(order[[#This Row],[order_id]],shipment[order_id],shipment[delivery_date])</f>
        <v>45523</v>
      </c>
      <c r="R201" s="3" t="str">
        <f>_xlfn.XLOOKUP(order[[#This Row],[order_id]],shipment[shipment_id],shipment[courier])</f>
        <v>Ekart</v>
      </c>
      <c r="S201" s="3">
        <f>order[[#This Row],[selling_price]]-order[[#This Row],[cost_price]]*order[[#This Row],[quantity]]-order[[#This Row],[discount]]</f>
        <v>-178534</v>
      </c>
      <c r="T201" s="3">
        <f>order[[#This Row],[quantity]]*order[[#This Row],[selling_price]]</f>
        <v>123420</v>
      </c>
    </row>
    <row r="202" spans="1:20" x14ac:dyDescent="0.3">
      <c r="A202">
        <v>14</v>
      </c>
      <c r="B202" s="11">
        <v>45527</v>
      </c>
      <c r="C202">
        <v>217</v>
      </c>
      <c r="D202" t="str">
        <f>_xlfn.XLOOKUP(order[[#This Row],[customer_id]],customer[customer_id],customer[customer_name])</f>
        <v>Rahul Mehta</v>
      </c>
      <c r="E202">
        <v>201</v>
      </c>
      <c r="F202">
        <v>3</v>
      </c>
      <c r="G202">
        <v>28219</v>
      </c>
      <c r="H202">
        <v>1381</v>
      </c>
      <c r="I202" t="s">
        <v>15</v>
      </c>
      <c r="J202" t="s">
        <v>14</v>
      </c>
      <c r="K202" t="str">
        <f>_xlfn.XLOOKUP(order[[#This Row],[customer_id]],customer[customer_id],customer[city])</f>
        <v>Delhi</v>
      </c>
      <c r="L202" t="str">
        <f>_xlfn.XLOOKUP(order[[#This Row],[customer_id]],customer[customer_id],customer[state])</f>
        <v>Delhi</v>
      </c>
      <c r="M202" t="str">
        <f>_xlfn.XLOOKUP(order[[#This Row],[product_id]],products!$A$2:$A$11,products!$B$2:$B$11)</f>
        <v>iPhone 13</v>
      </c>
      <c r="N202" s="3" t="str">
        <f>_xlfn.XLOOKUP(order[[#This Row],[product_id]],products!$A$2:$A$11,products!$C$2:$C$11)</f>
        <v>Electronics</v>
      </c>
      <c r="O202" s="3">
        <f>_xlfn.XLOOKUP(order[[#This Row],[product_id]],Table4[product_id],Table4[cost_price])</f>
        <v>52000</v>
      </c>
      <c r="P202" s="11">
        <f>_xlfn.XLOOKUP(order[[#This Row],[order_id]],shipment[order_id],shipment[ship_date])</f>
        <v>45555</v>
      </c>
      <c r="Q202" s="11">
        <f>_xlfn.XLOOKUP(order[[#This Row],[order_id]],shipment[order_id],shipment[delivery_date])</f>
        <v>45556</v>
      </c>
      <c r="R202" s="3" t="str">
        <f>_xlfn.XLOOKUP(order[[#This Row],[order_id]],shipment[shipment_id],shipment[courier])</f>
        <v>DTDC</v>
      </c>
      <c r="S202" s="3">
        <f>order[[#This Row],[selling_price]]-order[[#This Row],[cost_price]]*order[[#This Row],[quantity]]-order[[#This Row],[discount]]</f>
        <v>-129162</v>
      </c>
      <c r="T202" s="3">
        <f>order[[#This Row],[quantity]]*order[[#This Row],[selling_price]]</f>
        <v>84657</v>
      </c>
    </row>
    <row r="203" spans="1:20" x14ac:dyDescent="0.3">
      <c r="A203">
        <v>202</v>
      </c>
      <c r="B203" s="11">
        <v>45588</v>
      </c>
      <c r="C203">
        <v>285</v>
      </c>
      <c r="D203" t="str">
        <f>_xlfn.XLOOKUP(order[[#This Row],[customer_id]],customer[customer_id],customer[customer_name])</f>
        <v>Priya Reddy</v>
      </c>
      <c r="E203">
        <v>206</v>
      </c>
      <c r="F203">
        <v>4</v>
      </c>
      <c r="G203">
        <v>38928</v>
      </c>
      <c r="H203">
        <v>3070</v>
      </c>
      <c r="I203" t="s">
        <v>13</v>
      </c>
      <c r="J203" t="s">
        <v>10</v>
      </c>
      <c r="K203" t="str">
        <f>_xlfn.XLOOKUP(order[[#This Row],[customer_id]],customer[customer_id],customer[city])</f>
        <v>Delhi</v>
      </c>
      <c r="L203" t="str">
        <f>_xlfn.XLOOKUP(order[[#This Row],[customer_id]],customer[customer_id],customer[state])</f>
        <v>Delhi</v>
      </c>
      <c r="M203" t="str">
        <f>_xlfn.XLOOKUP(order[[#This Row],[product_id]],products!$A$2:$A$11,products!$B$2:$B$11)</f>
        <v>Philips Air Fryer</v>
      </c>
      <c r="N203" s="3" t="str">
        <f>_xlfn.XLOOKUP(order[[#This Row],[product_id]],products!$A$2:$A$11,products!$C$2:$C$11)</f>
        <v>Home &amp; Kitchen</v>
      </c>
      <c r="O203" s="3">
        <f>_xlfn.XLOOKUP(order[[#This Row],[product_id]],Table4[product_id],Table4[cost_price])</f>
        <v>7000</v>
      </c>
      <c r="P203" s="11">
        <f>_xlfn.XLOOKUP(order[[#This Row],[order_id]],shipment[order_id],shipment[ship_date])</f>
        <v>45293</v>
      </c>
      <c r="Q203" s="11">
        <f>_xlfn.XLOOKUP(order[[#This Row],[order_id]],shipment[order_id],shipment[delivery_date])</f>
        <v>45303</v>
      </c>
      <c r="R203" s="3" t="str">
        <f>_xlfn.XLOOKUP(order[[#This Row],[order_id]],shipment[shipment_id],shipment[courier])</f>
        <v>DTDC</v>
      </c>
      <c r="S203" s="3">
        <f>order[[#This Row],[selling_price]]-order[[#This Row],[cost_price]]*order[[#This Row],[quantity]]-order[[#This Row],[discount]]</f>
        <v>7858</v>
      </c>
      <c r="T203" s="3">
        <f>order[[#This Row],[quantity]]*order[[#This Row],[selling_price]]</f>
        <v>155712</v>
      </c>
    </row>
    <row r="204" spans="1:20" x14ac:dyDescent="0.3">
      <c r="A204">
        <v>203</v>
      </c>
      <c r="B204" s="11">
        <v>45340</v>
      </c>
      <c r="C204">
        <v>277</v>
      </c>
      <c r="D204" t="str">
        <f>_xlfn.XLOOKUP(order[[#This Row],[customer_id]],customer[customer_id],customer[customer_name])</f>
        <v>Ananya Gupta</v>
      </c>
      <c r="E204">
        <v>209</v>
      </c>
      <c r="F204">
        <v>3</v>
      </c>
      <c r="G204">
        <v>19322</v>
      </c>
      <c r="H204">
        <v>4102</v>
      </c>
      <c r="I204" t="s">
        <v>13</v>
      </c>
      <c r="J204" t="s">
        <v>14</v>
      </c>
      <c r="K204" t="str">
        <f>_xlfn.XLOOKUP(order[[#This Row],[customer_id]],customer[customer_id],customer[city])</f>
        <v>Bangalore</v>
      </c>
      <c r="L204" t="str">
        <f>_xlfn.XLOOKUP(order[[#This Row],[customer_id]],customer[customer_id],customer[state])</f>
        <v>Karnataka</v>
      </c>
      <c r="M204" t="str">
        <f>_xlfn.XLOOKUP(order[[#This Row],[product_id]],products!$A$2:$A$11,products!$B$2:$B$11)</f>
        <v>Milton Thermosteel Bottle</v>
      </c>
      <c r="N204" s="3" t="str">
        <f>_xlfn.XLOOKUP(order[[#This Row],[product_id]],products!$A$2:$A$11,products!$C$2:$C$11)</f>
        <v>Home &amp; Kitchen</v>
      </c>
      <c r="O204" s="3">
        <f>_xlfn.XLOOKUP(order[[#This Row],[product_id]],Table4[product_id],Table4[cost_price])</f>
        <v>800</v>
      </c>
      <c r="P204" s="11">
        <f>_xlfn.XLOOKUP(order[[#This Row],[order_id]],shipment[order_id],shipment[ship_date])</f>
        <v>45349</v>
      </c>
      <c r="Q204" s="11">
        <f>_xlfn.XLOOKUP(order[[#This Row],[order_id]],shipment[order_id],shipment[delivery_date])</f>
        <v>45358</v>
      </c>
      <c r="R204" s="3" t="str">
        <f>_xlfn.XLOOKUP(order[[#This Row],[order_id]],shipment[shipment_id],shipment[courier])</f>
        <v>Delhivery</v>
      </c>
      <c r="S204" s="3">
        <f>order[[#This Row],[selling_price]]-order[[#This Row],[cost_price]]*order[[#This Row],[quantity]]-order[[#This Row],[discount]]</f>
        <v>12820</v>
      </c>
      <c r="T204" s="3">
        <f>order[[#This Row],[quantity]]*order[[#This Row],[selling_price]]</f>
        <v>57966</v>
      </c>
    </row>
    <row r="205" spans="1:20" x14ac:dyDescent="0.3">
      <c r="A205">
        <v>204</v>
      </c>
      <c r="B205" s="11">
        <v>45325</v>
      </c>
      <c r="C205">
        <v>111</v>
      </c>
      <c r="D205" t="str">
        <f>_xlfn.XLOOKUP(order[[#This Row],[customer_id]],customer[customer_id],customer[customer_name])</f>
        <v>Ishita Bose</v>
      </c>
      <c r="E205">
        <v>204</v>
      </c>
      <c r="F205">
        <v>4</v>
      </c>
      <c r="G205">
        <v>52396</v>
      </c>
      <c r="H205">
        <v>105</v>
      </c>
      <c r="I205" t="s">
        <v>11</v>
      </c>
      <c r="J205" t="s">
        <v>14</v>
      </c>
      <c r="K205" t="str">
        <f>_xlfn.XLOOKUP(order[[#This Row],[customer_id]],customer[customer_id],customer[city])</f>
        <v>Ahmedabad</v>
      </c>
      <c r="L205" t="str">
        <f>_xlfn.XLOOKUP(order[[#This Row],[customer_id]],customer[customer_id],customer[state])</f>
        <v>Gujarat</v>
      </c>
      <c r="M205" t="str">
        <f>_xlfn.XLOOKUP(order[[#This Row],[product_id]],products!$A$2:$A$11,products!$B$2:$B$11)</f>
        <v>Levi's Slim Fit Jeans</v>
      </c>
      <c r="N205" s="3" t="str">
        <f>_xlfn.XLOOKUP(order[[#This Row],[product_id]],products!$A$2:$A$11,products!$C$2:$C$11)</f>
        <v>Fashion</v>
      </c>
      <c r="O205" s="3">
        <f>_xlfn.XLOOKUP(order[[#This Row],[product_id]],Table4[product_id],Table4[cost_price])</f>
        <v>1800</v>
      </c>
      <c r="P205" s="11">
        <f>_xlfn.XLOOKUP(order[[#This Row],[order_id]],shipment[order_id],shipment[ship_date])</f>
        <v>45511</v>
      </c>
      <c r="Q205" s="11">
        <f>_xlfn.XLOOKUP(order[[#This Row],[order_id]],shipment[order_id],shipment[delivery_date])</f>
        <v>45518</v>
      </c>
      <c r="R205" s="3" t="str">
        <f>_xlfn.XLOOKUP(order[[#This Row],[order_id]],shipment[shipment_id],shipment[courier])</f>
        <v>Ekart</v>
      </c>
      <c r="S205" s="3">
        <f>order[[#This Row],[selling_price]]-order[[#This Row],[cost_price]]*order[[#This Row],[quantity]]-order[[#This Row],[discount]]</f>
        <v>45091</v>
      </c>
      <c r="T205" s="3">
        <f>order[[#This Row],[quantity]]*order[[#This Row],[selling_price]]</f>
        <v>209584</v>
      </c>
    </row>
    <row r="206" spans="1:20" x14ac:dyDescent="0.3">
      <c r="A206">
        <v>205</v>
      </c>
      <c r="B206" s="11">
        <v>45538</v>
      </c>
      <c r="C206">
        <v>225</v>
      </c>
      <c r="D206" t="str">
        <f>_xlfn.XLOOKUP(order[[#This Row],[customer_id]],customer[customer_id],customer[customer_name])</f>
        <v>Aarav Sharma</v>
      </c>
      <c r="E206">
        <v>208</v>
      </c>
      <c r="F206">
        <v>1</v>
      </c>
      <c r="G206">
        <v>18924</v>
      </c>
      <c r="H206">
        <v>1413</v>
      </c>
      <c r="I206" t="s">
        <v>15</v>
      </c>
      <c r="J206" t="s">
        <v>14</v>
      </c>
      <c r="K206" t="str">
        <f>_xlfn.XLOOKUP(order[[#This Row],[customer_id]],customer[customer_id],customer[city])</f>
        <v>Bangalore</v>
      </c>
      <c r="L206" t="str">
        <f>_xlfn.XLOOKUP(order[[#This Row],[customer_id]],customer[customer_id],customer[state])</f>
        <v>Karnataka</v>
      </c>
      <c r="M206" t="str">
        <f>_xlfn.XLOOKUP(order[[#This Row],[product_id]],products!$A$2:$A$11,products!$B$2:$B$11)</f>
        <v>Adidas Ultraboost Shoes</v>
      </c>
      <c r="N206" s="3" t="str">
        <f>_xlfn.XLOOKUP(order[[#This Row],[product_id]],products!$A$2:$A$11,products!$C$2:$C$11)</f>
        <v>Fashion</v>
      </c>
      <c r="O206" s="3">
        <f>_xlfn.XLOOKUP(order[[#This Row],[product_id]],Table4[product_id],Table4[cost_price])</f>
        <v>9000</v>
      </c>
      <c r="P206" s="11">
        <f>_xlfn.XLOOKUP(order[[#This Row],[order_id]],shipment[order_id],shipment[ship_date])</f>
        <v>45318</v>
      </c>
      <c r="Q206" s="11">
        <f>_xlfn.XLOOKUP(order[[#This Row],[order_id]],shipment[order_id],shipment[delivery_date])</f>
        <v>45324</v>
      </c>
      <c r="R206" s="3" t="str">
        <f>_xlfn.XLOOKUP(order[[#This Row],[order_id]],shipment[shipment_id],shipment[courier])</f>
        <v>DTDC</v>
      </c>
      <c r="S206" s="3">
        <f>order[[#This Row],[selling_price]]-order[[#This Row],[cost_price]]*order[[#This Row],[quantity]]-order[[#This Row],[discount]]</f>
        <v>8511</v>
      </c>
      <c r="T206" s="3">
        <f>order[[#This Row],[quantity]]*order[[#This Row],[selling_price]]</f>
        <v>18924</v>
      </c>
    </row>
    <row r="207" spans="1:20" x14ac:dyDescent="0.3">
      <c r="A207">
        <v>206</v>
      </c>
      <c r="B207" s="11">
        <v>45407</v>
      </c>
      <c r="C207">
        <v>122</v>
      </c>
      <c r="D207" t="str">
        <f>_xlfn.XLOOKUP(order[[#This Row],[customer_id]],customer[customer_id],customer[customer_name])</f>
        <v>Priya Reddy</v>
      </c>
      <c r="E207">
        <v>204</v>
      </c>
      <c r="F207">
        <v>2</v>
      </c>
      <c r="G207">
        <v>31975</v>
      </c>
      <c r="H207">
        <v>1255</v>
      </c>
      <c r="I207" t="s">
        <v>15</v>
      </c>
      <c r="J207" t="s">
        <v>14</v>
      </c>
      <c r="K207" t="str">
        <f>_xlfn.XLOOKUP(order[[#This Row],[customer_id]],customer[customer_id],customer[city])</f>
        <v>Hyderabad</v>
      </c>
      <c r="L207" t="str">
        <f>_xlfn.XLOOKUP(order[[#This Row],[customer_id]],customer[customer_id],customer[state])</f>
        <v>Telangana</v>
      </c>
      <c r="M207" t="str">
        <f>_xlfn.XLOOKUP(order[[#This Row],[product_id]],products!$A$2:$A$11,products!$B$2:$B$11)</f>
        <v>Levi's Slim Fit Jeans</v>
      </c>
      <c r="N207" s="3" t="str">
        <f>_xlfn.XLOOKUP(order[[#This Row],[product_id]],products!$A$2:$A$11,products!$C$2:$C$11)</f>
        <v>Fashion</v>
      </c>
      <c r="O207" s="3">
        <f>_xlfn.XLOOKUP(order[[#This Row],[product_id]],Table4[product_id],Table4[cost_price])</f>
        <v>1800</v>
      </c>
      <c r="P207" s="11">
        <f>_xlfn.XLOOKUP(order[[#This Row],[order_id]],shipment[order_id],shipment[ship_date])</f>
        <v>45645</v>
      </c>
      <c r="Q207" s="11">
        <f>_xlfn.XLOOKUP(order[[#This Row],[order_id]],shipment[order_id],shipment[delivery_date])</f>
        <v>45646</v>
      </c>
      <c r="R207" s="3" t="str">
        <f>_xlfn.XLOOKUP(order[[#This Row],[order_id]],shipment[shipment_id],shipment[courier])</f>
        <v>Delhivery</v>
      </c>
      <c r="S207" s="3">
        <f>order[[#This Row],[selling_price]]-order[[#This Row],[cost_price]]*order[[#This Row],[quantity]]-order[[#This Row],[discount]]</f>
        <v>27120</v>
      </c>
      <c r="T207" s="3">
        <f>order[[#This Row],[quantity]]*order[[#This Row],[selling_price]]</f>
        <v>63950</v>
      </c>
    </row>
    <row r="208" spans="1:20" x14ac:dyDescent="0.3">
      <c r="A208">
        <v>207</v>
      </c>
      <c r="B208" s="11">
        <v>45420</v>
      </c>
      <c r="C208">
        <v>207</v>
      </c>
      <c r="D208" t="str">
        <f>_xlfn.XLOOKUP(order[[#This Row],[customer_id]],customer[customer_id],customer[customer_name])</f>
        <v>Neha Kapoor</v>
      </c>
      <c r="E208">
        <v>204</v>
      </c>
      <c r="F208">
        <v>1</v>
      </c>
      <c r="G208">
        <v>31714</v>
      </c>
      <c r="H208">
        <v>1856</v>
      </c>
      <c r="I208" t="s">
        <v>11</v>
      </c>
      <c r="J208" t="s">
        <v>10</v>
      </c>
      <c r="K208" t="str">
        <f>_xlfn.XLOOKUP(order[[#This Row],[customer_id]],customer[customer_id],customer[city])</f>
        <v>Mumbai</v>
      </c>
      <c r="L208" t="str">
        <f>_xlfn.XLOOKUP(order[[#This Row],[customer_id]],customer[customer_id],customer[state])</f>
        <v>Maharashtra</v>
      </c>
      <c r="M208" t="str">
        <f>_xlfn.XLOOKUP(order[[#This Row],[product_id]],products!$A$2:$A$11,products!$B$2:$B$11)</f>
        <v>Levi's Slim Fit Jeans</v>
      </c>
      <c r="N208" s="3" t="str">
        <f>_xlfn.XLOOKUP(order[[#This Row],[product_id]],products!$A$2:$A$11,products!$C$2:$C$11)</f>
        <v>Fashion</v>
      </c>
      <c r="O208" s="3">
        <f>_xlfn.XLOOKUP(order[[#This Row],[product_id]],Table4[product_id],Table4[cost_price])</f>
        <v>1800</v>
      </c>
      <c r="P208" s="11">
        <f>_xlfn.XLOOKUP(order[[#This Row],[order_id]],shipment[order_id],shipment[ship_date])</f>
        <v>45344</v>
      </c>
      <c r="Q208" s="11">
        <f>_xlfn.XLOOKUP(order[[#This Row],[order_id]],shipment[order_id],shipment[delivery_date])</f>
        <v>45352</v>
      </c>
      <c r="R208" s="3" t="str">
        <f>_xlfn.XLOOKUP(order[[#This Row],[order_id]],shipment[shipment_id],shipment[courier])</f>
        <v>BlueDart</v>
      </c>
      <c r="S208" s="3">
        <f>order[[#This Row],[selling_price]]-order[[#This Row],[cost_price]]*order[[#This Row],[quantity]]-order[[#This Row],[discount]]</f>
        <v>28058</v>
      </c>
      <c r="T208" s="3">
        <f>order[[#This Row],[quantity]]*order[[#This Row],[selling_price]]</f>
        <v>31714</v>
      </c>
    </row>
    <row r="209" spans="1:20" x14ac:dyDescent="0.3">
      <c r="A209">
        <v>208</v>
      </c>
      <c r="B209" s="11">
        <v>45599</v>
      </c>
      <c r="C209">
        <v>156</v>
      </c>
      <c r="D209" t="str">
        <f>_xlfn.XLOOKUP(order[[#This Row],[customer_id]],customer[customer_id],customer[customer_name])</f>
        <v>Arjun Nair</v>
      </c>
      <c r="E209">
        <v>205</v>
      </c>
      <c r="F209">
        <v>3</v>
      </c>
      <c r="G209">
        <v>13761</v>
      </c>
      <c r="H209">
        <v>1659</v>
      </c>
      <c r="I209" t="s">
        <v>9</v>
      </c>
      <c r="J209" t="s">
        <v>10</v>
      </c>
      <c r="K209" t="str">
        <f>_xlfn.XLOOKUP(order[[#This Row],[customer_id]],customer[customer_id],customer[city])</f>
        <v>Bangalore</v>
      </c>
      <c r="L209" t="str">
        <f>_xlfn.XLOOKUP(order[[#This Row],[customer_id]],customer[customer_id],customer[state])</f>
        <v>Karnataka</v>
      </c>
      <c r="M209" t="str">
        <f>_xlfn.XLOOKUP(order[[#This Row],[product_id]],products!$A$2:$A$11,products!$B$2:$B$11)</f>
        <v>Prestige Pressure Cooker 5L</v>
      </c>
      <c r="N209" s="3" t="str">
        <f>_xlfn.XLOOKUP(order[[#This Row],[product_id]],products!$A$2:$A$11,products!$C$2:$C$11)</f>
        <v>Home &amp; Kitchen</v>
      </c>
      <c r="O209" s="3">
        <f>_xlfn.XLOOKUP(order[[#This Row],[product_id]],Table4[product_id],Table4[cost_price])</f>
        <v>1200</v>
      </c>
      <c r="P209" s="11">
        <f>_xlfn.XLOOKUP(order[[#This Row],[order_id]],shipment[order_id],shipment[ship_date])</f>
        <v>45301</v>
      </c>
      <c r="Q209" s="11">
        <f>_xlfn.XLOOKUP(order[[#This Row],[order_id]],shipment[order_id],shipment[delivery_date])</f>
        <v>45311</v>
      </c>
      <c r="R209" s="3" t="str">
        <f>_xlfn.XLOOKUP(order[[#This Row],[order_id]],shipment[shipment_id],shipment[courier])</f>
        <v>DTDC</v>
      </c>
      <c r="S209" s="3">
        <f>order[[#This Row],[selling_price]]-order[[#This Row],[cost_price]]*order[[#This Row],[quantity]]-order[[#This Row],[discount]]</f>
        <v>8502</v>
      </c>
      <c r="T209" s="3">
        <f>order[[#This Row],[quantity]]*order[[#This Row],[selling_price]]</f>
        <v>41283</v>
      </c>
    </row>
    <row r="210" spans="1:20" x14ac:dyDescent="0.3">
      <c r="A210">
        <v>209</v>
      </c>
      <c r="B210" s="11">
        <v>45450</v>
      </c>
      <c r="C210">
        <v>134</v>
      </c>
      <c r="D210" t="str">
        <f>_xlfn.XLOOKUP(order[[#This Row],[customer_id]],customer[customer_id],customer[customer_name])</f>
        <v>Rohit Verma</v>
      </c>
      <c r="E210">
        <v>205</v>
      </c>
      <c r="F210">
        <v>2</v>
      </c>
      <c r="G210">
        <v>15811</v>
      </c>
      <c r="H210">
        <v>1369</v>
      </c>
      <c r="I210" t="s">
        <v>13</v>
      </c>
      <c r="J210" t="s">
        <v>12</v>
      </c>
      <c r="K210" t="str">
        <f>_xlfn.XLOOKUP(order[[#This Row],[customer_id]],customer[customer_id],customer[city])</f>
        <v>Hyderabad</v>
      </c>
      <c r="L210" t="str">
        <f>_xlfn.XLOOKUP(order[[#This Row],[customer_id]],customer[customer_id],customer[state])</f>
        <v>Telangana</v>
      </c>
      <c r="M210" t="str">
        <f>_xlfn.XLOOKUP(order[[#This Row],[product_id]],products!$A$2:$A$11,products!$B$2:$B$11)</f>
        <v>Prestige Pressure Cooker 5L</v>
      </c>
      <c r="N210" s="3" t="str">
        <f>_xlfn.XLOOKUP(order[[#This Row],[product_id]],products!$A$2:$A$11,products!$C$2:$C$11)</f>
        <v>Home &amp; Kitchen</v>
      </c>
      <c r="O210" s="3">
        <f>_xlfn.XLOOKUP(order[[#This Row],[product_id]],Table4[product_id],Table4[cost_price])</f>
        <v>1200</v>
      </c>
      <c r="P210" s="11">
        <f>_xlfn.XLOOKUP(order[[#This Row],[order_id]],shipment[order_id],shipment[ship_date])</f>
        <v>45314</v>
      </c>
      <c r="Q210" s="11">
        <f>_xlfn.XLOOKUP(order[[#This Row],[order_id]],shipment[order_id],shipment[delivery_date])</f>
        <v>45323</v>
      </c>
      <c r="R210" s="3" t="str">
        <f>_xlfn.XLOOKUP(order[[#This Row],[order_id]],shipment[shipment_id],shipment[courier])</f>
        <v>Ekart</v>
      </c>
      <c r="S210" s="3">
        <f>order[[#This Row],[selling_price]]-order[[#This Row],[cost_price]]*order[[#This Row],[quantity]]-order[[#This Row],[discount]]</f>
        <v>12042</v>
      </c>
      <c r="T210" s="3">
        <f>order[[#This Row],[quantity]]*order[[#This Row],[selling_price]]</f>
        <v>31622</v>
      </c>
    </row>
    <row r="211" spans="1:20" x14ac:dyDescent="0.3">
      <c r="A211">
        <v>210</v>
      </c>
      <c r="B211" s="11">
        <v>45298</v>
      </c>
      <c r="C211">
        <v>264</v>
      </c>
      <c r="D211" t="str">
        <f>_xlfn.XLOOKUP(order[[#This Row],[customer_id]],customer[customer_id],customer[customer_name])</f>
        <v>Ishita Bose</v>
      </c>
      <c r="E211">
        <v>206</v>
      </c>
      <c r="F211">
        <v>3</v>
      </c>
      <c r="G211">
        <v>51366</v>
      </c>
      <c r="H211">
        <v>551</v>
      </c>
      <c r="I211" t="s">
        <v>13</v>
      </c>
      <c r="J211" t="s">
        <v>14</v>
      </c>
      <c r="K211" t="str">
        <f>_xlfn.XLOOKUP(order[[#This Row],[customer_id]],customer[customer_id],customer[city])</f>
        <v>Delhi</v>
      </c>
      <c r="L211" t="str">
        <f>_xlfn.XLOOKUP(order[[#This Row],[customer_id]],customer[customer_id],customer[state])</f>
        <v>Delhi</v>
      </c>
      <c r="M211" t="str">
        <f>_xlfn.XLOOKUP(order[[#This Row],[product_id]],products!$A$2:$A$11,products!$B$2:$B$11)</f>
        <v>Philips Air Fryer</v>
      </c>
      <c r="N211" s="3" t="str">
        <f>_xlfn.XLOOKUP(order[[#This Row],[product_id]],products!$A$2:$A$11,products!$C$2:$C$11)</f>
        <v>Home &amp; Kitchen</v>
      </c>
      <c r="O211" s="3">
        <f>_xlfn.XLOOKUP(order[[#This Row],[product_id]],Table4[product_id],Table4[cost_price])</f>
        <v>7000</v>
      </c>
      <c r="P211" s="11">
        <f>_xlfn.XLOOKUP(order[[#This Row],[order_id]],shipment[order_id],shipment[ship_date])</f>
        <v>45475</v>
      </c>
      <c r="Q211" s="11">
        <f>_xlfn.XLOOKUP(order[[#This Row],[order_id]],shipment[order_id],shipment[delivery_date])</f>
        <v>45481</v>
      </c>
      <c r="R211" s="3" t="str">
        <f>_xlfn.XLOOKUP(order[[#This Row],[order_id]],shipment[shipment_id],shipment[courier])</f>
        <v>BlueDart</v>
      </c>
      <c r="S211" s="3">
        <f>order[[#This Row],[selling_price]]-order[[#This Row],[cost_price]]*order[[#This Row],[quantity]]-order[[#This Row],[discount]]</f>
        <v>29815</v>
      </c>
      <c r="T211" s="3">
        <f>order[[#This Row],[quantity]]*order[[#This Row],[selling_price]]</f>
        <v>154098</v>
      </c>
    </row>
    <row r="212" spans="1:20" x14ac:dyDescent="0.3">
      <c r="A212">
        <v>211</v>
      </c>
      <c r="B212" s="11">
        <v>45372</v>
      </c>
      <c r="C212">
        <v>135</v>
      </c>
      <c r="D212" t="str">
        <f>_xlfn.XLOOKUP(order[[#This Row],[customer_id]],customer[customer_id],customer[customer_name])</f>
        <v>Manish Yadav</v>
      </c>
      <c r="E212">
        <v>205</v>
      </c>
      <c r="F212">
        <v>1</v>
      </c>
      <c r="G212">
        <v>23943</v>
      </c>
      <c r="H212">
        <v>843</v>
      </c>
      <c r="I212" t="s">
        <v>15</v>
      </c>
      <c r="J212" t="s">
        <v>10</v>
      </c>
      <c r="K212" t="str">
        <f>_xlfn.XLOOKUP(order[[#This Row],[customer_id]],customer[customer_id],customer[city])</f>
        <v>Bangalore</v>
      </c>
      <c r="L212" t="str">
        <f>_xlfn.XLOOKUP(order[[#This Row],[customer_id]],customer[customer_id],customer[state])</f>
        <v>Karnataka</v>
      </c>
      <c r="M212" t="str">
        <f>_xlfn.XLOOKUP(order[[#This Row],[product_id]],products!$A$2:$A$11,products!$B$2:$B$11)</f>
        <v>Prestige Pressure Cooker 5L</v>
      </c>
      <c r="N212" s="3" t="str">
        <f>_xlfn.XLOOKUP(order[[#This Row],[product_id]],products!$A$2:$A$11,products!$C$2:$C$11)</f>
        <v>Home &amp; Kitchen</v>
      </c>
      <c r="O212" s="3">
        <f>_xlfn.XLOOKUP(order[[#This Row],[product_id]],Table4[product_id],Table4[cost_price])</f>
        <v>1200</v>
      </c>
      <c r="P212" s="11">
        <f>_xlfn.XLOOKUP(order[[#This Row],[order_id]],shipment[order_id],shipment[ship_date])</f>
        <v>45425</v>
      </c>
      <c r="Q212" s="11">
        <f>_xlfn.XLOOKUP(order[[#This Row],[order_id]],shipment[order_id],shipment[delivery_date])</f>
        <v>45426</v>
      </c>
      <c r="R212" s="3" t="str">
        <f>_xlfn.XLOOKUP(order[[#This Row],[order_id]],shipment[shipment_id],shipment[courier])</f>
        <v>BlueDart</v>
      </c>
      <c r="S212" s="3">
        <f>order[[#This Row],[selling_price]]-order[[#This Row],[cost_price]]*order[[#This Row],[quantity]]-order[[#This Row],[discount]]</f>
        <v>21900</v>
      </c>
      <c r="T212" s="3">
        <f>order[[#This Row],[quantity]]*order[[#This Row],[selling_price]]</f>
        <v>23943</v>
      </c>
    </row>
    <row r="213" spans="1:20" x14ac:dyDescent="0.3">
      <c r="A213">
        <v>154</v>
      </c>
      <c r="B213" s="11">
        <v>45421</v>
      </c>
      <c r="C213">
        <v>153</v>
      </c>
      <c r="D213" t="str">
        <f>_xlfn.XLOOKUP(order[[#This Row],[customer_id]],customer[customer_id],customer[customer_name])</f>
        <v>Meera Joshi</v>
      </c>
      <c r="E213">
        <v>201</v>
      </c>
      <c r="F213">
        <v>3</v>
      </c>
      <c r="G213">
        <v>50323</v>
      </c>
      <c r="H213">
        <v>1376</v>
      </c>
      <c r="I213" t="s">
        <v>13</v>
      </c>
      <c r="J213" t="s">
        <v>14</v>
      </c>
      <c r="K213" t="str">
        <f>_xlfn.XLOOKUP(order[[#This Row],[customer_id]],customer[customer_id],customer[city])</f>
        <v>Ahmedabad</v>
      </c>
      <c r="L213" t="str">
        <f>_xlfn.XLOOKUP(order[[#This Row],[customer_id]],customer[customer_id],customer[state])</f>
        <v>Gujarat</v>
      </c>
      <c r="M213" t="str">
        <f>_xlfn.XLOOKUP(order[[#This Row],[product_id]],products!$A$2:$A$11,products!$B$2:$B$11)</f>
        <v>iPhone 13</v>
      </c>
      <c r="N213" s="3" t="str">
        <f>_xlfn.XLOOKUP(order[[#This Row],[product_id]],products!$A$2:$A$11,products!$C$2:$C$11)</f>
        <v>Electronics</v>
      </c>
      <c r="O213" s="3">
        <f>_xlfn.XLOOKUP(order[[#This Row],[product_id]],Table4[product_id],Table4[cost_price])</f>
        <v>52000</v>
      </c>
      <c r="P213" s="11">
        <f>_xlfn.XLOOKUP(order[[#This Row],[order_id]],shipment[order_id],shipment[ship_date])</f>
        <v>45656</v>
      </c>
      <c r="Q213" s="11">
        <f>_xlfn.XLOOKUP(order[[#This Row],[order_id]],shipment[order_id],shipment[delivery_date])</f>
        <v>45664</v>
      </c>
      <c r="R213" s="3" t="str">
        <f>_xlfn.XLOOKUP(order[[#This Row],[order_id]],shipment[shipment_id],shipment[courier])</f>
        <v>DTDC</v>
      </c>
      <c r="S213" s="3">
        <f>order[[#This Row],[selling_price]]-order[[#This Row],[cost_price]]*order[[#This Row],[quantity]]-order[[#This Row],[discount]]</f>
        <v>-107053</v>
      </c>
      <c r="T213" s="3">
        <f>order[[#This Row],[quantity]]*order[[#This Row],[selling_price]]</f>
        <v>150969</v>
      </c>
    </row>
    <row r="214" spans="1:20" x14ac:dyDescent="0.3">
      <c r="A214">
        <v>854</v>
      </c>
      <c r="B214" s="11">
        <v>45625</v>
      </c>
      <c r="C214">
        <v>108</v>
      </c>
      <c r="D214" t="str">
        <f>_xlfn.XLOOKUP(order[[#This Row],[customer_id]],customer[customer_id],customer[customer_name])</f>
        <v>Arjun Nair</v>
      </c>
      <c r="E214">
        <v>201</v>
      </c>
      <c r="F214">
        <v>2</v>
      </c>
      <c r="G214">
        <v>58082</v>
      </c>
      <c r="H214">
        <v>1363</v>
      </c>
      <c r="I214" t="s">
        <v>13</v>
      </c>
      <c r="J214" t="s">
        <v>12</v>
      </c>
      <c r="K214" t="str">
        <f>_xlfn.XLOOKUP(order[[#This Row],[customer_id]],customer[customer_id],customer[city])</f>
        <v>Ahmedabad</v>
      </c>
      <c r="L214" t="str">
        <f>_xlfn.XLOOKUP(order[[#This Row],[customer_id]],customer[customer_id],customer[state])</f>
        <v>Gujarat</v>
      </c>
      <c r="M214" t="str">
        <f>_xlfn.XLOOKUP(order[[#This Row],[product_id]],products!$A$2:$A$11,products!$B$2:$B$11)</f>
        <v>iPhone 13</v>
      </c>
      <c r="N214" s="3" t="str">
        <f>_xlfn.XLOOKUP(order[[#This Row],[product_id]],products!$A$2:$A$11,products!$C$2:$C$11)</f>
        <v>Electronics</v>
      </c>
      <c r="O214" s="3">
        <f>_xlfn.XLOOKUP(order[[#This Row],[product_id]],Table4[product_id],Table4[cost_price])</f>
        <v>52000</v>
      </c>
      <c r="P214" s="11">
        <f>_xlfn.XLOOKUP(order[[#This Row],[order_id]],shipment[order_id],shipment[ship_date])</f>
        <v>45315</v>
      </c>
      <c r="Q214" s="11">
        <f>_xlfn.XLOOKUP(order[[#This Row],[order_id]],shipment[order_id],shipment[delivery_date])</f>
        <v>45321</v>
      </c>
      <c r="R214" s="3" t="str">
        <f>_xlfn.XLOOKUP(order[[#This Row],[order_id]],shipment[shipment_id],shipment[courier])</f>
        <v>Delhivery</v>
      </c>
      <c r="S214" s="3">
        <f>order[[#This Row],[selling_price]]-order[[#This Row],[cost_price]]*order[[#This Row],[quantity]]-order[[#This Row],[discount]]</f>
        <v>-47281</v>
      </c>
      <c r="T214" s="3">
        <f>order[[#This Row],[quantity]]*order[[#This Row],[selling_price]]</f>
        <v>116164</v>
      </c>
    </row>
    <row r="215" spans="1:20" x14ac:dyDescent="0.3">
      <c r="A215">
        <v>1196</v>
      </c>
      <c r="B215" s="11">
        <v>45427</v>
      </c>
      <c r="C215">
        <v>104</v>
      </c>
      <c r="D215" t="str">
        <f>_xlfn.XLOOKUP(order[[#This Row],[customer_id]],customer[customer_id],customer[customer_name])</f>
        <v>Aarav Sharma</v>
      </c>
      <c r="E215">
        <v>201</v>
      </c>
      <c r="F215">
        <v>4</v>
      </c>
      <c r="G215">
        <v>60641</v>
      </c>
      <c r="H215">
        <v>1362</v>
      </c>
      <c r="I215" t="s">
        <v>9</v>
      </c>
      <c r="J215" t="s">
        <v>12</v>
      </c>
      <c r="K215" t="str">
        <f>_xlfn.XLOOKUP(order[[#This Row],[customer_id]],customer[customer_id],customer[city])</f>
        <v>Bangalore</v>
      </c>
      <c r="L215" t="str">
        <f>_xlfn.XLOOKUP(order[[#This Row],[customer_id]],customer[customer_id],customer[state])</f>
        <v>Karnataka</v>
      </c>
      <c r="M215" t="str">
        <f>_xlfn.XLOOKUP(order[[#This Row],[product_id]],products!$A$2:$A$11,products!$B$2:$B$11)</f>
        <v>iPhone 13</v>
      </c>
      <c r="N215" s="3" t="str">
        <f>_xlfn.XLOOKUP(order[[#This Row],[product_id]],products!$A$2:$A$11,products!$C$2:$C$11)</f>
        <v>Electronics</v>
      </c>
      <c r="O215" s="3">
        <f>_xlfn.XLOOKUP(order[[#This Row],[product_id]],Table4[product_id],Table4[cost_price])</f>
        <v>52000</v>
      </c>
      <c r="P215" s="11">
        <f>_xlfn.XLOOKUP(order[[#This Row],[order_id]],shipment[order_id],shipment[ship_date])</f>
        <v>45351</v>
      </c>
      <c r="Q215" s="11">
        <f>_xlfn.XLOOKUP(order[[#This Row],[order_id]],shipment[order_id],shipment[delivery_date])</f>
        <v>45361</v>
      </c>
      <c r="R215" s="3" t="str">
        <f>_xlfn.XLOOKUP(order[[#This Row],[order_id]],shipment[shipment_id],shipment[courier])</f>
        <v>Ekart</v>
      </c>
      <c r="S215" s="3">
        <f>order[[#This Row],[selling_price]]-order[[#This Row],[cost_price]]*order[[#This Row],[quantity]]-order[[#This Row],[discount]]</f>
        <v>-148721</v>
      </c>
      <c r="T215" s="3">
        <f>order[[#This Row],[quantity]]*order[[#This Row],[selling_price]]</f>
        <v>242564</v>
      </c>
    </row>
    <row r="216" spans="1:20" x14ac:dyDescent="0.3">
      <c r="A216">
        <v>215</v>
      </c>
      <c r="B216" s="11">
        <v>45364</v>
      </c>
      <c r="C216">
        <v>288</v>
      </c>
      <c r="D216" t="str">
        <f>_xlfn.XLOOKUP(order[[#This Row],[customer_id]],customer[customer_id],customer[customer_name])</f>
        <v>Pooja Nair</v>
      </c>
      <c r="E216">
        <v>203</v>
      </c>
      <c r="F216">
        <v>3</v>
      </c>
      <c r="G216">
        <v>35370</v>
      </c>
      <c r="H216">
        <v>1118</v>
      </c>
      <c r="I216" t="s">
        <v>13</v>
      </c>
      <c r="J216" t="s">
        <v>14</v>
      </c>
      <c r="K216" t="str">
        <f>_xlfn.XLOOKUP(order[[#This Row],[customer_id]],customer[customer_id],customer[city])</f>
        <v>Pune</v>
      </c>
      <c r="L216" t="str">
        <f>_xlfn.XLOOKUP(order[[#This Row],[customer_id]],customer[customer_id],customer[state])</f>
        <v>Maharashtra</v>
      </c>
      <c r="M216" t="str">
        <f>_xlfn.XLOOKUP(order[[#This Row],[product_id]],products!$A$2:$A$11,products!$B$2:$B$11)</f>
        <v>Nike Air Max Shoes</v>
      </c>
      <c r="N216" s="3" t="str">
        <f>_xlfn.XLOOKUP(order[[#This Row],[product_id]],products!$A$2:$A$11,products!$C$2:$C$11)</f>
        <v>Fashion</v>
      </c>
      <c r="O216" s="3">
        <f>_xlfn.XLOOKUP(order[[#This Row],[product_id]],Table4[product_id],Table4[cost_price])</f>
        <v>4000</v>
      </c>
      <c r="P216" s="11">
        <f>_xlfn.XLOOKUP(order[[#This Row],[order_id]],shipment[order_id],shipment[ship_date])</f>
        <v>45585</v>
      </c>
      <c r="Q216" s="11">
        <f>_xlfn.XLOOKUP(order[[#This Row],[order_id]],shipment[order_id],shipment[delivery_date])</f>
        <v>45591</v>
      </c>
      <c r="R216" s="3" t="str">
        <f>_xlfn.XLOOKUP(order[[#This Row],[order_id]],shipment[shipment_id],shipment[courier])</f>
        <v>Ekart</v>
      </c>
      <c r="S216" s="3">
        <f>order[[#This Row],[selling_price]]-order[[#This Row],[cost_price]]*order[[#This Row],[quantity]]-order[[#This Row],[discount]]</f>
        <v>22252</v>
      </c>
      <c r="T216" s="3">
        <f>order[[#This Row],[quantity]]*order[[#This Row],[selling_price]]</f>
        <v>106110</v>
      </c>
    </row>
    <row r="217" spans="1:20" x14ac:dyDescent="0.3">
      <c r="A217">
        <v>216</v>
      </c>
      <c r="B217" s="11">
        <v>45624</v>
      </c>
      <c r="C217">
        <v>148</v>
      </c>
      <c r="D217" t="str">
        <f>_xlfn.XLOOKUP(order[[#This Row],[customer_id]],customer[customer_id],customer[customer_name])</f>
        <v>Karan Patel</v>
      </c>
      <c r="E217">
        <v>203</v>
      </c>
      <c r="F217">
        <v>3</v>
      </c>
      <c r="G217">
        <v>68857</v>
      </c>
      <c r="H217">
        <v>1630</v>
      </c>
      <c r="I217" t="s">
        <v>13</v>
      </c>
      <c r="J217" t="s">
        <v>10</v>
      </c>
      <c r="K217" t="str">
        <f>_xlfn.XLOOKUP(order[[#This Row],[customer_id]],customer[customer_id],customer[city])</f>
        <v>Chennai</v>
      </c>
      <c r="L217" t="str">
        <f>_xlfn.XLOOKUP(order[[#This Row],[customer_id]],customer[customer_id],customer[state])</f>
        <v>Tamil Nadu</v>
      </c>
      <c r="M217" t="str">
        <f>_xlfn.XLOOKUP(order[[#This Row],[product_id]],products!$A$2:$A$11,products!$B$2:$B$11)</f>
        <v>Nike Air Max Shoes</v>
      </c>
      <c r="N217" s="3" t="str">
        <f>_xlfn.XLOOKUP(order[[#This Row],[product_id]],products!$A$2:$A$11,products!$C$2:$C$11)</f>
        <v>Fashion</v>
      </c>
      <c r="O217" s="3">
        <f>_xlfn.XLOOKUP(order[[#This Row],[product_id]],Table4[product_id],Table4[cost_price])</f>
        <v>4000</v>
      </c>
      <c r="P217" s="11">
        <f>_xlfn.XLOOKUP(order[[#This Row],[order_id]],shipment[order_id],shipment[ship_date])</f>
        <v>45318</v>
      </c>
      <c r="Q217" s="11">
        <f>_xlfn.XLOOKUP(order[[#This Row],[order_id]],shipment[order_id],shipment[delivery_date])</f>
        <v>45322</v>
      </c>
      <c r="R217" s="3" t="str">
        <f>_xlfn.XLOOKUP(order[[#This Row],[order_id]],shipment[shipment_id],shipment[courier])</f>
        <v>DTDC</v>
      </c>
      <c r="S217" s="3">
        <f>order[[#This Row],[selling_price]]-order[[#This Row],[cost_price]]*order[[#This Row],[quantity]]-order[[#This Row],[discount]]</f>
        <v>55227</v>
      </c>
      <c r="T217" s="3">
        <f>order[[#This Row],[quantity]]*order[[#This Row],[selling_price]]</f>
        <v>206571</v>
      </c>
    </row>
    <row r="218" spans="1:20" x14ac:dyDescent="0.3">
      <c r="A218">
        <v>305</v>
      </c>
      <c r="B218" s="11">
        <v>45395</v>
      </c>
      <c r="C218">
        <v>134</v>
      </c>
      <c r="D218" t="str">
        <f>_xlfn.XLOOKUP(order[[#This Row],[customer_id]],customer[customer_id],customer[customer_name])</f>
        <v>Rohit Verma</v>
      </c>
      <c r="E218">
        <v>201</v>
      </c>
      <c r="F218">
        <v>4</v>
      </c>
      <c r="G218">
        <v>31675</v>
      </c>
      <c r="H218">
        <v>1295</v>
      </c>
      <c r="I218" t="s">
        <v>9</v>
      </c>
      <c r="J218" t="s">
        <v>10</v>
      </c>
      <c r="K218" t="str">
        <f>_xlfn.XLOOKUP(order[[#This Row],[customer_id]],customer[customer_id],customer[city])</f>
        <v>Hyderabad</v>
      </c>
      <c r="L218" t="str">
        <f>_xlfn.XLOOKUP(order[[#This Row],[customer_id]],customer[customer_id],customer[state])</f>
        <v>Telangana</v>
      </c>
      <c r="M218" t="str">
        <f>_xlfn.XLOOKUP(order[[#This Row],[product_id]],products!$A$2:$A$11,products!$B$2:$B$11)</f>
        <v>iPhone 13</v>
      </c>
      <c r="N218" s="3" t="str">
        <f>_xlfn.XLOOKUP(order[[#This Row],[product_id]],products!$A$2:$A$11,products!$C$2:$C$11)</f>
        <v>Electronics</v>
      </c>
      <c r="O218" s="3">
        <f>_xlfn.XLOOKUP(order[[#This Row],[product_id]],Table4[product_id],Table4[cost_price])</f>
        <v>52000</v>
      </c>
      <c r="P218" s="11">
        <f>_xlfn.XLOOKUP(order[[#This Row],[order_id]],shipment[order_id],shipment[ship_date])</f>
        <v>45382</v>
      </c>
      <c r="Q218" s="11">
        <f>_xlfn.XLOOKUP(order[[#This Row],[order_id]],shipment[order_id],shipment[delivery_date])</f>
        <v>45392</v>
      </c>
      <c r="R218" s="3" t="str">
        <f>_xlfn.XLOOKUP(order[[#This Row],[order_id]],shipment[shipment_id],shipment[courier])</f>
        <v>Ekart</v>
      </c>
      <c r="S218" s="3">
        <f>order[[#This Row],[selling_price]]-order[[#This Row],[cost_price]]*order[[#This Row],[quantity]]-order[[#This Row],[discount]]</f>
        <v>-177620</v>
      </c>
      <c r="T218" s="3">
        <f>order[[#This Row],[quantity]]*order[[#This Row],[selling_price]]</f>
        <v>126700</v>
      </c>
    </row>
    <row r="219" spans="1:20" x14ac:dyDescent="0.3">
      <c r="A219">
        <v>1096</v>
      </c>
      <c r="B219" s="11">
        <v>45547</v>
      </c>
      <c r="C219">
        <v>153</v>
      </c>
      <c r="D219" t="str">
        <f>_xlfn.XLOOKUP(order[[#This Row],[customer_id]],customer[customer_id],customer[customer_name])</f>
        <v>Meera Joshi</v>
      </c>
      <c r="E219">
        <v>201</v>
      </c>
      <c r="F219">
        <v>3</v>
      </c>
      <c r="G219">
        <v>26291</v>
      </c>
      <c r="H219">
        <v>1263</v>
      </c>
      <c r="I219" t="s">
        <v>11</v>
      </c>
      <c r="J219" t="s">
        <v>12</v>
      </c>
      <c r="K219" t="str">
        <f>_xlfn.XLOOKUP(order[[#This Row],[customer_id]],customer[customer_id],customer[city])</f>
        <v>Ahmedabad</v>
      </c>
      <c r="L219" t="str">
        <f>_xlfn.XLOOKUP(order[[#This Row],[customer_id]],customer[customer_id],customer[state])</f>
        <v>Gujarat</v>
      </c>
      <c r="M219" t="str">
        <f>_xlfn.XLOOKUP(order[[#This Row],[product_id]],products!$A$2:$A$11,products!$B$2:$B$11)</f>
        <v>iPhone 13</v>
      </c>
      <c r="N219" s="3" t="str">
        <f>_xlfn.XLOOKUP(order[[#This Row],[product_id]],products!$A$2:$A$11,products!$C$2:$C$11)</f>
        <v>Electronics</v>
      </c>
      <c r="O219" s="3">
        <f>_xlfn.XLOOKUP(order[[#This Row],[product_id]],Table4[product_id],Table4[cost_price])</f>
        <v>52000</v>
      </c>
      <c r="P219" s="11">
        <f>_xlfn.XLOOKUP(order[[#This Row],[order_id]],shipment[order_id],shipment[ship_date])</f>
        <v>45531</v>
      </c>
      <c r="Q219" s="11">
        <f>_xlfn.XLOOKUP(order[[#This Row],[order_id]],shipment[order_id],shipment[delivery_date])</f>
        <v>45536</v>
      </c>
      <c r="R219" s="3" t="str">
        <f>_xlfn.XLOOKUP(order[[#This Row],[order_id]],shipment[shipment_id],shipment[courier])</f>
        <v>DTDC</v>
      </c>
      <c r="S219" s="3">
        <f>order[[#This Row],[selling_price]]-order[[#This Row],[cost_price]]*order[[#This Row],[quantity]]-order[[#This Row],[discount]]</f>
        <v>-130972</v>
      </c>
      <c r="T219" s="3">
        <f>order[[#This Row],[quantity]]*order[[#This Row],[selling_price]]</f>
        <v>78873</v>
      </c>
    </row>
    <row r="220" spans="1:20" x14ac:dyDescent="0.3">
      <c r="A220">
        <v>219</v>
      </c>
      <c r="B220" s="11">
        <v>45643</v>
      </c>
      <c r="C220">
        <v>199</v>
      </c>
      <c r="D220" t="str">
        <f>_xlfn.XLOOKUP(order[[#This Row],[customer_id]],customer[customer_id],customer[customer_name])</f>
        <v>Aarav Sharma</v>
      </c>
      <c r="E220">
        <v>208</v>
      </c>
      <c r="F220">
        <v>2</v>
      </c>
      <c r="G220">
        <v>56261</v>
      </c>
      <c r="H220">
        <v>3014</v>
      </c>
      <c r="I220" t="s">
        <v>15</v>
      </c>
      <c r="J220" t="s">
        <v>10</v>
      </c>
      <c r="K220" t="str">
        <f>_xlfn.XLOOKUP(order[[#This Row],[customer_id]],customer[customer_id],customer[city])</f>
        <v>Ahmedabad</v>
      </c>
      <c r="L220" t="str">
        <f>_xlfn.XLOOKUP(order[[#This Row],[customer_id]],customer[customer_id],customer[state])</f>
        <v>Gujarat</v>
      </c>
      <c r="M220" t="str">
        <f>_xlfn.XLOOKUP(order[[#This Row],[product_id]],products!$A$2:$A$11,products!$B$2:$B$11)</f>
        <v>Adidas Ultraboost Shoes</v>
      </c>
      <c r="N220" s="3" t="str">
        <f>_xlfn.XLOOKUP(order[[#This Row],[product_id]],products!$A$2:$A$11,products!$C$2:$C$11)</f>
        <v>Fashion</v>
      </c>
      <c r="O220" s="3">
        <f>_xlfn.XLOOKUP(order[[#This Row],[product_id]],Table4[product_id],Table4[cost_price])</f>
        <v>9000</v>
      </c>
      <c r="P220" s="11">
        <f>_xlfn.XLOOKUP(order[[#This Row],[order_id]],shipment[order_id],shipment[ship_date])</f>
        <v>45476</v>
      </c>
      <c r="Q220" s="11">
        <f>_xlfn.XLOOKUP(order[[#This Row],[order_id]],shipment[order_id],shipment[delivery_date])</f>
        <v>45480</v>
      </c>
      <c r="R220" s="3" t="str">
        <f>_xlfn.XLOOKUP(order[[#This Row],[order_id]],shipment[shipment_id],shipment[courier])</f>
        <v>BlueDart</v>
      </c>
      <c r="S220" s="3">
        <f>order[[#This Row],[selling_price]]-order[[#This Row],[cost_price]]*order[[#This Row],[quantity]]-order[[#This Row],[discount]]</f>
        <v>35247</v>
      </c>
      <c r="T220" s="3">
        <f>order[[#This Row],[quantity]]*order[[#This Row],[selling_price]]</f>
        <v>112522</v>
      </c>
    </row>
    <row r="221" spans="1:20" x14ac:dyDescent="0.3">
      <c r="A221">
        <v>804</v>
      </c>
      <c r="B221" s="11">
        <v>45404</v>
      </c>
      <c r="C221">
        <v>151</v>
      </c>
      <c r="D221" t="str">
        <f>_xlfn.XLOOKUP(order[[#This Row],[customer_id]],customer[customer_id],customer[customer_name])</f>
        <v>Neha Kapoor</v>
      </c>
      <c r="E221">
        <v>201</v>
      </c>
      <c r="F221">
        <v>4</v>
      </c>
      <c r="G221">
        <v>28841</v>
      </c>
      <c r="H221">
        <v>1231</v>
      </c>
      <c r="I221" t="s">
        <v>9</v>
      </c>
      <c r="J221" t="s">
        <v>12</v>
      </c>
      <c r="K221" t="str">
        <f>_xlfn.XLOOKUP(order[[#This Row],[customer_id]],customer[customer_id],customer[city])</f>
        <v>Pune</v>
      </c>
      <c r="L221" t="str">
        <f>_xlfn.XLOOKUP(order[[#This Row],[customer_id]],customer[customer_id],customer[state])</f>
        <v>Maharashtra</v>
      </c>
      <c r="M221" t="str">
        <f>_xlfn.XLOOKUP(order[[#This Row],[product_id]],products!$A$2:$A$11,products!$B$2:$B$11)</f>
        <v>iPhone 13</v>
      </c>
      <c r="N221" s="3" t="str">
        <f>_xlfn.XLOOKUP(order[[#This Row],[product_id]],products!$A$2:$A$11,products!$C$2:$C$11)</f>
        <v>Electronics</v>
      </c>
      <c r="O221" s="3">
        <f>_xlfn.XLOOKUP(order[[#This Row],[product_id]],Table4[product_id],Table4[cost_price])</f>
        <v>52000</v>
      </c>
      <c r="P221" s="11">
        <f>_xlfn.XLOOKUP(order[[#This Row],[order_id]],shipment[order_id],shipment[ship_date])</f>
        <v>45566</v>
      </c>
      <c r="Q221" s="11">
        <f>_xlfn.XLOOKUP(order[[#This Row],[order_id]],shipment[order_id],shipment[delivery_date])</f>
        <v>45568</v>
      </c>
      <c r="R221" s="3" t="str">
        <f>_xlfn.XLOOKUP(order[[#This Row],[order_id]],shipment[shipment_id],shipment[courier])</f>
        <v>BlueDart</v>
      </c>
      <c r="S221" s="3">
        <f>order[[#This Row],[selling_price]]-order[[#This Row],[cost_price]]*order[[#This Row],[quantity]]-order[[#This Row],[discount]]</f>
        <v>-180390</v>
      </c>
      <c r="T221" s="3">
        <f>order[[#This Row],[quantity]]*order[[#This Row],[selling_price]]</f>
        <v>115364</v>
      </c>
    </row>
    <row r="222" spans="1:20" x14ac:dyDescent="0.3">
      <c r="A222">
        <v>781</v>
      </c>
      <c r="B222" s="11">
        <v>45447</v>
      </c>
      <c r="C222">
        <v>132</v>
      </c>
      <c r="D222" t="str">
        <f>_xlfn.XLOOKUP(order[[#This Row],[customer_id]],customer[customer_id],customer[customer_name])</f>
        <v>Sneha Iyer</v>
      </c>
      <c r="E222">
        <v>201</v>
      </c>
      <c r="F222">
        <v>1</v>
      </c>
      <c r="G222">
        <v>22573</v>
      </c>
      <c r="H222">
        <v>1203</v>
      </c>
      <c r="I222" t="s">
        <v>15</v>
      </c>
      <c r="J222" t="s">
        <v>14</v>
      </c>
      <c r="K222" t="str">
        <f>_xlfn.XLOOKUP(order[[#This Row],[customer_id]],customer[customer_id],customer[city])</f>
        <v>Hyderabad</v>
      </c>
      <c r="L222" t="str">
        <f>_xlfn.XLOOKUP(order[[#This Row],[customer_id]],customer[customer_id],customer[state])</f>
        <v>Telangana</v>
      </c>
      <c r="M222" t="str">
        <f>_xlfn.XLOOKUP(order[[#This Row],[product_id]],products!$A$2:$A$11,products!$B$2:$B$11)</f>
        <v>iPhone 13</v>
      </c>
      <c r="N222" s="3" t="str">
        <f>_xlfn.XLOOKUP(order[[#This Row],[product_id]],products!$A$2:$A$11,products!$C$2:$C$11)</f>
        <v>Electronics</v>
      </c>
      <c r="O222" s="3">
        <f>_xlfn.XLOOKUP(order[[#This Row],[product_id]],Table4[product_id],Table4[cost_price])</f>
        <v>52000</v>
      </c>
      <c r="P222" s="11">
        <f>_xlfn.XLOOKUP(order[[#This Row],[order_id]],shipment[order_id],shipment[ship_date])</f>
        <v>45600</v>
      </c>
      <c r="Q222" s="11">
        <f>_xlfn.XLOOKUP(order[[#This Row],[order_id]],shipment[order_id],shipment[delivery_date])</f>
        <v>45606</v>
      </c>
      <c r="R222" s="3" t="str">
        <f>_xlfn.XLOOKUP(order[[#This Row],[order_id]],shipment[shipment_id],shipment[courier])</f>
        <v>BlueDart</v>
      </c>
      <c r="S222" s="3">
        <f>order[[#This Row],[selling_price]]-order[[#This Row],[cost_price]]*order[[#This Row],[quantity]]-order[[#This Row],[discount]]</f>
        <v>-30630</v>
      </c>
      <c r="T222" s="3">
        <f>order[[#This Row],[quantity]]*order[[#This Row],[selling_price]]</f>
        <v>22573</v>
      </c>
    </row>
    <row r="223" spans="1:20" x14ac:dyDescent="0.3">
      <c r="A223">
        <v>222</v>
      </c>
      <c r="B223" s="11">
        <v>45428</v>
      </c>
      <c r="C223">
        <v>157</v>
      </c>
      <c r="D223" t="str">
        <f>_xlfn.XLOOKUP(order[[#This Row],[customer_id]],customer[customer_id],customer[customer_name])</f>
        <v>Rohit Verma</v>
      </c>
      <c r="E223">
        <v>208</v>
      </c>
      <c r="F223">
        <v>2</v>
      </c>
      <c r="G223">
        <v>49578</v>
      </c>
      <c r="H223">
        <v>2157</v>
      </c>
      <c r="I223" t="s">
        <v>13</v>
      </c>
      <c r="J223" t="s">
        <v>12</v>
      </c>
      <c r="K223" t="str">
        <f>_xlfn.XLOOKUP(order[[#This Row],[customer_id]],customer[customer_id],customer[city])</f>
        <v>Pune</v>
      </c>
      <c r="L223" t="str">
        <f>_xlfn.XLOOKUP(order[[#This Row],[customer_id]],customer[customer_id],customer[state])</f>
        <v>Maharashtra</v>
      </c>
      <c r="M223" t="str">
        <f>_xlfn.XLOOKUP(order[[#This Row],[product_id]],products!$A$2:$A$11,products!$B$2:$B$11)</f>
        <v>Adidas Ultraboost Shoes</v>
      </c>
      <c r="N223" s="3" t="str">
        <f>_xlfn.XLOOKUP(order[[#This Row],[product_id]],products!$A$2:$A$11,products!$C$2:$C$11)</f>
        <v>Fashion</v>
      </c>
      <c r="O223" s="3">
        <f>_xlfn.XLOOKUP(order[[#This Row],[product_id]],Table4[product_id],Table4[cost_price])</f>
        <v>9000</v>
      </c>
      <c r="P223" s="11">
        <f>_xlfn.XLOOKUP(order[[#This Row],[order_id]],shipment[order_id],shipment[ship_date])</f>
        <v>45591</v>
      </c>
      <c r="Q223" s="11">
        <f>_xlfn.XLOOKUP(order[[#This Row],[order_id]],shipment[order_id],shipment[delivery_date])</f>
        <v>45596</v>
      </c>
      <c r="R223" s="3" t="str">
        <f>_xlfn.XLOOKUP(order[[#This Row],[order_id]],shipment[shipment_id],shipment[courier])</f>
        <v>Delhivery</v>
      </c>
      <c r="S223" s="3">
        <f>order[[#This Row],[selling_price]]-order[[#This Row],[cost_price]]*order[[#This Row],[quantity]]-order[[#This Row],[discount]]</f>
        <v>29421</v>
      </c>
      <c r="T223" s="3">
        <f>order[[#This Row],[quantity]]*order[[#This Row],[selling_price]]</f>
        <v>99156</v>
      </c>
    </row>
    <row r="224" spans="1:20" x14ac:dyDescent="0.3">
      <c r="A224">
        <v>223</v>
      </c>
      <c r="B224" s="11">
        <v>45504</v>
      </c>
      <c r="C224">
        <v>288</v>
      </c>
      <c r="D224" t="str">
        <f>_xlfn.XLOOKUP(order[[#This Row],[customer_id]],customer[customer_id],customer[customer_name])</f>
        <v>Pooja Nair</v>
      </c>
      <c r="E224">
        <v>203</v>
      </c>
      <c r="F224">
        <v>4</v>
      </c>
      <c r="G224">
        <v>36858</v>
      </c>
      <c r="H224">
        <v>144</v>
      </c>
      <c r="I224" t="s">
        <v>9</v>
      </c>
      <c r="J224" t="s">
        <v>12</v>
      </c>
      <c r="K224" t="str">
        <f>_xlfn.XLOOKUP(order[[#This Row],[customer_id]],customer[customer_id],customer[city])</f>
        <v>Pune</v>
      </c>
      <c r="L224" t="str">
        <f>_xlfn.XLOOKUP(order[[#This Row],[customer_id]],customer[customer_id],customer[state])</f>
        <v>Maharashtra</v>
      </c>
      <c r="M224" t="str">
        <f>_xlfn.XLOOKUP(order[[#This Row],[product_id]],products!$A$2:$A$11,products!$B$2:$B$11)</f>
        <v>Nike Air Max Shoes</v>
      </c>
      <c r="N224" s="3" t="str">
        <f>_xlfn.XLOOKUP(order[[#This Row],[product_id]],products!$A$2:$A$11,products!$C$2:$C$11)</f>
        <v>Fashion</v>
      </c>
      <c r="O224" s="3">
        <f>_xlfn.XLOOKUP(order[[#This Row],[product_id]],Table4[product_id],Table4[cost_price])</f>
        <v>4000</v>
      </c>
      <c r="P224" s="11">
        <f>_xlfn.XLOOKUP(order[[#This Row],[order_id]],shipment[order_id],shipment[ship_date])</f>
        <v>45502</v>
      </c>
      <c r="Q224" s="11">
        <f>_xlfn.XLOOKUP(order[[#This Row],[order_id]],shipment[order_id],shipment[delivery_date])</f>
        <v>45503</v>
      </c>
      <c r="R224" s="3" t="str">
        <f>_xlfn.XLOOKUP(order[[#This Row],[order_id]],shipment[shipment_id],shipment[courier])</f>
        <v>Ekart</v>
      </c>
      <c r="S224" s="3">
        <f>order[[#This Row],[selling_price]]-order[[#This Row],[cost_price]]*order[[#This Row],[quantity]]-order[[#This Row],[discount]]</f>
        <v>20714</v>
      </c>
      <c r="T224" s="3">
        <f>order[[#This Row],[quantity]]*order[[#This Row],[selling_price]]</f>
        <v>147432</v>
      </c>
    </row>
    <row r="225" spans="1:20" x14ac:dyDescent="0.3">
      <c r="A225">
        <v>224</v>
      </c>
      <c r="B225" s="11">
        <v>45439</v>
      </c>
      <c r="C225">
        <v>211</v>
      </c>
      <c r="D225" t="str">
        <f>_xlfn.XLOOKUP(order[[#This Row],[customer_id]],customer[customer_id],customer[customer_name])</f>
        <v>Aarav Sharma</v>
      </c>
      <c r="E225">
        <v>207</v>
      </c>
      <c r="F225">
        <v>1</v>
      </c>
      <c r="G225">
        <v>48324</v>
      </c>
      <c r="H225">
        <v>2566</v>
      </c>
      <c r="I225" t="s">
        <v>13</v>
      </c>
      <c r="J225" t="s">
        <v>12</v>
      </c>
      <c r="K225" t="str">
        <f>_xlfn.XLOOKUP(order[[#This Row],[customer_id]],customer[customer_id],customer[city])</f>
        <v>Ahmedabad</v>
      </c>
      <c r="L225" t="str">
        <f>_xlfn.XLOOKUP(order[[#This Row],[customer_id]],customer[customer_id],customer[state])</f>
        <v>Gujarat</v>
      </c>
      <c r="M225" t="str">
        <f>_xlfn.XLOOKUP(order[[#This Row],[product_id]],products!$A$2:$A$11,products!$B$2:$B$11)</f>
        <v>Sony WH-1000XM4 Headphones</v>
      </c>
      <c r="N225" s="3" t="str">
        <f>_xlfn.XLOOKUP(order[[#This Row],[product_id]],products!$A$2:$A$11,products!$C$2:$C$11)</f>
        <v>Electronics</v>
      </c>
      <c r="O225" s="3">
        <f>_xlfn.XLOOKUP(order[[#This Row],[product_id]],Table4[product_id],Table4[cost_price])</f>
        <v>20000</v>
      </c>
      <c r="P225" s="11">
        <f>_xlfn.XLOOKUP(order[[#This Row],[order_id]],shipment[order_id],shipment[ship_date])</f>
        <v>45543</v>
      </c>
      <c r="Q225" s="11">
        <f>_xlfn.XLOOKUP(order[[#This Row],[order_id]],shipment[order_id],shipment[delivery_date])</f>
        <v>45551</v>
      </c>
      <c r="R225" s="3" t="str">
        <f>_xlfn.XLOOKUP(order[[#This Row],[order_id]],shipment[shipment_id],shipment[courier])</f>
        <v>BlueDart</v>
      </c>
      <c r="S225" s="3">
        <f>order[[#This Row],[selling_price]]-order[[#This Row],[cost_price]]*order[[#This Row],[quantity]]-order[[#This Row],[discount]]</f>
        <v>25758</v>
      </c>
      <c r="T225" s="3">
        <f>order[[#This Row],[quantity]]*order[[#This Row],[selling_price]]</f>
        <v>48324</v>
      </c>
    </row>
    <row r="226" spans="1:20" x14ac:dyDescent="0.3">
      <c r="A226">
        <v>1076</v>
      </c>
      <c r="B226" s="11">
        <v>45492</v>
      </c>
      <c r="C226">
        <v>158</v>
      </c>
      <c r="D226" t="str">
        <f>_xlfn.XLOOKUP(order[[#This Row],[customer_id]],customer[customer_id],customer[customer_name])</f>
        <v>Vikram Singh</v>
      </c>
      <c r="E226">
        <v>201</v>
      </c>
      <c r="F226">
        <v>1</v>
      </c>
      <c r="G226">
        <v>43183</v>
      </c>
      <c r="H226">
        <v>1185</v>
      </c>
      <c r="I226" t="s">
        <v>15</v>
      </c>
      <c r="J226" t="s">
        <v>14</v>
      </c>
      <c r="K226" t="str">
        <f>_xlfn.XLOOKUP(order[[#This Row],[customer_id]],customer[customer_id],customer[city])</f>
        <v>Delhi</v>
      </c>
      <c r="L226" t="str">
        <f>_xlfn.XLOOKUP(order[[#This Row],[customer_id]],customer[customer_id],customer[state])</f>
        <v>Delhi</v>
      </c>
      <c r="M226" t="str">
        <f>_xlfn.XLOOKUP(order[[#This Row],[product_id]],products!$A$2:$A$11,products!$B$2:$B$11)</f>
        <v>iPhone 13</v>
      </c>
      <c r="N226" s="3" t="str">
        <f>_xlfn.XLOOKUP(order[[#This Row],[product_id]],products!$A$2:$A$11,products!$C$2:$C$11)</f>
        <v>Electronics</v>
      </c>
      <c r="O226" s="3">
        <f>_xlfn.XLOOKUP(order[[#This Row],[product_id]],Table4[product_id],Table4[cost_price])</f>
        <v>52000</v>
      </c>
      <c r="P226" s="11">
        <f>_xlfn.XLOOKUP(order[[#This Row],[order_id]],shipment[order_id],shipment[ship_date])</f>
        <v>45520</v>
      </c>
      <c r="Q226" s="11">
        <f>_xlfn.XLOOKUP(order[[#This Row],[order_id]],shipment[order_id],shipment[delivery_date])</f>
        <v>45524</v>
      </c>
      <c r="R226" s="3" t="str">
        <f>_xlfn.XLOOKUP(order[[#This Row],[order_id]],shipment[shipment_id],shipment[courier])</f>
        <v>Delhivery</v>
      </c>
      <c r="S226" s="3">
        <f>order[[#This Row],[selling_price]]-order[[#This Row],[cost_price]]*order[[#This Row],[quantity]]-order[[#This Row],[discount]]</f>
        <v>-10002</v>
      </c>
      <c r="T226" s="3">
        <f>order[[#This Row],[quantity]]*order[[#This Row],[selling_price]]</f>
        <v>43183</v>
      </c>
    </row>
    <row r="227" spans="1:20" x14ac:dyDescent="0.3">
      <c r="A227">
        <v>226</v>
      </c>
      <c r="B227" s="11">
        <v>45562</v>
      </c>
      <c r="C227">
        <v>139</v>
      </c>
      <c r="D227" t="str">
        <f>_xlfn.XLOOKUP(order[[#This Row],[customer_id]],customer[customer_id],customer[customer_name])</f>
        <v>Neha Kapoor</v>
      </c>
      <c r="E227">
        <v>209</v>
      </c>
      <c r="F227">
        <v>4</v>
      </c>
      <c r="G227">
        <v>41317</v>
      </c>
      <c r="H227">
        <v>2144</v>
      </c>
      <c r="I227" t="s">
        <v>15</v>
      </c>
      <c r="J227" t="s">
        <v>14</v>
      </c>
      <c r="K227" t="str">
        <f>_xlfn.XLOOKUP(order[[#This Row],[customer_id]],customer[customer_id],customer[city])</f>
        <v>Chennai</v>
      </c>
      <c r="L227" t="str">
        <f>_xlfn.XLOOKUP(order[[#This Row],[customer_id]],customer[customer_id],customer[state])</f>
        <v>Tamil Nadu</v>
      </c>
      <c r="M227" t="str">
        <f>_xlfn.XLOOKUP(order[[#This Row],[product_id]],products!$A$2:$A$11,products!$B$2:$B$11)</f>
        <v>Milton Thermosteel Bottle</v>
      </c>
      <c r="N227" s="3" t="str">
        <f>_xlfn.XLOOKUP(order[[#This Row],[product_id]],products!$A$2:$A$11,products!$C$2:$C$11)</f>
        <v>Home &amp; Kitchen</v>
      </c>
      <c r="O227" s="3">
        <f>_xlfn.XLOOKUP(order[[#This Row],[product_id]],Table4[product_id],Table4[cost_price])</f>
        <v>800</v>
      </c>
      <c r="P227" s="11">
        <f>_xlfn.XLOOKUP(order[[#This Row],[order_id]],shipment[order_id],shipment[ship_date])</f>
        <v>45481</v>
      </c>
      <c r="Q227" s="11">
        <f>_xlfn.XLOOKUP(order[[#This Row],[order_id]],shipment[order_id],shipment[delivery_date])</f>
        <v>45485</v>
      </c>
      <c r="R227" s="3" t="str">
        <f>_xlfn.XLOOKUP(order[[#This Row],[order_id]],shipment[shipment_id],shipment[courier])</f>
        <v>Ekart</v>
      </c>
      <c r="S227" s="3">
        <f>order[[#This Row],[selling_price]]-order[[#This Row],[cost_price]]*order[[#This Row],[quantity]]-order[[#This Row],[discount]]</f>
        <v>35973</v>
      </c>
      <c r="T227" s="3">
        <f>order[[#This Row],[quantity]]*order[[#This Row],[selling_price]]</f>
        <v>165268</v>
      </c>
    </row>
    <row r="228" spans="1:20" x14ac:dyDescent="0.3">
      <c r="A228">
        <v>227</v>
      </c>
      <c r="B228" s="11">
        <v>45471</v>
      </c>
      <c r="C228">
        <v>217</v>
      </c>
      <c r="D228" t="str">
        <f>_xlfn.XLOOKUP(order[[#This Row],[customer_id]],customer[customer_id],customer[customer_name])</f>
        <v>Rahul Mehta</v>
      </c>
      <c r="E228">
        <v>204</v>
      </c>
      <c r="F228">
        <v>4</v>
      </c>
      <c r="G228">
        <v>44226</v>
      </c>
      <c r="H228">
        <v>3380</v>
      </c>
      <c r="I228" t="s">
        <v>15</v>
      </c>
      <c r="J228" t="s">
        <v>10</v>
      </c>
      <c r="K228" t="str">
        <f>_xlfn.XLOOKUP(order[[#This Row],[customer_id]],customer[customer_id],customer[city])</f>
        <v>Delhi</v>
      </c>
      <c r="L228" t="str">
        <f>_xlfn.XLOOKUP(order[[#This Row],[customer_id]],customer[customer_id],customer[state])</f>
        <v>Delhi</v>
      </c>
      <c r="M228" t="str">
        <f>_xlfn.XLOOKUP(order[[#This Row],[product_id]],products!$A$2:$A$11,products!$B$2:$B$11)</f>
        <v>Levi's Slim Fit Jeans</v>
      </c>
      <c r="N228" s="3" t="str">
        <f>_xlfn.XLOOKUP(order[[#This Row],[product_id]],products!$A$2:$A$11,products!$C$2:$C$11)</f>
        <v>Fashion</v>
      </c>
      <c r="O228" s="3">
        <f>_xlfn.XLOOKUP(order[[#This Row],[product_id]],Table4[product_id],Table4[cost_price])</f>
        <v>1800</v>
      </c>
      <c r="P228" s="11">
        <f>_xlfn.XLOOKUP(order[[#This Row],[order_id]],shipment[order_id],shipment[ship_date])</f>
        <v>45408</v>
      </c>
      <c r="Q228" s="11">
        <f>_xlfn.XLOOKUP(order[[#This Row],[order_id]],shipment[order_id],shipment[delivery_date])</f>
        <v>45415</v>
      </c>
      <c r="R228" s="3" t="str">
        <f>_xlfn.XLOOKUP(order[[#This Row],[order_id]],shipment[shipment_id],shipment[courier])</f>
        <v>BlueDart</v>
      </c>
      <c r="S228" s="3">
        <f>order[[#This Row],[selling_price]]-order[[#This Row],[cost_price]]*order[[#This Row],[quantity]]-order[[#This Row],[discount]]</f>
        <v>33646</v>
      </c>
      <c r="T228" s="3">
        <f>order[[#This Row],[quantity]]*order[[#This Row],[selling_price]]</f>
        <v>176904</v>
      </c>
    </row>
    <row r="229" spans="1:20" x14ac:dyDescent="0.3">
      <c r="A229">
        <v>228</v>
      </c>
      <c r="B229" s="11">
        <v>45408</v>
      </c>
      <c r="C229">
        <v>257</v>
      </c>
      <c r="D229" t="str">
        <f>_xlfn.XLOOKUP(order[[#This Row],[customer_id]],customer[customer_id],customer[customer_name])</f>
        <v>Siddharth Jain</v>
      </c>
      <c r="E229">
        <v>209</v>
      </c>
      <c r="F229">
        <v>2</v>
      </c>
      <c r="G229">
        <v>43881</v>
      </c>
      <c r="H229">
        <v>3740</v>
      </c>
      <c r="I229" t="s">
        <v>15</v>
      </c>
      <c r="J229" t="s">
        <v>10</v>
      </c>
      <c r="K229" t="str">
        <f>_xlfn.XLOOKUP(order[[#This Row],[customer_id]],customer[customer_id],customer[city])</f>
        <v>Pune</v>
      </c>
      <c r="L229" t="str">
        <f>_xlfn.XLOOKUP(order[[#This Row],[customer_id]],customer[customer_id],customer[state])</f>
        <v>Maharashtra</v>
      </c>
      <c r="M229" t="str">
        <f>_xlfn.XLOOKUP(order[[#This Row],[product_id]],products!$A$2:$A$11,products!$B$2:$B$11)</f>
        <v>Milton Thermosteel Bottle</v>
      </c>
      <c r="N229" s="3" t="str">
        <f>_xlfn.XLOOKUP(order[[#This Row],[product_id]],products!$A$2:$A$11,products!$C$2:$C$11)</f>
        <v>Home &amp; Kitchen</v>
      </c>
      <c r="O229" s="3">
        <f>_xlfn.XLOOKUP(order[[#This Row],[product_id]],Table4[product_id],Table4[cost_price])</f>
        <v>800</v>
      </c>
      <c r="P229" s="11">
        <f>_xlfn.XLOOKUP(order[[#This Row],[order_id]],shipment[order_id],shipment[ship_date])</f>
        <v>45539</v>
      </c>
      <c r="Q229" s="11">
        <f>_xlfn.XLOOKUP(order[[#This Row],[order_id]],shipment[order_id],shipment[delivery_date])</f>
        <v>45546</v>
      </c>
      <c r="R229" s="3" t="str">
        <f>_xlfn.XLOOKUP(order[[#This Row],[order_id]],shipment[shipment_id],shipment[courier])</f>
        <v>BlueDart</v>
      </c>
      <c r="S229" s="3">
        <f>order[[#This Row],[selling_price]]-order[[#This Row],[cost_price]]*order[[#This Row],[quantity]]-order[[#This Row],[discount]]</f>
        <v>38541</v>
      </c>
      <c r="T229" s="3">
        <f>order[[#This Row],[quantity]]*order[[#This Row],[selling_price]]</f>
        <v>87762</v>
      </c>
    </row>
    <row r="230" spans="1:20" x14ac:dyDescent="0.3">
      <c r="A230">
        <v>229</v>
      </c>
      <c r="B230" s="11">
        <v>45334</v>
      </c>
      <c r="C230">
        <v>233</v>
      </c>
      <c r="D230" t="str">
        <f>_xlfn.XLOOKUP(order[[#This Row],[customer_id]],customer[customer_id],customer[customer_name])</f>
        <v>Arjun Nair</v>
      </c>
      <c r="E230">
        <v>204</v>
      </c>
      <c r="F230">
        <v>4</v>
      </c>
      <c r="G230">
        <v>24893</v>
      </c>
      <c r="H230">
        <v>2952</v>
      </c>
      <c r="I230" t="s">
        <v>9</v>
      </c>
      <c r="J230" t="s">
        <v>12</v>
      </c>
      <c r="K230" t="str">
        <f>_xlfn.XLOOKUP(order[[#This Row],[customer_id]],customer[customer_id],customer[city])</f>
        <v>Hyderabad</v>
      </c>
      <c r="L230" t="str">
        <f>_xlfn.XLOOKUP(order[[#This Row],[customer_id]],customer[customer_id],customer[state])</f>
        <v>Telangana</v>
      </c>
      <c r="M230" t="str">
        <f>_xlfn.XLOOKUP(order[[#This Row],[product_id]],products!$A$2:$A$11,products!$B$2:$B$11)</f>
        <v>Levi's Slim Fit Jeans</v>
      </c>
      <c r="N230" s="3" t="str">
        <f>_xlfn.XLOOKUP(order[[#This Row],[product_id]],products!$A$2:$A$11,products!$C$2:$C$11)</f>
        <v>Fashion</v>
      </c>
      <c r="O230" s="3">
        <f>_xlfn.XLOOKUP(order[[#This Row],[product_id]],Table4[product_id],Table4[cost_price])</f>
        <v>1800</v>
      </c>
      <c r="P230" s="11">
        <f>_xlfn.XLOOKUP(order[[#This Row],[order_id]],shipment[order_id],shipment[ship_date])</f>
        <v>45356</v>
      </c>
      <c r="Q230" s="11">
        <f>_xlfn.XLOOKUP(order[[#This Row],[order_id]],shipment[order_id],shipment[delivery_date])</f>
        <v>45359</v>
      </c>
      <c r="R230" s="3" t="str">
        <f>_xlfn.XLOOKUP(order[[#This Row],[order_id]],shipment[shipment_id],shipment[courier])</f>
        <v>BlueDart</v>
      </c>
      <c r="S230" s="3">
        <f>order[[#This Row],[selling_price]]-order[[#This Row],[cost_price]]*order[[#This Row],[quantity]]-order[[#This Row],[discount]]</f>
        <v>14741</v>
      </c>
      <c r="T230" s="3">
        <f>order[[#This Row],[quantity]]*order[[#This Row],[selling_price]]</f>
        <v>99572</v>
      </c>
    </row>
    <row r="231" spans="1:20" x14ac:dyDescent="0.3">
      <c r="A231">
        <v>466</v>
      </c>
      <c r="B231" s="11">
        <v>45350</v>
      </c>
      <c r="C231">
        <v>254</v>
      </c>
      <c r="D231" t="str">
        <f>_xlfn.XLOOKUP(order[[#This Row],[customer_id]],customer[customer_id],customer[customer_name])</f>
        <v>Neha Kapoor</v>
      </c>
      <c r="E231">
        <v>201</v>
      </c>
      <c r="F231">
        <v>2</v>
      </c>
      <c r="G231">
        <v>41543</v>
      </c>
      <c r="H231">
        <v>1118</v>
      </c>
      <c r="I231" t="s">
        <v>13</v>
      </c>
      <c r="J231" t="s">
        <v>12</v>
      </c>
      <c r="K231" t="str">
        <f>_xlfn.XLOOKUP(order[[#This Row],[customer_id]],customer[customer_id],customer[city])</f>
        <v>Bangalore</v>
      </c>
      <c r="L231" t="str">
        <f>_xlfn.XLOOKUP(order[[#This Row],[customer_id]],customer[customer_id],customer[state])</f>
        <v>Karnataka</v>
      </c>
      <c r="M231" t="str">
        <f>_xlfn.XLOOKUP(order[[#This Row],[product_id]],products!$A$2:$A$11,products!$B$2:$B$11)</f>
        <v>iPhone 13</v>
      </c>
      <c r="N231" s="3" t="str">
        <f>_xlfn.XLOOKUP(order[[#This Row],[product_id]],products!$A$2:$A$11,products!$C$2:$C$11)</f>
        <v>Electronics</v>
      </c>
      <c r="O231" s="3">
        <f>_xlfn.XLOOKUP(order[[#This Row],[product_id]],Table4[product_id],Table4[cost_price])</f>
        <v>52000</v>
      </c>
      <c r="P231" s="11">
        <f>_xlfn.XLOOKUP(order[[#This Row],[order_id]],shipment[order_id],shipment[ship_date])</f>
        <v>45627</v>
      </c>
      <c r="Q231" s="11">
        <f>_xlfn.XLOOKUP(order[[#This Row],[order_id]],shipment[order_id],shipment[delivery_date])</f>
        <v>45630</v>
      </c>
      <c r="R231" s="3" t="str">
        <f>_xlfn.XLOOKUP(order[[#This Row],[order_id]],shipment[shipment_id],shipment[courier])</f>
        <v>Delhivery</v>
      </c>
      <c r="S231" s="3">
        <f>order[[#This Row],[selling_price]]-order[[#This Row],[cost_price]]*order[[#This Row],[quantity]]-order[[#This Row],[discount]]</f>
        <v>-63575</v>
      </c>
      <c r="T231" s="3">
        <f>order[[#This Row],[quantity]]*order[[#This Row],[selling_price]]</f>
        <v>83086</v>
      </c>
    </row>
    <row r="232" spans="1:20" x14ac:dyDescent="0.3">
      <c r="A232">
        <v>1129</v>
      </c>
      <c r="B232" s="11">
        <v>45517</v>
      </c>
      <c r="C232">
        <v>210</v>
      </c>
      <c r="D232" t="str">
        <f>_xlfn.XLOOKUP(order[[#This Row],[customer_id]],customer[customer_id],customer[customer_name])</f>
        <v>Neha Kapoor</v>
      </c>
      <c r="E232">
        <v>201</v>
      </c>
      <c r="F232">
        <v>2</v>
      </c>
      <c r="G232">
        <v>31066</v>
      </c>
      <c r="H232">
        <v>1042</v>
      </c>
      <c r="I232" t="s">
        <v>11</v>
      </c>
      <c r="J232" t="s">
        <v>12</v>
      </c>
      <c r="K232" t="str">
        <f>_xlfn.XLOOKUP(order[[#This Row],[customer_id]],customer[customer_id],customer[city])</f>
        <v>Bangalore</v>
      </c>
      <c r="L232" t="str">
        <f>_xlfn.XLOOKUP(order[[#This Row],[customer_id]],customer[customer_id],customer[state])</f>
        <v>Karnataka</v>
      </c>
      <c r="M232" t="str">
        <f>_xlfn.XLOOKUP(order[[#This Row],[product_id]],products!$A$2:$A$11,products!$B$2:$B$11)</f>
        <v>iPhone 13</v>
      </c>
      <c r="N232" s="3" t="str">
        <f>_xlfn.XLOOKUP(order[[#This Row],[product_id]],products!$A$2:$A$11,products!$C$2:$C$11)</f>
        <v>Electronics</v>
      </c>
      <c r="O232" s="3">
        <f>_xlfn.XLOOKUP(order[[#This Row],[product_id]],Table4[product_id],Table4[cost_price])</f>
        <v>52000</v>
      </c>
      <c r="P232" s="11">
        <f>_xlfn.XLOOKUP(order[[#This Row],[order_id]],shipment[order_id],shipment[ship_date])</f>
        <v>45437</v>
      </c>
      <c r="Q232" s="11">
        <f>_xlfn.XLOOKUP(order[[#This Row],[order_id]],shipment[order_id],shipment[delivery_date])</f>
        <v>45440</v>
      </c>
      <c r="R232" s="3" t="str">
        <f>_xlfn.XLOOKUP(order[[#This Row],[order_id]],shipment[shipment_id],shipment[courier])</f>
        <v>Delhivery</v>
      </c>
      <c r="S232" s="3">
        <f>order[[#This Row],[selling_price]]-order[[#This Row],[cost_price]]*order[[#This Row],[quantity]]-order[[#This Row],[discount]]</f>
        <v>-73976</v>
      </c>
      <c r="T232" s="3">
        <f>order[[#This Row],[quantity]]*order[[#This Row],[selling_price]]</f>
        <v>62132</v>
      </c>
    </row>
    <row r="233" spans="1:20" x14ac:dyDescent="0.3">
      <c r="A233">
        <v>232</v>
      </c>
      <c r="B233" s="11">
        <v>45649</v>
      </c>
      <c r="C233">
        <v>221</v>
      </c>
      <c r="D233" t="str">
        <f>_xlfn.XLOOKUP(order[[#This Row],[customer_id]],customer[customer_id],customer[customer_name])</f>
        <v>Manish Yadav</v>
      </c>
      <c r="E233">
        <v>205</v>
      </c>
      <c r="F233">
        <v>4</v>
      </c>
      <c r="G233">
        <v>34943</v>
      </c>
      <c r="H233">
        <v>3089</v>
      </c>
      <c r="I233" t="s">
        <v>9</v>
      </c>
      <c r="J233" t="s">
        <v>12</v>
      </c>
      <c r="K233" t="str">
        <f>_xlfn.XLOOKUP(order[[#This Row],[customer_id]],customer[customer_id],customer[city])</f>
        <v>Bangalore</v>
      </c>
      <c r="L233" t="str">
        <f>_xlfn.XLOOKUP(order[[#This Row],[customer_id]],customer[customer_id],customer[state])</f>
        <v>Karnataka</v>
      </c>
      <c r="M233" t="str">
        <f>_xlfn.XLOOKUP(order[[#This Row],[product_id]],products!$A$2:$A$11,products!$B$2:$B$11)</f>
        <v>Prestige Pressure Cooker 5L</v>
      </c>
      <c r="N233" s="3" t="str">
        <f>_xlfn.XLOOKUP(order[[#This Row],[product_id]],products!$A$2:$A$11,products!$C$2:$C$11)</f>
        <v>Home &amp; Kitchen</v>
      </c>
      <c r="O233" s="3">
        <f>_xlfn.XLOOKUP(order[[#This Row],[product_id]],Table4[product_id],Table4[cost_price])</f>
        <v>1200</v>
      </c>
      <c r="P233" s="11">
        <f>_xlfn.XLOOKUP(order[[#This Row],[order_id]],shipment[order_id],shipment[ship_date])</f>
        <v>45413</v>
      </c>
      <c r="Q233" s="11">
        <f>_xlfn.XLOOKUP(order[[#This Row],[order_id]],shipment[order_id],shipment[delivery_date])</f>
        <v>45414</v>
      </c>
      <c r="R233" s="3" t="str">
        <f>_xlfn.XLOOKUP(order[[#This Row],[order_id]],shipment[shipment_id],shipment[courier])</f>
        <v>DTDC</v>
      </c>
      <c r="S233" s="3">
        <f>order[[#This Row],[selling_price]]-order[[#This Row],[cost_price]]*order[[#This Row],[quantity]]-order[[#This Row],[discount]]</f>
        <v>27054</v>
      </c>
      <c r="T233" s="3">
        <f>order[[#This Row],[quantity]]*order[[#This Row],[selling_price]]</f>
        <v>139772</v>
      </c>
    </row>
    <row r="234" spans="1:20" x14ac:dyDescent="0.3">
      <c r="A234">
        <v>233</v>
      </c>
      <c r="B234" s="11">
        <v>45490</v>
      </c>
      <c r="C234">
        <v>278</v>
      </c>
      <c r="D234" t="str">
        <f>_xlfn.XLOOKUP(order[[#This Row],[customer_id]],customer[customer_id],customer[customer_name])</f>
        <v>Neha Kapoor</v>
      </c>
      <c r="E234">
        <v>206</v>
      </c>
      <c r="F234">
        <v>4</v>
      </c>
      <c r="G234">
        <v>58233</v>
      </c>
      <c r="H234">
        <v>476</v>
      </c>
      <c r="I234" t="s">
        <v>15</v>
      </c>
      <c r="J234" t="s">
        <v>14</v>
      </c>
      <c r="K234" t="str">
        <f>_xlfn.XLOOKUP(order[[#This Row],[customer_id]],customer[customer_id],customer[city])</f>
        <v>Hyderabad</v>
      </c>
      <c r="L234" t="str">
        <f>_xlfn.XLOOKUP(order[[#This Row],[customer_id]],customer[customer_id],customer[state])</f>
        <v>Telangana</v>
      </c>
      <c r="M234" t="str">
        <f>_xlfn.XLOOKUP(order[[#This Row],[product_id]],products!$A$2:$A$11,products!$B$2:$B$11)</f>
        <v>Philips Air Fryer</v>
      </c>
      <c r="N234" s="3" t="str">
        <f>_xlfn.XLOOKUP(order[[#This Row],[product_id]],products!$A$2:$A$11,products!$C$2:$C$11)</f>
        <v>Home &amp; Kitchen</v>
      </c>
      <c r="O234" s="3">
        <f>_xlfn.XLOOKUP(order[[#This Row],[product_id]],Table4[product_id],Table4[cost_price])</f>
        <v>7000</v>
      </c>
      <c r="P234" s="11">
        <f>_xlfn.XLOOKUP(order[[#This Row],[order_id]],shipment[order_id],shipment[ship_date])</f>
        <v>45601</v>
      </c>
      <c r="Q234" s="11">
        <f>_xlfn.XLOOKUP(order[[#This Row],[order_id]],shipment[order_id],shipment[delivery_date])</f>
        <v>45610</v>
      </c>
      <c r="R234" s="3" t="str">
        <f>_xlfn.XLOOKUP(order[[#This Row],[order_id]],shipment[shipment_id],shipment[courier])</f>
        <v>Ekart</v>
      </c>
      <c r="S234" s="3">
        <f>order[[#This Row],[selling_price]]-order[[#This Row],[cost_price]]*order[[#This Row],[quantity]]-order[[#This Row],[discount]]</f>
        <v>29757</v>
      </c>
      <c r="T234" s="3">
        <f>order[[#This Row],[quantity]]*order[[#This Row],[selling_price]]</f>
        <v>232932</v>
      </c>
    </row>
    <row r="235" spans="1:20" x14ac:dyDescent="0.3">
      <c r="A235">
        <v>977</v>
      </c>
      <c r="B235" s="11">
        <v>45638</v>
      </c>
      <c r="C235">
        <v>189</v>
      </c>
      <c r="D235" t="str">
        <f>_xlfn.XLOOKUP(order[[#This Row],[customer_id]],customer[customer_id],customer[customer_name])</f>
        <v>Karan Patel</v>
      </c>
      <c r="E235">
        <v>201</v>
      </c>
      <c r="F235">
        <v>1</v>
      </c>
      <c r="G235">
        <v>50722</v>
      </c>
      <c r="H235">
        <v>1040</v>
      </c>
      <c r="I235" t="s">
        <v>9</v>
      </c>
      <c r="J235" t="s">
        <v>14</v>
      </c>
      <c r="K235" t="str">
        <f>_xlfn.XLOOKUP(order[[#This Row],[customer_id]],customer[customer_id],customer[city])</f>
        <v>Bangalore</v>
      </c>
      <c r="L235" t="str">
        <f>_xlfn.XLOOKUP(order[[#This Row],[customer_id]],customer[customer_id],customer[state])</f>
        <v>Karnataka</v>
      </c>
      <c r="M235" t="str">
        <f>_xlfn.XLOOKUP(order[[#This Row],[product_id]],products!$A$2:$A$11,products!$B$2:$B$11)</f>
        <v>iPhone 13</v>
      </c>
      <c r="N235" s="3" t="str">
        <f>_xlfn.XLOOKUP(order[[#This Row],[product_id]],products!$A$2:$A$11,products!$C$2:$C$11)</f>
        <v>Electronics</v>
      </c>
      <c r="O235" s="3">
        <f>_xlfn.XLOOKUP(order[[#This Row],[product_id]],Table4[product_id],Table4[cost_price])</f>
        <v>52000</v>
      </c>
      <c r="P235" s="11">
        <f>_xlfn.XLOOKUP(order[[#This Row],[order_id]],shipment[order_id],shipment[ship_date])</f>
        <v>45435</v>
      </c>
      <c r="Q235" s="11">
        <f>_xlfn.XLOOKUP(order[[#This Row],[order_id]],shipment[order_id],shipment[delivery_date])</f>
        <v>45443</v>
      </c>
      <c r="R235" s="3" t="str">
        <f>_xlfn.XLOOKUP(order[[#This Row],[order_id]],shipment[shipment_id],shipment[courier])</f>
        <v>BlueDart</v>
      </c>
      <c r="S235" s="3">
        <f>order[[#This Row],[selling_price]]-order[[#This Row],[cost_price]]*order[[#This Row],[quantity]]-order[[#This Row],[discount]]</f>
        <v>-2318</v>
      </c>
      <c r="T235" s="3">
        <f>order[[#This Row],[quantity]]*order[[#This Row],[selling_price]]</f>
        <v>50722</v>
      </c>
    </row>
    <row r="236" spans="1:20" x14ac:dyDescent="0.3">
      <c r="A236">
        <v>235</v>
      </c>
      <c r="B236" s="11">
        <v>45521</v>
      </c>
      <c r="C236">
        <v>294</v>
      </c>
      <c r="D236" t="str">
        <f>_xlfn.XLOOKUP(order[[#This Row],[customer_id]],customer[customer_id],customer[customer_name])</f>
        <v>Sneha Iyer</v>
      </c>
      <c r="E236">
        <v>209</v>
      </c>
      <c r="F236">
        <v>2</v>
      </c>
      <c r="G236">
        <v>50786</v>
      </c>
      <c r="H236">
        <v>2525</v>
      </c>
      <c r="I236" t="s">
        <v>11</v>
      </c>
      <c r="J236" t="s">
        <v>14</v>
      </c>
      <c r="K236" t="str">
        <f>_xlfn.XLOOKUP(order[[#This Row],[customer_id]],customer[customer_id],customer[city])</f>
        <v>Hyderabad</v>
      </c>
      <c r="L236" t="str">
        <f>_xlfn.XLOOKUP(order[[#This Row],[customer_id]],customer[customer_id],customer[state])</f>
        <v>Telangana</v>
      </c>
      <c r="M236" t="str">
        <f>_xlfn.XLOOKUP(order[[#This Row],[product_id]],products!$A$2:$A$11,products!$B$2:$B$11)</f>
        <v>Milton Thermosteel Bottle</v>
      </c>
      <c r="N236" s="3" t="str">
        <f>_xlfn.XLOOKUP(order[[#This Row],[product_id]],products!$A$2:$A$11,products!$C$2:$C$11)</f>
        <v>Home &amp; Kitchen</v>
      </c>
      <c r="O236" s="3">
        <f>_xlfn.XLOOKUP(order[[#This Row],[product_id]],Table4[product_id],Table4[cost_price])</f>
        <v>800</v>
      </c>
      <c r="P236" s="11">
        <f>_xlfn.XLOOKUP(order[[#This Row],[order_id]],shipment[order_id],shipment[ship_date])</f>
        <v>45410</v>
      </c>
      <c r="Q236" s="11">
        <f>_xlfn.XLOOKUP(order[[#This Row],[order_id]],shipment[order_id],shipment[delivery_date])</f>
        <v>45416</v>
      </c>
      <c r="R236" s="3" t="str">
        <f>_xlfn.XLOOKUP(order[[#This Row],[order_id]],shipment[shipment_id],shipment[courier])</f>
        <v>BlueDart</v>
      </c>
      <c r="S236" s="3">
        <f>order[[#This Row],[selling_price]]-order[[#This Row],[cost_price]]*order[[#This Row],[quantity]]-order[[#This Row],[discount]]</f>
        <v>46661</v>
      </c>
      <c r="T236" s="3">
        <f>order[[#This Row],[quantity]]*order[[#This Row],[selling_price]]</f>
        <v>101572</v>
      </c>
    </row>
    <row r="237" spans="1:20" x14ac:dyDescent="0.3">
      <c r="A237">
        <v>236</v>
      </c>
      <c r="B237" s="11">
        <v>45564</v>
      </c>
      <c r="C237">
        <v>266</v>
      </c>
      <c r="D237" t="str">
        <f>_xlfn.XLOOKUP(order[[#This Row],[customer_id]],customer[customer_id],customer[customer_name])</f>
        <v>Karan Patel</v>
      </c>
      <c r="E237">
        <v>205</v>
      </c>
      <c r="F237">
        <v>1</v>
      </c>
      <c r="G237">
        <v>7839</v>
      </c>
      <c r="H237">
        <v>1446</v>
      </c>
      <c r="I237" t="s">
        <v>15</v>
      </c>
      <c r="J237" t="s">
        <v>14</v>
      </c>
      <c r="K237" t="str">
        <f>_xlfn.XLOOKUP(order[[#This Row],[customer_id]],customer[customer_id],customer[city])</f>
        <v>Chennai</v>
      </c>
      <c r="L237" t="str">
        <f>_xlfn.XLOOKUP(order[[#This Row],[customer_id]],customer[customer_id],customer[state])</f>
        <v>Tamil Nadu</v>
      </c>
      <c r="M237" t="str">
        <f>_xlfn.XLOOKUP(order[[#This Row],[product_id]],products!$A$2:$A$11,products!$B$2:$B$11)</f>
        <v>Prestige Pressure Cooker 5L</v>
      </c>
      <c r="N237" s="3" t="str">
        <f>_xlfn.XLOOKUP(order[[#This Row],[product_id]],products!$A$2:$A$11,products!$C$2:$C$11)</f>
        <v>Home &amp; Kitchen</v>
      </c>
      <c r="O237" s="3">
        <f>_xlfn.XLOOKUP(order[[#This Row],[product_id]],Table4[product_id],Table4[cost_price])</f>
        <v>1200</v>
      </c>
      <c r="P237" s="11">
        <f>_xlfn.XLOOKUP(order[[#This Row],[order_id]],shipment[order_id],shipment[ship_date])</f>
        <v>45411</v>
      </c>
      <c r="Q237" s="11">
        <f>_xlfn.XLOOKUP(order[[#This Row],[order_id]],shipment[order_id],shipment[delivery_date])</f>
        <v>45416</v>
      </c>
      <c r="R237" s="3" t="str">
        <f>_xlfn.XLOOKUP(order[[#This Row],[order_id]],shipment[shipment_id],shipment[courier])</f>
        <v>BlueDart</v>
      </c>
      <c r="S237" s="3">
        <f>order[[#This Row],[selling_price]]-order[[#This Row],[cost_price]]*order[[#This Row],[quantity]]-order[[#This Row],[discount]]</f>
        <v>5193</v>
      </c>
      <c r="T237" s="3">
        <f>order[[#This Row],[quantity]]*order[[#This Row],[selling_price]]</f>
        <v>7839</v>
      </c>
    </row>
    <row r="238" spans="1:20" x14ac:dyDescent="0.3">
      <c r="A238">
        <v>237</v>
      </c>
      <c r="B238" s="11">
        <v>45510</v>
      </c>
      <c r="C238">
        <v>204</v>
      </c>
      <c r="D238" t="str">
        <f>_xlfn.XLOOKUP(order[[#This Row],[customer_id]],customer[customer_id],customer[customer_name])</f>
        <v>Meera Joshi</v>
      </c>
      <c r="E238">
        <v>207</v>
      </c>
      <c r="F238">
        <v>3</v>
      </c>
      <c r="G238">
        <v>65216</v>
      </c>
      <c r="H238">
        <v>1371</v>
      </c>
      <c r="I238" t="s">
        <v>15</v>
      </c>
      <c r="J238" t="s">
        <v>10</v>
      </c>
      <c r="K238" t="str">
        <f>_xlfn.XLOOKUP(order[[#This Row],[customer_id]],customer[customer_id],customer[city])</f>
        <v>Mumbai</v>
      </c>
      <c r="L238" t="str">
        <f>_xlfn.XLOOKUP(order[[#This Row],[customer_id]],customer[customer_id],customer[state])</f>
        <v>Maharashtra</v>
      </c>
      <c r="M238" t="str">
        <f>_xlfn.XLOOKUP(order[[#This Row],[product_id]],products!$A$2:$A$11,products!$B$2:$B$11)</f>
        <v>Sony WH-1000XM4 Headphones</v>
      </c>
      <c r="N238" s="3" t="str">
        <f>_xlfn.XLOOKUP(order[[#This Row],[product_id]],products!$A$2:$A$11,products!$C$2:$C$11)</f>
        <v>Electronics</v>
      </c>
      <c r="O238" s="3">
        <f>_xlfn.XLOOKUP(order[[#This Row],[product_id]],Table4[product_id],Table4[cost_price])</f>
        <v>20000</v>
      </c>
      <c r="P238" s="11">
        <f>_xlfn.XLOOKUP(order[[#This Row],[order_id]],shipment[order_id],shipment[ship_date])</f>
        <v>45593</v>
      </c>
      <c r="Q238" s="11">
        <f>_xlfn.XLOOKUP(order[[#This Row],[order_id]],shipment[order_id],shipment[delivery_date])</f>
        <v>45597</v>
      </c>
      <c r="R238" s="3" t="str">
        <f>_xlfn.XLOOKUP(order[[#This Row],[order_id]],shipment[shipment_id],shipment[courier])</f>
        <v>BlueDart</v>
      </c>
      <c r="S238" s="3">
        <f>order[[#This Row],[selling_price]]-order[[#This Row],[cost_price]]*order[[#This Row],[quantity]]-order[[#This Row],[discount]]</f>
        <v>3845</v>
      </c>
      <c r="T238" s="3">
        <f>order[[#This Row],[quantity]]*order[[#This Row],[selling_price]]</f>
        <v>195648</v>
      </c>
    </row>
    <row r="239" spans="1:20" x14ac:dyDescent="0.3">
      <c r="A239">
        <v>238</v>
      </c>
      <c r="B239" s="11">
        <v>45471</v>
      </c>
      <c r="C239">
        <v>293</v>
      </c>
      <c r="D239" t="str">
        <f>_xlfn.XLOOKUP(order[[#This Row],[customer_id]],customer[customer_id],customer[customer_name])</f>
        <v>Sneha Iyer</v>
      </c>
      <c r="E239">
        <v>205</v>
      </c>
      <c r="F239">
        <v>1</v>
      </c>
      <c r="G239">
        <v>30939</v>
      </c>
      <c r="H239">
        <v>2169</v>
      </c>
      <c r="I239" t="s">
        <v>13</v>
      </c>
      <c r="J239" t="s">
        <v>10</v>
      </c>
      <c r="K239" t="str">
        <f>_xlfn.XLOOKUP(order[[#This Row],[customer_id]],customer[customer_id],customer[city])</f>
        <v>Pune</v>
      </c>
      <c r="L239" t="str">
        <f>_xlfn.XLOOKUP(order[[#This Row],[customer_id]],customer[customer_id],customer[state])</f>
        <v>Maharashtra</v>
      </c>
      <c r="M239" t="str">
        <f>_xlfn.XLOOKUP(order[[#This Row],[product_id]],products!$A$2:$A$11,products!$B$2:$B$11)</f>
        <v>Prestige Pressure Cooker 5L</v>
      </c>
      <c r="N239" s="3" t="str">
        <f>_xlfn.XLOOKUP(order[[#This Row],[product_id]],products!$A$2:$A$11,products!$C$2:$C$11)</f>
        <v>Home &amp; Kitchen</v>
      </c>
      <c r="O239" s="3">
        <f>_xlfn.XLOOKUP(order[[#This Row],[product_id]],Table4[product_id],Table4[cost_price])</f>
        <v>1200</v>
      </c>
      <c r="P239" s="11">
        <f>_xlfn.XLOOKUP(order[[#This Row],[order_id]],shipment[order_id],shipment[ship_date])</f>
        <v>45374</v>
      </c>
      <c r="Q239" s="11">
        <f>_xlfn.XLOOKUP(order[[#This Row],[order_id]],shipment[order_id],shipment[delivery_date])</f>
        <v>45382</v>
      </c>
      <c r="R239" s="3" t="str">
        <f>_xlfn.XLOOKUP(order[[#This Row],[order_id]],shipment[shipment_id],shipment[courier])</f>
        <v>Delhivery</v>
      </c>
      <c r="S239" s="3">
        <f>order[[#This Row],[selling_price]]-order[[#This Row],[cost_price]]*order[[#This Row],[quantity]]-order[[#This Row],[discount]]</f>
        <v>27570</v>
      </c>
      <c r="T239" s="3">
        <f>order[[#This Row],[quantity]]*order[[#This Row],[selling_price]]</f>
        <v>30939</v>
      </c>
    </row>
    <row r="240" spans="1:20" x14ac:dyDescent="0.3">
      <c r="A240">
        <v>3</v>
      </c>
      <c r="B240" s="11">
        <v>45618</v>
      </c>
      <c r="C240">
        <v>224</v>
      </c>
      <c r="D240" t="str">
        <f>_xlfn.XLOOKUP(order[[#This Row],[customer_id]],customer[customer_id],customer[customer_name])</f>
        <v>Ananya Gupta</v>
      </c>
      <c r="E240">
        <v>201</v>
      </c>
      <c r="F240">
        <v>1</v>
      </c>
      <c r="G240">
        <v>11597</v>
      </c>
      <c r="H240">
        <v>951</v>
      </c>
      <c r="I240" t="s">
        <v>9</v>
      </c>
      <c r="J240" t="s">
        <v>10</v>
      </c>
      <c r="K240" t="str">
        <f>_xlfn.XLOOKUP(order[[#This Row],[customer_id]],customer[customer_id],customer[city])</f>
        <v>Delhi</v>
      </c>
      <c r="L240" t="str">
        <f>_xlfn.XLOOKUP(order[[#This Row],[customer_id]],customer[customer_id],customer[state])</f>
        <v>Delhi</v>
      </c>
      <c r="M240" t="str">
        <f>_xlfn.XLOOKUP(order[[#This Row],[product_id]],products!$A$2:$A$11,products!$B$2:$B$11)</f>
        <v>iPhone 13</v>
      </c>
      <c r="N240" s="3" t="str">
        <f>_xlfn.XLOOKUP(order[[#This Row],[product_id]],products!$A$2:$A$11,products!$C$2:$C$11)</f>
        <v>Electronics</v>
      </c>
      <c r="O240" s="3">
        <f>_xlfn.XLOOKUP(order[[#This Row],[product_id]],Table4[product_id],Table4[cost_price])</f>
        <v>52000</v>
      </c>
      <c r="P240" s="11">
        <f>_xlfn.XLOOKUP(order[[#This Row],[order_id]],shipment[order_id],shipment[ship_date])</f>
        <v>45344</v>
      </c>
      <c r="Q240" s="11">
        <f>_xlfn.XLOOKUP(order[[#This Row],[order_id]],shipment[order_id],shipment[delivery_date])</f>
        <v>45349</v>
      </c>
      <c r="R240" s="3" t="str">
        <f>_xlfn.XLOOKUP(order[[#This Row],[order_id]],shipment[shipment_id],shipment[courier])</f>
        <v>BlueDart</v>
      </c>
      <c r="S240" s="3">
        <f>order[[#This Row],[selling_price]]-order[[#This Row],[cost_price]]*order[[#This Row],[quantity]]-order[[#This Row],[discount]]</f>
        <v>-41354</v>
      </c>
      <c r="T240" s="3">
        <f>order[[#This Row],[quantity]]*order[[#This Row],[selling_price]]</f>
        <v>11597</v>
      </c>
    </row>
    <row r="241" spans="1:20" x14ac:dyDescent="0.3">
      <c r="A241">
        <v>240</v>
      </c>
      <c r="B241" s="11">
        <v>45405</v>
      </c>
      <c r="C241">
        <v>252</v>
      </c>
      <c r="D241" t="str">
        <f>_xlfn.XLOOKUP(order[[#This Row],[customer_id]],customer[customer_id],customer[customer_name])</f>
        <v>Ananya Gupta</v>
      </c>
      <c r="E241">
        <v>205</v>
      </c>
      <c r="F241">
        <v>4</v>
      </c>
      <c r="G241">
        <v>33736</v>
      </c>
      <c r="H241">
        <v>1735</v>
      </c>
      <c r="I241" t="s">
        <v>11</v>
      </c>
      <c r="J241" t="s">
        <v>14</v>
      </c>
      <c r="K241" t="str">
        <f>_xlfn.XLOOKUP(order[[#This Row],[customer_id]],customer[customer_id],customer[city])</f>
        <v>Pune</v>
      </c>
      <c r="L241" t="str">
        <f>_xlfn.XLOOKUP(order[[#This Row],[customer_id]],customer[customer_id],customer[state])</f>
        <v>Maharashtra</v>
      </c>
      <c r="M241" t="str">
        <f>_xlfn.XLOOKUP(order[[#This Row],[product_id]],products!$A$2:$A$11,products!$B$2:$B$11)</f>
        <v>Prestige Pressure Cooker 5L</v>
      </c>
      <c r="N241" s="3" t="str">
        <f>_xlfn.XLOOKUP(order[[#This Row],[product_id]],products!$A$2:$A$11,products!$C$2:$C$11)</f>
        <v>Home &amp; Kitchen</v>
      </c>
      <c r="O241" s="3">
        <f>_xlfn.XLOOKUP(order[[#This Row],[product_id]],Table4[product_id],Table4[cost_price])</f>
        <v>1200</v>
      </c>
      <c r="P241" s="11">
        <f>_xlfn.XLOOKUP(order[[#This Row],[order_id]],shipment[order_id],shipment[ship_date])</f>
        <v>45354</v>
      </c>
      <c r="Q241" s="11">
        <f>_xlfn.XLOOKUP(order[[#This Row],[order_id]],shipment[order_id],shipment[delivery_date])</f>
        <v>45360</v>
      </c>
      <c r="R241" s="3" t="str">
        <f>_xlfn.XLOOKUP(order[[#This Row],[order_id]],shipment[shipment_id],shipment[courier])</f>
        <v>DTDC</v>
      </c>
      <c r="S241" s="3">
        <f>order[[#This Row],[selling_price]]-order[[#This Row],[cost_price]]*order[[#This Row],[quantity]]-order[[#This Row],[discount]]</f>
        <v>27201</v>
      </c>
      <c r="T241" s="3">
        <f>order[[#This Row],[quantity]]*order[[#This Row],[selling_price]]</f>
        <v>134944</v>
      </c>
    </row>
    <row r="242" spans="1:20" x14ac:dyDescent="0.3">
      <c r="A242">
        <v>241</v>
      </c>
      <c r="B242" s="11">
        <v>45452</v>
      </c>
      <c r="C242">
        <v>273</v>
      </c>
      <c r="D242" t="str">
        <f>_xlfn.XLOOKUP(order[[#This Row],[customer_id]],customer[customer_id],customer[customer_name])</f>
        <v>Pooja Nair</v>
      </c>
      <c r="E242">
        <v>204</v>
      </c>
      <c r="F242">
        <v>4</v>
      </c>
      <c r="G242">
        <v>47789</v>
      </c>
      <c r="H242">
        <v>746</v>
      </c>
      <c r="I242" t="s">
        <v>15</v>
      </c>
      <c r="J242" t="s">
        <v>10</v>
      </c>
      <c r="K242" t="str">
        <f>_xlfn.XLOOKUP(order[[#This Row],[customer_id]],customer[customer_id],customer[city])</f>
        <v>Bangalore</v>
      </c>
      <c r="L242" t="str">
        <f>_xlfn.XLOOKUP(order[[#This Row],[customer_id]],customer[customer_id],customer[state])</f>
        <v>Karnataka</v>
      </c>
      <c r="M242" t="str">
        <f>_xlfn.XLOOKUP(order[[#This Row],[product_id]],products!$A$2:$A$11,products!$B$2:$B$11)</f>
        <v>Levi's Slim Fit Jeans</v>
      </c>
      <c r="N242" s="3" t="str">
        <f>_xlfn.XLOOKUP(order[[#This Row],[product_id]],products!$A$2:$A$11,products!$C$2:$C$11)</f>
        <v>Fashion</v>
      </c>
      <c r="O242" s="3">
        <f>_xlfn.XLOOKUP(order[[#This Row],[product_id]],Table4[product_id],Table4[cost_price])</f>
        <v>1800</v>
      </c>
      <c r="P242" s="11">
        <f>_xlfn.XLOOKUP(order[[#This Row],[order_id]],shipment[order_id],shipment[ship_date])</f>
        <v>45545</v>
      </c>
      <c r="Q242" s="11">
        <f>_xlfn.XLOOKUP(order[[#This Row],[order_id]],shipment[order_id],shipment[delivery_date])</f>
        <v>45546</v>
      </c>
      <c r="R242" s="3" t="str">
        <f>_xlfn.XLOOKUP(order[[#This Row],[order_id]],shipment[shipment_id],shipment[courier])</f>
        <v>Ekart</v>
      </c>
      <c r="S242" s="3">
        <f>order[[#This Row],[selling_price]]-order[[#This Row],[cost_price]]*order[[#This Row],[quantity]]-order[[#This Row],[discount]]</f>
        <v>39843</v>
      </c>
      <c r="T242" s="3">
        <f>order[[#This Row],[quantity]]*order[[#This Row],[selling_price]]</f>
        <v>191156</v>
      </c>
    </row>
    <row r="243" spans="1:20" x14ac:dyDescent="0.3">
      <c r="A243">
        <v>242</v>
      </c>
      <c r="B243" s="11">
        <v>45489</v>
      </c>
      <c r="C243">
        <v>132</v>
      </c>
      <c r="D243" t="str">
        <f>_xlfn.XLOOKUP(order[[#This Row],[customer_id]],customer[customer_id],customer[customer_name])</f>
        <v>Sneha Iyer</v>
      </c>
      <c r="E243">
        <v>206</v>
      </c>
      <c r="F243">
        <v>3</v>
      </c>
      <c r="G243">
        <v>25822</v>
      </c>
      <c r="H243">
        <v>2616</v>
      </c>
      <c r="I243" t="s">
        <v>11</v>
      </c>
      <c r="J243" t="s">
        <v>10</v>
      </c>
      <c r="K243" t="str">
        <f>_xlfn.XLOOKUP(order[[#This Row],[customer_id]],customer[customer_id],customer[city])</f>
        <v>Hyderabad</v>
      </c>
      <c r="L243" t="str">
        <f>_xlfn.XLOOKUP(order[[#This Row],[customer_id]],customer[customer_id],customer[state])</f>
        <v>Telangana</v>
      </c>
      <c r="M243" t="str">
        <f>_xlfn.XLOOKUP(order[[#This Row],[product_id]],products!$A$2:$A$11,products!$B$2:$B$11)</f>
        <v>Philips Air Fryer</v>
      </c>
      <c r="N243" s="3" t="str">
        <f>_xlfn.XLOOKUP(order[[#This Row],[product_id]],products!$A$2:$A$11,products!$C$2:$C$11)</f>
        <v>Home &amp; Kitchen</v>
      </c>
      <c r="O243" s="3">
        <f>_xlfn.XLOOKUP(order[[#This Row],[product_id]],Table4[product_id],Table4[cost_price])</f>
        <v>7000</v>
      </c>
      <c r="P243" s="11">
        <f>_xlfn.XLOOKUP(order[[#This Row],[order_id]],shipment[order_id],shipment[ship_date])</f>
        <v>45380</v>
      </c>
      <c r="Q243" s="11">
        <f>_xlfn.XLOOKUP(order[[#This Row],[order_id]],shipment[order_id],shipment[delivery_date])</f>
        <v>45385</v>
      </c>
      <c r="R243" s="3" t="str">
        <f>_xlfn.XLOOKUP(order[[#This Row],[order_id]],shipment[shipment_id],shipment[courier])</f>
        <v>DTDC</v>
      </c>
      <c r="S243" s="3">
        <f>order[[#This Row],[selling_price]]-order[[#This Row],[cost_price]]*order[[#This Row],[quantity]]-order[[#This Row],[discount]]</f>
        <v>2206</v>
      </c>
      <c r="T243" s="3">
        <f>order[[#This Row],[quantity]]*order[[#This Row],[selling_price]]</f>
        <v>77466</v>
      </c>
    </row>
    <row r="244" spans="1:20" x14ac:dyDescent="0.3">
      <c r="A244">
        <v>243</v>
      </c>
      <c r="B244" s="11">
        <v>45650</v>
      </c>
      <c r="C244">
        <v>264</v>
      </c>
      <c r="D244" t="str">
        <f>_xlfn.XLOOKUP(order[[#This Row],[customer_id]],customer[customer_id],customer[customer_name])</f>
        <v>Ishita Bose</v>
      </c>
      <c r="E244">
        <v>208</v>
      </c>
      <c r="F244">
        <v>2</v>
      </c>
      <c r="G244">
        <v>25320</v>
      </c>
      <c r="H244">
        <v>4074</v>
      </c>
      <c r="I244" t="s">
        <v>11</v>
      </c>
      <c r="J244" t="s">
        <v>12</v>
      </c>
      <c r="K244" t="str">
        <f>_xlfn.XLOOKUP(order[[#This Row],[customer_id]],customer[customer_id],customer[city])</f>
        <v>Delhi</v>
      </c>
      <c r="L244" t="str">
        <f>_xlfn.XLOOKUP(order[[#This Row],[customer_id]],customer[customer_id],customer[state])</f>
        <v>Delhi</v>
      </c>
      <c r="M244" t="str">
        <f>_xlfn.XLOOKUP(order[[#This Row],[product_id]],products!$A$2:$A$11,products!$B$2:$B$11)</f>
        <v>Adidas Ultraboost Shoes</v>
      </c>
      <c r="N244" s="3" t="str">
        <f>_xlfn.XLOOKUP(order[[#This Row],[product_id]],products!$A$2:$A$11,products!$C$2:$C$11)</f>
        <v>Fashion</v>
      </c>
      <c r="O244" s="3">
        <f>_xlfn.XLOOKUP(order[[#This Row],[product_id]],Table4[product_id],Table4[cost_price])</f>
        <v>9000</v>
      </c>
      <c r="P244" s="11">
        <f>_xlfn.XLOOKUP(order[[#This Row],[order_id]],shipment[order_id],shipment[ship_date])</f>
        <v>45538</v>
      </c>
      <c r="Q244" s="11">
        <f>_xlfn.XLOOKUP(order[[#This Row],[order_id]],shipment[order_id],shipment[delivery_date])</f>
        <v>45547</v>
      </c>
      <c r="R244" s="3" t="str">
        <f>_xlfn.XLOOKUP(order[[#This Row],[order_id]],shipment[shipment_id],shipment[courier])</f>
        <v>Delhivery</v>
      </c>
      <c r="S244" s="3">
        <f>order[[#This Row],[selling_price]]-order[[#This Row],[cost_price]]*order[[#This Row],[quantity]]-order[[#This Row],[discount]]</f>
        <v>3246</v>
      </c>
      <c r="T244" s="3">
        <f>order[[#This Row],[quantity]]*order[[#This Row],[selling_price]]</f>
        <v>50640</v>
      </c>
    </row>
    <row r="245" spans="1:20" x14ac:dyDescent="0.3">
      <c r="A245">
        <v>244</v>
      </c>
      <c r="B245" s="11">
        <v>45606</v>
      </c>
      <c r="C245">
        <v>247</v>
      </c>
      <c r="D245" t="str">
        <f>_xlfn.XLOOKUP(order[[#This Row],[customer_id]],customer[customer_id],customer[customer_name])</f>
        <v>Pooja Nair</v>
      </c>
      <c r="E245">
        <v>204</v>
      </c>
      <c r="F245">
        <v>3</v>
      </c>
      <c r="G245">
        <v>37318</v>
      </c>
      <c r="H245">
        <v>2983</v>
      </c>
      <c r="I245" t="s">
        <v>15</v>
      </c>
      <c r="J245" t="s">
        <v>12</v>
      </c>
      <c r="K245" t="str">
        <f>_xlfn.XLOOKUP(order[[#This Row],[customer_id]],customer[customer_id],customer[city])</f>
        <v>Pune</v>
      </c>
      <c r="L245" t="str">
        <f>_xlfn.XLOOKUP(order[[#This Row],[customer_id]],customer[customer_id],customer[state])</f>
        <v>Maharashtra</v>
      </c>
      <c r="M245" t="str">
        <f>_xlfn.XLOOKUP(order[[#This Row],[product_id]],products!$A$2:$A$11,products!$B$2:$B$11)</f>
        <v>Levi's Slim Fit Jeans</v>
      </c>
      <c r="N245" s="3" t="str">
        <f>_xlfn.XLOOKUP(order[[#This Row],[product_id]],products!$A$2:$A$11,products!$C$2:$C$11)</f>
        <v>Fashion</v>
      </c>
      <c r="O245" s="3">
        <f>_xlfn.XLOOKUP(order[[#This Row],[product_id]],Table4[product_id],Table4[cost_price])</f>
        <v>1800</v>
      </c>
      <c r="P245" s="11">
        <f>_xlfn.XLOOKUP(order[[#This Row],[order_id]],shipment[order_id],shipment[ship_date])</f>
        <v>45602</v>
      </c>
      <c r="Q245" s="11">
        <f>_xlfn.XLOOKUP(order[[#This Row],[order_id]],shipment[order_id],shipment[delivery_date])</f>
        <v>45608</v>
      </c>
      <c r="R245" s="3" t="str">
        <f>_xlfn.XLOOKUP(order[[#This Row],[order_id]],shipment[shipment_id],shipment[courier])</f>
        <v>DTDC</v>
      </c>
      <c r="S245" s="3">
        <f>order[[#This Row],[selling_price]]-order[[#This Row],[cost_price]]*order[[#This Row],[quantity]]-order[[#This Row],[discount]]</f>
        <v>28935</v>
      </c>
      <c r="T245" s="3">
        <f>order[[#This Row],[quantity]]*order[[#This Row],[selling_price]]</f>
        <v>111954</v>
      </c>
    </row>
    <row r="246" spans="1:20" x14ac:dyDescent="0.3">
      <c r="A246">
        <v>245</v>
      </c>
      <c r="B246" s="11">
        <v>45591</v>
      </c>
      <c r="C246">
        <v>263</v>
      </c>
      <c r="D246" t="str">
        <f>_xlfn.XLOOKUP(order[[#This Row],[customer_id]],customer[customer_id],customer[customer_name])</f>
        <v>Rohit Verma</v>
      </c>
      <c r="E246">
        <v>209</v>
      </c>
      <c r="F246">
        <v>4</v>
      </c>
      <c r="G246">
        <v>15227</v>
      </c>
      <c r="H246">
        <v>1943</v>
      </c>
      <c r="I246" t="s">
        <v>11</v>
      </c>
      <c r="J246" t="s">
        <v>10</v>
      </c>
      <c r="K246" t="str">
        <f>_xlfn.XLOOKUP(order[[#This Row],[customer_id]],customer[customer_id],customer[city])</f>
        <v>Chennai</v>
      </c>
      <c r="L246" t="str">
        <f>_xlfn.XLOOKUP(order[[#This Row],[customer_id]],customer[customer_id],customer[state])</f>
        <v>Tamil Nadu</v>
      </c>
      <c r="M246" t="str">
        <f>_xlfn.XLOOKUP(order[[#This Row],[product_id]],products!$A$2:$A$11,products!$B$2:$B$11)</f>
        <v>Milton Thermosteel Bottle</v>
      </c>
      <c r="N246" s="3" t="str">
        <f>_xlfn.XLOOKUP(order[[#This Row],[product_id]],products!$A$2:$A$11,products!$C$2:$C$11)</f>
        <v>Home &amp; Kitchen</v>
      </c>
      <c r="O246" s="3">
        <f>_xlfn.XLOOKUP(order[[#This Row],[product_id]],Table4[product_id],Table4[cost_price])</f>
        <v>800</v>
      </c>
      <c r="P246" s="11">
        <f>_xlfn.XLOOKUP(order[[#This Row],[order_id]],shipment[order_id],shipment[ship_date])</f>
        <v>45474</v>
      </c>
      <c r="Q246" s="11">
        <f>_xlfn.XLOOKUP(order[[#This Row],[order_id]],shipment[order_id],shipment[delivery_date])</f>
        <v>45482</v>
      </c>
      <c r="R246" s="3" t="str">
        <f>_xlfn.XLOOKUP(order[[#This Row],[order_id]],shipment[shipment_id],shipment[courier])</f>
        <v>Ekart</v>
      </c>
      <c r="S246" s="3">
        <f>order[[#This Row],[selling_price]]-order[[#This Row],[cost_price]]*order[[#This Row],[quantity]]-order[[#This Row],[discount]]</f>
        <v>10084</v>
      </c>
      <c r="T246" s="3">
        <f>order[[#This Row],[quantity]]*order[[#This Row],[selling_price]]</f>
        <v>60908</v>
      </c>
    </row>
    <row r="247" spans="1:20" x14ac:dyDescent="0.3">
      <c r="A247">
        <v>170</v>
      </c>
      <c r="B247" s="11">
        <v>45376</v>
      </c>
      <c r="C247">
        <v>152</v>
      </c>
      <c r="D247" t="str">
        <f>_xlfn.XLOOKUP(order[[#This Row],[customer_id]],customer[customer_id],customer[customer_name])</f>
        <v>Manish Yadav</v>
      </c>
      <c r="E247">
        <v>201</v>
      </c>
      <c r="F247">
        <v>1</v>
      </c>
      <c r="G247">
        <v>22389</v>
      </c>
      <c r="H247">
        <v>799</v>
      </c>
      <c r="I247" t="s">
        <v>11</v>
      </c>
      <c r="J247" t="s">
        <v>12</v>
      </c>
      <c r="K247" t="str">
        <f>_xlfn.XLOOKUP(order[[#This Row],[customer_id]],customer[customer_id],customer[city])</f>
        <v>Bangalore</v>
      </c>
      <c r="L247" t="str">
        <f>_xlfn.XLOOKUP(order[[#This Row],[customer_id]],customer[customer_id],customer[state])</f>
        <v>Karnataka</v>
      </c>
      <c r="M247" t="str">
        <f>_xlfn.XLOOKUP(order[[#This Row],[product_id]],products!$A$2:$A$11,products!$B$2:$B$11)</f>
        <v>iPhone 13</v>
      </c>
      <c r="N247" s="3" t="str">
        <f>_xlfn.XLOOKUP(order[[#This Row],[product_id]],products!$A$2:$A$11,products!$C$2:$C$11)</f>
        <v>Electronics</v>
      </c>
      <c r="O247" s="3">
        <f>_xlfn.XLOOKUP(order[[#This Row],[product_id]],Table4[product_id],Table4[cost_price])</f>
        <v>52000</v>
      </c>
      <c r="P247" s="11">
        <f>_xlfn.XLOOKUP(order[[#This Row],[order_id]],shipment[order_id],shipment[ship_date])</f>
        <v>45442</v>
      </c>
      <c r="Q247" s="11">
        <f>_xlfn.XLOOKUP(order[[#This Row],[order_id]],shipment[order_id],shipment[delivery_date])</f>
        <v>45448</v>
      </c>
      <c r="R247" s="3" t="str">
        <f>_xlfn.XLOOKUP(order[[#This Row],[order_id]],shipment[shipment_id],shipment[courier])</f>
        <v>Delhivery</v>
      </c>
      <c r="S247" s="3">
        <f>order[[#This Row],[selling_price]]-order[[#This Row],[cost_price]]*order[[#This Row],[quantity]]-order[[#This Row],[discount]]</f>
        <v>-30410</v>
      </c>
      <c r="T247" s="3">
        <f>order[[#This Row],[quantity]]*order[[#This Row],[selling_price]]</f>
        <v>22389</v>
      </c>
    </row>
    <row r="248" spans="1:20" x14ac:dyDescent="0.3">
      <c r="A248">
        <v>247</v>
      </c>
      <c r="B248" s="11">
        <v>45526</v>
      </c>
      <c r="C248">
        <v>229</v>
      </c>
      <c r="D248" t="str">
        <f>_xlfn.XLOOKUP(order[[#This Row],[customer_id]],customer[customer_id],customer[customer_name])</f>
        <v>Aarav Sharma</v>
      </c>
      <c r="E248">
        <v>209</v>
      </c>
      <c r="F248">
        <v>3</v>
      </c>
      <c r="G248">
        <v>63849</v>
      </c>
      <c r="H248">
        <v>3660</v>
      </c>
      <c r="I248" t="s">
        <v>15</v>
      </c>
      <c r="J248" t="s">
        <v>12</v>
      </c>
      <c r="K248" t="str">
        <f>_xlfn.XLOOKUP(order[[#This Row],[customer_id]],customer[customer_id],customer[city])</f>
        <v>Hyderabad</v>
      </c>
      <c r="L248" t="str">
        <f>_xlfn.XLOOKUP(order[[#This Row],[customer_id]],customer[customer_id],customer[state])</f>
        <v>Telangana</v>
      </c>
      <c r="M248" t="str">
        <f>_xlfn.XLOOKUP(order[[#This Row],[product_id]],products!$A$2:$A$11,products!$B$2:$B$11)</f>
        <v>Milton Thermosteel Bottle</v>
      </c>
      <c r="N248" s="3" t="str">
        <f>_xlfn.XLOOKUP(order[[#This Row],[product_id]],products!$A$2:$A$11,products!$C$2:$C$11)</f>
        <v>Home &amp; Kitchen</v>
      </c>
      <c r="O248" s="3">
        <f>_xlfn.XLOOKUP(order[[#This Row],[product_id]],Table4[product_id],Table4[cost_price])</f>
        <v>800</v>
      </c>
      <c r="P248" s="11">
        <f>_xlfn.XLOOKUP(order[[#This Row],[order_id]],shipment[order_id],shipment[ship_date])</f>
        <v>45465</v>
      </c>
      <c r="Q248" s="11">
        <f>_xlfn.XLOOKUP(order[[#This Row],[order_id]],shipment[order_id],shipment[delivery_date])</f>
        <v>45471</v>
      </c>
      <c r="R248" s="3" t="str">
        <f>_xlfn.XLOOKUP(order[[#This Row],[order_id]],shipment[shipment_id],shipment[courier])</f>
        <v>Ekart</v>
      </c>
      <c r="S248" s="3">
        <f>order[[#This Row],[selling_price]]-order[[#This Row],[cost_price]]*order[[#This Row],[quantity]]-order[[#This Row],[discount]]</f>
        <v>57789</v>
      </c>
      <c r="T248" s="3">
        <f>order[[#This Row],[quantity]]*order[[#This Row],[selling_price]]</f>
        <v>191547</v>
      </c>
    </row>
    <row r="249" spans="1:20" x14ac:dyDescent="0.3">
      <c r="A249">
        <v>248</v>
      </c>
      <c r="B249" s="11">
        <v>45372</v>
      </c>
      <c r="C249">
        <v>219</v>
      </c>
      <c r="D249" t="str">
        <f>_xlfn.XLOOKUP(order[[#This Row],[customer_id]],customer[customer_id],customer[customer_name])</f>
        <v>Meera Joshi</v>
      </c>
      <c r="E249">
        <v>205</v>
      </c>
      <c r="F249">
        <v>3</v>
      </c>
      <c r="G249">
        <v>26235</v>
      </c>
      <c r="H249">
        <v>3526</v>
      </c>
      <c r="I249" t="s">
        <v>9</v>
      </c>
      <c r="J249" t="s">
        <v>12</v>
      </c>
      <c r="K249" t="str">
        <f>_xlfn.XLOOKUP(order[[#This Row],[customer_id]],customer[customer_id],customer[city])</f>
        <v>Bangalore</v>
      </c>
      <c r="L249" t="str">
        <f>_xlfn.XLOOKUP(order[[#This Row],[customer_id]],customer[customer_id],customer[state])</f>
        <v>Karnataka</v>
      </c>
      <c r="M249" t="str">
        <f>_xlfn.XLOOKUP(order[[#This Row],[product_id]],products!$A$2:$A$11,products!$B$2:$B$11)</f>
        <v>Prestige Pressure Cooker 5L</v>
      </c>
      <c r="N249" s="3" t="str">
        <f>_xlfn.XLOOKUP(order[[#This Row],[product_id]],products!$A$2:$A$11,products!$C$2:$C$11)</f>
        <v>Home &amp; Kitchen</v>
      </c>
      <c r="O249" s="3">
        <f>_xlfn.XLOOKUP(order[[#This Row],[product_id]],Table4[product_id],Table4[cost_price])</f>
        <v>1200</v>
      </c>
      <c r="P249" s="11">
        <f>_xlfn.XLOOKUP(order[[#This Row],[order_id]],shipment[order_id],shipment[ship_date])</f>
        <v>45535</v>
      </c>
      <c r="Q249" s="11">
        <f>_xlfn.XLOOKUP(order[[#This Row],[order_id]],shipment[order_id],shipment[delivery_date])</f>
        <v>45545</v>
      </c>
      <c r="R249" s="3" t="str">
        <f>_xlfn.XLOOKUP(order[[#This Row],[order_id]],shipment[shipment_id],shipment[courier])</f>
        <v>DTDC</v>
      </c>
      <c r="S249" s="3">
        <f>order[[#This Row],[selling_price]]-order[[#This Row],[cost_price]]*order[[#This Row],[quantity]]-order[[#This Row],[discount]]</f>
        <v>19109</v>
      </c>
      <c r="T249" s="3">
        <f>order[[#This Row],[quantity]]*order[[#This Row],[selling_price]]</f>
        <v>78705</v>
      </c>
    </row>
    <row r="250" spans="1:20" x14ac:dyDescent="0.3">
      <c r="A250">
        <v>84</v>
      </c>
      <c r="B250" s="11">
        <v>45600</v>
      </c>
      <c r="C250">
        <v>108</v>
      </c>
      <c r="D250" t="str">
        <f>_xlfn.XLOOKUP(order[[#This Row],[customer_id]],customer[customer_id],customer[customer_name])</f>
        <v>Arjun Nair</v>
      </c>
      <c r="E250">
        <v>201</v>
      </c>
      <c r="F250">
        <v>4</v>
      </c>
      <c r="G250">
        <v>26188</v>
      </c>
      <c r="H250">
        <v>772</v>
      </c>
      <c r="I250" t="s">
        <v>13</v>
      </c>
      <c r="J250" t="s">
        <v>12</v>
      </c>
      <c r="K250" t="str">
        <f>_xlfn.XLOOKUP(order[[#This Row],[customer_id]],customer[customer_id],customer[city])</f>
        <v>Ahmedabad</v>
      </c>
      <c r="L250" t="str">
        <f>_xlfn.XLOOKUP(order[[#This Row],[customer_id]],customer[customer_id],customer[state])</f>
        <v>Gujarat</v>
      </c>
      <c r="M250" t="str">
        <f>_xlfn.XLOOKUP(order[[#This Row],[product_id]],products!$A$2:$A$11,products!$B$2:$B$11)</f>
        <v>iPhone 13</v>
      </c>
      <c r="N250" s="3" t="str">
        <f>_xlfn.XLOOKUP(order[[#This Row],[product_id]],products!$A$2:$A$11,products!$C$2:$C$11)</f>
        <v>Electronics</v>
      </c>
      <c r="O250" s="3">
        <f>_xlfn.XLOOKUP(order[[#This Row],[product_id]],Table4[product_id],Table4[cost_price])</f>
        <v>52000</v>
      </c>
      <c r="P250" s="11">
        <f>_xlfn.XLOOKUP(order[[#This Row],[order_id]],shipment[order_id],shipment[ship_date])</f>
        <v>45588</v>
      </c>
      <c r="Q250" s="11">
        <f>_xlfn.XLOOKUP(order[[#This Row],[order_id]],shipment[order_id],shipment[delivery_date])</f>
        <v>45593</v>
      </c>
      <c r="R250" s="3" t="str">
        <f>_xlfn.XLOOKUP(order[[#This Row],[order_id]],shipment[shipment_id],shipment[courier])</f>
        <v>Ekart</v>
      </c>
      <c r="S250" s="3">
        <f>order[[#This Row],[selling_price]]-order[[#This Row],[cost_price]]*order[[#This Row],[quantity]]-order[[#This Row],[discount]]</f>
        <v>-182584</v>
      </c>
      <c r="T250" s="3">
        <f>order[[#This Row],[quantity]]*order[[#This Row],[selling_price]]</f>
        <v>104752</v>
      </c>
    </row>
    <row r="251" spans="1:20" x14ac:dyDescent="0.3">
      <c r="A251">
        <v>533</v>
      </c>
      <c r="B251" s="11">
        <v>45446</v>
      </c>
      <c r="C251">
        <v>170</v>
      </c>
      <c r="D251" t="str">
        <f>_xlfn.XLOOKUP(order[[#This Row],[customer_id]],customer[customer_id],customer[customer_name])</f>
        <v>Siddharth Jain</v>
      </c>
      <c r="E251">
        <v>201</v>
      </c>
      <c r="F251">
        <v>2</v>
      </c>
      <c r="G251">
        <v>46224</v>
      </c>
      <c r="H251">
        <v>686</v>
      </c>
      <c r="I251" t="s">
        <v>9</v>
      </c>
      <c r="J251" t="s">
        <v>10</v>
      </c>
      <c r="K251" t="str">
        <f>_xlfn.XLOOKUP(order[[#This Row],[customer_id]],customer[customer_id],customer[city])</f>
        <v>Pune</v>
      </c>
      <c r="L251" t="str">
        <f>_xlfn.XLOOKUP(order[[#This Row],[customer_id]],customer[customer_id],customer[state])</f>
        <v>Maharashtra</v>
      </c>
      <c r="M251" t="str">
        <f>_xlfn.XLOOKUP(order[[#This Row],[product_id]],products!$A$2:$A$11,products!$B$2:$B$11)</f>
        <v>iPhone 13</v>
      </c>
      <c r="N251" s="3" t="str">
        <f>_xlfn.XLOOKUP(order[[#This Row],[product_id]],products!$A$2:$A$11,products!$C$2:$C$11)</f>
        <v>Electronics</v>
      </c>
      <c r="O251" s="3">
        <f>_xlfn.XLOOKUP(order[[#This Row],[product_id]],Table4[product_id],Table4[cost_price])</f>
        <v>52000</v>
      </c>
      <c r="P251" s="11">
        <f>_xlfn.XLOOKUP(order[[#This Row],[order_id]],shipment[order_id],shipment[ship_date])</f>
        <v>45479</v>
      </c>
      <c r="Q251" s="11">
        <f>_xlfn.XLOOKUP(order[[#This Row],[order_id]],shipment[order_id],shipment[delivery_date])</f>
        <v>45488</v>
      </c>
      <c r="R251" s="3" t="str">
        <f>_xlfn.XLOOKUP(order[[#This Row],[order_id]],shipment[shipment_id],shipment[courier])</f>
        <v>BlueDart</v>
      </c>
      <c r="S251" s="3">
        <f>order[[#This Row],[selling_price]]-order[[#This Row],[cost_price]]*order[[#This Row],[quantity]]-order[[#This Row],[discount]]</f>
        <v>-58462</v>
      </c>
      <c r="T251" s="3">
        <f>order[[#This Row],[quantity]]*order[[#This Row],[selling_price]]</f>
        <v>92448</v>
      </c>
    </row>
    <row r="252" spans="1:20" x14ac:dyDescent="0.3">
      <c r="A252">
        <v>522</v>
      </c>
      <c r="B252" s="11">
        <v>45624</v>
      </c>
      <c r="C252">
        <v>228</v>
      </c>
      <c r="D252" t="str">
        <f>_xlfn.XLOOKUP(order[[#This Row],[customer_id]],customer[customer_id],customer[customer_name])</f>
        <v>Priya Reddy</v>
      </c>
      <c r="E252">
        <v>201</v>
      </c>
      <c r="F252">
        <v>4</v>
      </c>
      <c r="G252">
        <v>2098</v>
      </c>
      <c r="H252">
        <v>650</v>
      </c>
      <c r="I252" t="s">
        <v>13</v>
      </c>
      <c r="J252" t="s">
        <v>10</v>
      </c>
      <c r="K252" t="str">
        <f>_xlfn.XLOOKUP(order[[#This Row],[customer_id]],customer[customer_id],customer[city])</f>
        <v>Chennai</v>
      </c>
      <c r="L252" t="str">
        <f>_xlfn.XLOOKUP(order[[#This Row],[customer_id]],customer[customer_id],customer[state])</f>
        <v>Tamil Nadu</v>
      </c>
      <c r="M252" t="str">
        <f>_xlfn.XLOOKUP(order[[#This Row],[product_id]],products!$A$2:$A$11,products!$B$2:$B$11)</f>
        <v>iPhone 13</v>
      </c>
      <c r="N252" s="3" t="str">
        <f>_xlfn.XLOOKUP(order[[#This Row],[product_id]],products!$A$2:$A$11,products!$C$2:$C$11)</f>
        <v>Electronics</v>
      </c>
      <c r="O252" s="3">
        <f>_xlfn.XLOOKUP(order[[#This Row],[product_id]],Table4[product_id],Table4[cost_price])</f>
        <v>52000</v>
      </c>
      <c r="P252" s="11">
        <f>_xlfn.XLOOKUP(order[[#This Row],[order_id]],shipment[order_id],shipment[ship_date])</f>
        <v>45476</v>
      </c>
      <c r="Q252" s="11">
        <f>_xlfn.XLOOKUP(order[[#This Row],[order_id]],shipment[order_id],shipment[delivery_date])</f>
        <v>45480</v>
      </c>
      <c r="R252" s="3" t="str">
        <f>_xlfn.XLOOKUP(order[[#This Row],[order_id]],shipment[shipment_id],shipment[courier])</f>
        <v>DTDC</v>
      </c>
      <c r="S252" s="3">
        <f>order[[#This Row],[selling_price]]-order[[#This Row],[cost_price]]*order[[#This Row],[quantity]]-order[[#This Row],[discount]]</f>
        <v>-206552</v>
      </c>
      <c r="T252" s="3">
        <f>order[[#This Row],[quantity]]*order[[#This Row],[selling_price]]</f>
        <v>8392</v>
      </c>
    </row>
    <row r="253" spans="1:20" x14ac:dyDescent="0.3">
      <c r="A253">
        <v>1140</v>
      </c>
      <c r="B253" s="11">
        <v>45358</v>
      </c>
      <c r="C253">
        <v>255</v>
      </c>
      <c r="D253" t="str">
        <f>_xlfn.XLOOKUP(order[[#This Row],[customer_id]],customer[customer_id],customer[customer_name])</f>
        <v>Meera Joshi</v>
      </c>
      <c r="E253">
        <v>201</v>
      </c>
      <c r="F253">
        <v>2</v>
      </c>
      <c r="G253">
        <v>54570</v>
      </c>
      <c r="H253">
        <v>630</v>
      </c>
      <c r="I253" t="s">
        <v>13</v>
      </c>
      <c r="J253" t="s">
        <v>10</v>
      </c>
      <c r="K253" t="str">
        <f>_xlfn.XLOOKUP(order[[#This Row],[customer_id]],customer[customer_id],customer[city])</f>
        <v>Ahmedabad</v>
      </c>
      <c r="L253" t="str">
        <f>_xlfn.XLOOKUP(order[[#This Row],[customer_id]],customer[customer_id],customer[state])</f>
        <v>Gujarat</v>
      </c>
      <c r="M253" t="str">
        <f>_xlfn.XLOOKUP(order[[#This Row],[product_id]],products!$A$2:$A$11,products!$B$2:$B$11)</f>
        <v>iPhone 13</v>
      </c>
      <c r="N253" s="3" t="str">
        <f>_xlfn.XLOOKUP(order[[#This Row],[product_id]],products!$A$2:$A$11,products!$C$2:$C$11)</f>
        <v>Electronics</v>
      </c>
      <c r="O253" s="3">
        <f>_xlfn.XLOOKUP(order[[#This Row],[product_id]],Table4[product_id],Table4[cost_price])</f>
        <v>52000</v>
      </c>
      <c r="P253" s="11">
        <f>_xlfn.XLOOKUP(order[[#This Row],[order_id]],shipment[order_id],shipment[ship_date])</f>
        <v>45310</v>
      </c>
      <c r="Q253" s="11">
        <f>_xlfn.XLOOKUP(order[[#This Row],[order_id]],shipment[order_id],shipment[delivery_date])</f>
        <v>45318</v>
      </c>
      <c r="R253" s="3" t="str">
        <f>_xlfn.XLOOKUP(order[[#This Row],[order_id]],shipment[shipment_id],shipment[courier])</f>
        <v>DTDC</v>
      </c>
      <c r="S253" s="3">
        <f>order[[#This Row],[selling_price]]-order[[#This Row],[cost_price]]*order[[#This Row],[quantity]]-order[[#This Row],[discount]]</f>
        <v>-50060</v>
      </c>
      <c r="T253" s="3">
        <f>order[[#This Row],[quantity]]*order[[#This Row],[selling_price]]</f>
        <v>109140</v>
      </c>
    </row>
    <row r="254" spans="1:20" x14ac:dyDescent="0.3">
      <c r="A254">
        <v>627</v>
      </c>
      <c r="B254" s="11">
        <v>45317</v>
      </c>
      <c r="C254">
        <v>293</v>
      </c>
      <c r="D254" t="str">
        <f>_xlfn.XLOOKUP(order[[#This Row],[customer_id]],customer[customer_id],customer[customer_name])</f>
        <v>Sneha Iyer</v>
      </c>
      <c r="E254">
        <v>201</v>
      </c>
      <c r="F254">
        <v>1</v>
      </c>
      <c r="G254">
        <v>41580</v>
      </c>
      <c r="H254">
        <v>588</v>
      </c>
      <c r="I254" t="s">
        <v>9</v>
      </c>
      <c r="J254" t="s">
        <v>12</v>
      </c>
      <c r="K254" t="str">
        <f>_xlfn.XLOOKUP(order[[#This Row],[customer_id]],customer[customer_id],customer[city])</f>
        <v>Pune</v>
      </c>
      <c r="L254" t="str">
        <f>_xlfn.XLOOKUP(order[[#This Row],[customer_id]],customer[customer_id],customer[state])</f>
        <v>Maharashtra</v>
      </c>
      <c r="M254" t="str">
        <f>_xlfn.XLOOKUP(order[[#This Row],[product_id]],products!$A$2:$A$11,products!$B$2:$B$11)</f>
        <v>iPhone 13</v>
      </c>
      <c r="N254" s="3" t="str">
        <f>_xlfn.XLOOKUP(order[[#This Row],[product_id]],products!$A$2:$A$11,products!$C$2:$C$11)</f>
        <v>Electronics</v>
      </c>
      <c r="O254" s="3">
        <f>_xlfn.XLOOKUP(order[[#This Row],[product_id]],Table4[product_id],Table4[cost_price])</f>
        <v>52000</v>
      </c>
      <c r="P254" s="11">
        <f>_xlfn.XLOOKUP(order[[#This Row],[order_id]],shipment[order_id],shipment[ship_date])</f>
        <v>45422</v>
      </c>
      <c r="Q254" s="11">
        <f>_xlfn.XLOOKUP(order[[#This Row],[order_id]],shipment[order_id],shipment[delivery_date])</f>
        <v>45428</v>
      </c>
      <c r="R254" s="3" t="str">
        <f>_xlfn.XLOOKUP(order[[#This Row],[order_id]],shipment[shipment_id],shipment[courier])</f>
        <v>Ekart</v>
      </c>
      <c r="S254" s="3">
        <f>order[[#This Row],[selling_price]]-order[[#This Row],[cost_price]]*order[[#This Row],[quantity]]-order[[#This Row],[discount]]</f>
        <v>-11008</v>
      </c>
      <c r="T254" s="3">
        <f>order[[#This Row],[quantity]]*order[[#This Row],[selling_price]]</f>
        <v>41580</v>
      </c>
    </row>
    <row r="255" spans="1:20" x14ac:dyDescent="0.3">
      <c r="A255">
        <v>254</v>
      </c>
      <c r="B255" s="11">
        <v>45516</v>
      </c>
      <c r="C255">
        <v>170</v>
      </c>
      <c r="D255" t="str">
        <f>_xlfn.XLOOKUP(order[[#This Row],[customer_id]],customer[customer_id],customer[customer_name])</f>
        <v>Siddharth Jain</v>
      </c>
      <c r="E255">
        <v>209</v>
      </c>
      <c r="F255">
        <v>2</v>
      </c>
      <c r="G255">
        <v>27039</v>
      </c>
      <c r="H255">
        <v>3623</v>
      </c>
      <c r="I255" t="s">
        <v>15</v>
      </c>
      <c r="J255" t="s">
        <v>14</v>
      </c>
      <c r="K255" t="str">
        <f>_xlfn.XLOOKUP(order[[#This Row],[customer_id]],customer[customer_id],customer[city])</f>
        <v>Pune</v>
      </c>
      <c r="L255" t="str">
        <f>_xlfn.XLOOKUP(order[[#This Row],[customer_id]],customer[customer_id],customer[state])</f>
        <v>Maharashtra</v>
      </c>
      <c r="M255" t="str">
        <f>_xlfn.XLOOKUP(order[[#This Row],[product_id]],products!$A$2:$A$11,products!$B$2:$B$11)</f>
        <v>Milton Thermosteel Bottle</v>
      </c>
      <c r="N255" s="3" t="str">
        <f>_xlfn.XLOOKUP(order[[#This Row],[product_id]],products!$A$2:$A$11,products!$C$2:$C$11)</f>
        <v>Home &amp; Kitchen</v>
      </c>
      <c r="O255" s="3">
        <f>_xlfn.XLOOKUP(order[[#This Row],[product_id]],Table4[product_id],Table4[cost_price])</f>
        <v>800</v>
      </c>
      <c r="P255" s="11">
        <f>_xlfn.XLOOKUP(order[[#This Row],[order_id]],shipment[order_id],shipment[ship_date])</f>
        <v>45507</v>
      </c>
      <c r="Q255" s="11">
        <f>_xlfn.XLOOKUP(order[[#This Row],[order_id]],shipment[order_id],shipment[delivery_date])</f>
        <v>45509</v>
      </c>
      <c r="R255" s="3" t="str">
        <f>_xlfn.XLOOKUP(order[[#This Row],[order_id]],shipment[shipment_id],shipment[courier])</f>
        <v>BlueDart</v>
      </c>
      <c r="S255" s="3">
        <f>order[[#This Row],[selling_price]]-order[[#This Row],[cost_price]]*order[[#This Row],[quantity]]-order[[#This Row],[discount]]</f>
        <v>21816</v>
      </c>
      <c r="T255" s="3">
        <f>order[[#This Row],[quantity]]*order[[#This Row],[selling_price]]</f>
        <v>54078</v>
      </c>
    </row>
    <row r="256" spans="1:20" x14ac:dyDescent="0.3">
      <c r="A256">
        <v>388</v>
      </c>
      <c r="B256" s="11">
        <v>45552</v>
      </c>
      <c r="C256">
        <v>291</v>
      </c>
      <c r="D256" t="str">
        <f>_xlfn.XLOOKUP(order[[#This Row],[customer_id]],customer[customer_id],customer[customer_name])</f>
        <v>Arjun Nair</v>
      </c>
      <c r="E256">
        <v>201</v>
      </c>
      <c r="F256">
        <v>2</v>
      </c>
      <c r="G256">
        <v>68435</v>
      </c>
      <c r="H256">
        <v>506</v>
      </c>
      <c r="I256" t="s">
        <v>13</v>
      </c>
      <c r="J256" t="s">
        <v>14</v>
      </c>
      <c r="K256" t="str">
        <f>_xlfn.XLOOKUP(order[[#This Row],[customer_id]],customer[customer_id],customer[city])</f>
        <v>Mumbai</v>
      </c>
      <c r="L256" t="str">
        <f>_xlfn.XLOOKUP(order[[#This Row],[customer_id]],customer[customer_id],customer[state])</f>
        <v>Maharashtra</v>
      </c>
      <c r="M256" t="str">
        <f>_xlfn.XLOOKUP(order[[#This Row],[product_id]],products!$A$2:$A$11,products!$B$2:$B$11)</f>
        <v>iPhone 13</v>
      </c>
      <c r="N256" s="3" t="str">
        <f>_xlfn.XLOOKUP(order[[#This Row],[product_id]],products!$A$2:$A$11,products!$C$2:$C$11)</f>
        <v>Electronics</v>
      </c>
      <c r="O256" s="3">
        <f>_xlfn.XLOOKUP(order[[#This Row],[product_id]],Table4[product_id],Table4[cost_price])</f>
        <v>52000</v>
      </c>
      <c r="P256" s="11">
        <f>_xlfn.XLOOKUP(order[[#This Row],[order_id]],shipment[order_id],shipment[ship_date])</f>
        <v>45621</v>
      </c>
      <c r="Q256" s="11">
        <f>_xlfn.XLOOKUP(order[[#This Row],[order_id]],shipment[order_id],shipment[delivery_date])</f>
        <v>45629</v>
      </c>
      <c r="R256" s="3" t="str">
        <f>_xlfn.XLOOKUP(order[[#This Row],[order_id]],shipment[shipment_id],shipment[courier])</f>
        <v>Ekart</v>
      </c>
      <c r="S256" s="3">
        <f>order[[#This Row],[selling_price]]-order[[#This Row],[cost_price]]*order[[#This Row],[quantity]]-order[[#This Row],[discount]]</f>
        <v>-36071</v>
      </c>
      <c r="T256" s="3">
        <f>order[[#This Row],[quantity]]*order[[#This Row],[selling_price]]</f>
        <v>136870</v>
      </c>
    </row>
    <row r="257" spans="1:20" x14ac:dyDescent="0.3">
      <c r="A257">
        <v>1032</v>
      </c>
      <c r="B257" s="11">
        <v>45602</v>
      </c>
      <c r="C257">
        <v>270</v>
      </c>
      <c r="D257" t="str">
        <f>_xlfn.XLOOKUP(order[[#This Row],[customer_id]],customer[customer_id],customer[customer_name])</f>
        <v>Karan Patel</v>
      </c>
      <c r="E257">
        <v>201</v>
      </c>
      <c r="F257">
        <v>1</v>
      </c>
      <c r="G257">
        <v>50654</v>
      </c>
      <c r="H257">
        <v>333</v>
      </c>
      <c r="I257" t="s">
        <v>13</v>
      </c>
      <c r="J257" t="s">
        <v>10</v>
      </c>
      <c r="K257" t="str">
        <f>_xlfn.XLOOKUP(order[[#This Row],[customer_id]],customer[customer_id],customer[city])</f>
        <v>Mumbai</v>
      </c>
      <c r="L257" t="str">
        <f>_xlfn.XLOOKUP(order[[#This Row],[customer_id]],customer[customer_id],customer[state])</f>
        <v>Maharashtra</v>
      </c>
      <c r="M257" t="str">
        <f>_xlfn.XLOOKUP(order[[#This Row],[product_id]],products!$A$2:$A$11,products!$B$2:$B$11)</f>
        <v>iPhone 13</v>
      </c>
      <c r="N257" s="3" t="str">
        <f>_xlfn.XLOOKUP(order[[#This Row],[product_id]],products!$A$2:$A$11,products!$C$2:$C$11)</f>
        <v>Electronics</v>
      </c>
      <c r="O257" s="3">
        <f>_xlfn.XLOOKUP(order[[#This Row],[product_id]],Table4[product_id],Table4[cost_price])</f>
        <v>52000</v>
      </c>
      <c r="P257" s="11">
        <f>_xlfn.XLOOKUP(order[[#This Row],[order_id]],shipment[order_id],shipment[ship_date])</f>
        <v>45506</v>
      </c>
      <c r="Q257" s="11">
        <f>_xlfn.XLOOKUP(order[[#This Row],[order_id]],shipment[order_id],shipment[delivery_date])</f>
        <v>45507</v>
      </c>
      <c r="R257" s="3" t="str">
        <f>_xlfn.XLOOKUP(order[[#This Row],[order_id]],shipment[shipment_id],shipment[courier])</f>
        <v>Ekart</v>
      </c>
      <c r="S257" s="3">
        <f>order[[#This Row],[selling_price]]-order[[#This Row],[cost_price]]*order[[#This Row],[quantity]]-order[[#This Row],[discount]]</f>
        <v>-1679</v>
      </c>
      <c r="T257" s="3">
        <f>order[[#This Row],[quantity]]*order[[#This Row],[selling_price]]</f>
        <v>50654</v>
      </c>
    </row>
    <row r="258" spans="1:20" x14ac:dyDescent="0.3">
      <c r="A258">
        <v>963</v>
      </c>
      <c r="B258" s="11">
        <v>45499</v>
      </c>
      <c r="C258">
        <v>256</v>
      </c>
      <c r="D258" t="str">
        <f>_xlfn.XLOOKUP(order[[#This Row],[customer_id]],customer[customer_id],customer[customer_name])</f>
        <v>Priya Reddy</v>
      </c>
      <c r="E258">
        <v>201</v>
      </c>
      <c r="F258">
        <v>3</v>
      </c>
      <c r="G258">
        <v>6820</v>
      </c>
      <c r="H258">
        <v>318</v>
      </c>
      <c r="I258" t="s">
        <v>13</v>
      </c>
      <c r="J258" t="s">
        <v>14</v>
      </c>
      <c r="K258" t="str">
        <f>_xlfn.XLOOKUP(order[[#This Row],[customer_id]],customer[customer_id],customer[city])</f>
        <v>Hyderabad</v>
      </c>
      <c r="L258" t="str">
        <f>_xlfn.XLOOKUP(order[[#This Row],[customer_id]],customer[customer_id],customer[state])</f>
        <v>Telangana</v>
      </c>
      <c r="M258" t="str">
        <f>_xlfn.XLOOKUP(order[[#This Row],[product_id]],products!$A$2:$A$11,products!$B$2:$B$11)</f>
        <v>iPhone 13</v>
      </c>
      <c r="N258" s="3" t="str">
        <f>_xlfn.XLOOKUP(order[[#This Row],[product_id]],products!$A$2:$A$11,products!$C$2:$C$11)</f>
        <v>Electronics</v>
      </c>
      <c r="O258" s="3">
        <f>_xlfn.XLOOKUP(order[[#This Row],[product_id]],Table4[product_id],Table4[cost_price])</f>
        <v>52000</v>
      </c>
      <c r="P258" s="11">
        <f>_xlfn.XLOOKUP(order[[#This Row],[order_id]],shipment[order_id],shipment[ship_date])</f>
        <v>45365</v>
      </c>
      <c r="Q258" s="11">
        <f>_xlfn.XLOOKUP(order[[#This Row],[order_id]],shipment[order_id],shipment[delivery_date])</f>
        <v>45369</v>
      </c>
      <c r="R258" s="3" t="str">
        <f>_xlfn.XLOOKUP(order[[#This Row],[order_id]],shipment[shipment_id],shipment[courier])</f>
        <v>BlueDart</v>
      </c>
      <c r="S258" s="3">
        <f>order[[#This Row],[selling_price]]-order[[#This Row],[cost_price]]*order[[#This Row],[quantity]]-order[[#This Row],[discount]]</f>
        <v>-149498</v>
      </c>
      <c r="T258" s="3">
        <f>order[[#This Row],[quantity]]*order[[#This Row],[selling_price]]</f>
        <v>20460</v>
      </c>
    </row>
    <row r="259" spans="1:20" x14ac:dyDescent="0.3">
      <c r="A259">
        <v>695</v>
      </c>
      <c r="B259" s="11">
        <v>45479</v>
      </c>
      <c r="C259">
        <v>250</v>
      </c>
      <c r="D259" t="str">
        <f>_xlfn.XLOOKUP(order[[#This Row],[customer_id]],customer[customer_id],customer[customer_name])</f>
        <v>Vikram Singh</v>
      </c>
      <c r="E259">
        <v>201</v>
      </c>
      <c r="F259">
        <v>3</v>
      </c>
      <c r="G259">
        <v>69296</v>
      </c>
      <c r="H259">
        <v>305</v>
      </c>
      <c r="I259" t="s">
        <v>13</v>
      </c>
      <c r="J259" t="s">
        <v>10</v>
      </c>
      <c r="K259" t="str">
        <f>_xlfn.XLOOKUP(order[[#This Row],[customer_id]],customer[customer_id],customer[city])</f>
        <v>Bangalore</v>
      </c>
      <c r="L259" t="str">
        <f>_xlfn.XLOOKUP(order[[#This Row],[customer_id]],customer[customer_id],customer[state])</f>
        <v>Karnataka</v>
      </c>
      <c r="M259" t="str">
        <f>_xlfn.XLOOKUP(order[[#This Row],[product_id]],products!$A$2:$A$11,products!$B$2:$B$11)</f>
        <v>iPhone 13</v>
      </c>
      <c r="N259" s="3" t="str">
        <f>_xlfn.XLOOKUP(order[[#This Row],[product_id]],products!$A$2:$A$11,products!$C$2:$C$11)</f>
        <v>Electronics</v>
      </c>
      <c r="O259" s="3">
        <f>_xlfn.XLOOKUP(order[[#This Row],[product_id]],Table4[product_id],Table4[cost_price])</f>
        <v>52000</v>
      </c>
      <c r="P259" s="11">
        <f>_xlfn.XLOOKUP(order[[#This Row],[order_id]],shipment[order_id],shipment[ship_date])</f>
        <v>45499</v>
      </c>
      <c r="Q259" s="11">
        <f>_xlfn.XLOOKUP(order[[#This Row],[order_id]],shipment[order_id],shipment[delivery_date])</f>
        <v>45501</v>
      </c>
      <c r="R259" s="3" t="str">
        <f>_xlfn.XLOOKUP(order[[#This Row],[order_id]],shipment[shipment_id],shipment[courier])</f>
        <v>BlueDart</v>
      </c>
      <c r="S259" s="3">
        <f>order[[#This Row],[selling_price]]-order[[#This Row],[cost_price]]*order[[#This Row],[quantity]]-order[[#This Row],[discount]]</f>
        <v>-87009</v>
      </c>
      <c r="T259" s="3">
        <f>order[[#This Row],[quantity]]*order[[#This Row],[selling_price]]</f>
        <v>207888</v>
      </c>
    </row>
    <row r="260" spans="1:20" x14ac:dyDescent="0.3">
      <c r="A260">
        <v>255</v>
      </c>
      <c r="B260" s="11">
        <v>45647</v>
      </c>
      <c r="C260">
        <v>154</v>
      </c>
      <c r="D260" t="str">
        <f>_xlfn.XLOOKUP(order[[#This Row],[customer_id]],customer[customer_id],customer[customer_name])</f>
        <v>Manish Yadav</v>
      </c>
      <c r="E260">
        <v>201</v>
      </c>
      <c r="F260">
        <v>3</v>
      </c>
      <c r="G260">
        <v>61423</v>
      </c>
      <c r="H260">
        <v>291</v>
      </c>
      <c r="I260" t="s">
        <v>13</v>
      </c>
      <c r="J260" t="s">
        <v>12</v>
      </c>
      <c r="K260" t="str">
        <f>_xlfn.XLOOKUP(order[[#This Row],[customer_id]],customer[customer_id],customer[city])</f>
        <v>Hyderabad</v>
      </c>
      <c r="L260" t="str">
        <f>_xlfn.XLOOKUP(order[[#This Row],[customer_id]],customer[customer_id],customer[state])</f>
        <v>Telangana</v>
      </c>
      <c r="M260" t="str">
        <f>_xlfn.XLOOKUP(order[[#This Row],[product_id]],products!$A$2:$A$11,products!$B$2:$B$11)</f>
        <v>iPhone 13</v>
      </c>
      <c r="N260" s="3" t="str">
        <f>_xlfn.XLOOKUP(order[[#This Row],[product_id]],products!$A$2:$A$11,products!$C$2:$C$11)</f>
        <v>Electronics</v>
      </c>
      <c r="O260" s="3">
        <f>_xlfn.XLOOKUP(order[[#This Row],[product_id]],Table4[product_id],Table4[cost_price])</f>
        <v>52000</v>
      </c>
      <c r="P260" s="11">
        <f>_xlfn.XLOOKUP(order[[#This Row],[order_id]],shipment[order_id],shipment[ship_date])</f>
        <v>45657</v>
      </c>
      <c r="Q260" s="11">
        <f>_xlfn.XLOOKUP(order[[#This Row],[order_id]],shipment[order_id],shipment[delivery_date])</f>
        <v>45666</v>
      </c>
      <c r="R260" s="3" t="str">
        <f>_xlfn.XLOOKUP(order[[#This Row],[order_id]],shipment[shipment_id],shipment[courier])</f>
        <v>Delhivery</v>
      </c>
      <c r="S260" s="3">
        <f>order[[#This Row],[selling_price]]-order[[#This Row],[cost_price]]*order[[#This Row],[quantity]]-order[[#This Row],[discount]]</f>
        <v>-94868</v>
      </c>
      <c r="T260" s="3">
        <f>order[[#This Row],[quantity]]*order[[#This Row],[selling_price]]</f>
        <v>184269</v>
      </c>
    </row>
    <row r="261" spans="1:20" x14ac:dyDescent="0.3">
      <c r="A261">
        <v>54</v>
      </c>
      <c r="B261" s="11">
        <v>45645</v>
      </c>
      <c r="C261">
        <v>214</v>
      </c>
      <c r="D261" t="str">
        <f>_xlfn.XLOOKUP(order[[#This Row],[customer_id]],customer[customer_id],customer[customer_name])</f>
        <v>Ishita Bose</v>
      </c>
      <c r="E261">
        <v>201</v>
      </c>
      <c r="F261">
        <v>4</v>
      </c>
      <c r="G261">
        <v>38348</v>
      </c>
      <c r="H261">
        <v>278</v>
      </c>
      <c r="I261" t="s">
        <v>9</v>
      </c>
      <c r="J261" t="s">
        <v>10</v>
      </c>
      <c r="K261" t="str">
        <f>_xlfn.XLOOKUP(order[[#This Row],[customer_id]],customer[customer_id],customer[city])</f>
        <v>Mumbai</v>
      </c>
      <c r="L261" t="str">
        <f>_xlfn.XLOOKUP(order[[#This Row],[customer_id]],customer[customer_id],customer[state])</f>
        <v>Maharashtra</v>
      </c>
      <c r="M261" t="str">
        <f>_xlfn.XLOOKUP(order[[#This Row],[product_id]],products!$A$2:$A$11,products!$B$2:$B$11)</f>
        <v>iPhone 13</v>
      </c>
      <c r="N261" s="3" t="str">
        <f>_xlfn.XLOOKUP(order[[#This Row],[product_id]],products!$A$2:$A$11,products!$C$2:$C$11)</f>
        <v>Electronics</v>
      </c>
      <c r="O261" s="3">
        <f>_xlfn.XLOOKUP(order[[#This Row],[product_id]],Table4[product_id],Table4[cost_price])</f>
        <v>52000</v>
      </c>
      <c r="P261" s="11">
        <f>_xlfn.XLOOKUP(order[[#This Row],[order_id]],shipment[order_id],shipment[ship_date])</f>
        <v>45607</v>
      </c>
      <c r="Q261" s="11">
        <f>_xlfn.XLOOKUP(order[[#This Row],[order_id]],shipment[order_id],shipment[delivery_date])</f>
        <v>45611</v>
      </c>
      <c r="R261" s="3" t="str">
        <f>_xlfn.XLOOKUP(order[[#This Row],[order_id]],shipment[shipment_id],shipment[courier])</f>
        <v>Ekart</v>
      </c>
      <c r="S261" s="3">
        <f>order[[#This Row],[selling_price]]-order[[#This Row],[cost_price]]*order[[#This Row],[quantity]]-order[[#This Row],[discount]]</f>
        <v>-169930</v>
      </c>
      <c r="T261" s="3">
        <f>order[[#This Row],[quantity]]*order[[#This Row],[selling_price]]</f>
        <v>153392</v>
      </c>
    </row>
    <row r="262" spans="1:20" x14ac:dyDescent="0.3">
      <c r="A262">
        <v>261</v>
      </c>
      <c r="B262" s="11">
        <v>45403</v>
      </c>
      <c r="C262">
        <v>255</v>
      </c>
      <c r="D262" t="str">
        <f>_xlfn.XLOOKUP(order[[#This Row],[customer_id]],customer[customer_id],customer[customer_name])</f>
        <v>Meera Joshi</v>
      </c>
      <c r="E262">
        <v>205</v>
      </c>
      <c r="F262">
        <v>4</v>
      </c>
      <c r="G262">
        <v>21269</v>
      </c>
      <c r="H262">
        <v>2435</v>
      </c>
      <c r="I262" t="s">
        <v>11</v>
      </c>
      <c r="J262" t="s">
        <v>10</v>
      </c>
      <c r="K262" t="str">
        <f>_xlfn.XLOOKUP(order[[#This Row],[customer_id]],customer[customer_id],customer[city])</f>
        <v>Ahmedabad</v>
      </c>
      <c r="L262" t="str">
        <f>_xlfn.XLOOKUP(order[[#This Row],[customer_id]],customer[customer_id],customer[state])</f>
        <v>Gujarat</v>
      </c>
      <c r="M262" t="str">
        <f>_xlfn.XLOOKUP(order[[#This Row],[product_id]],products!$A$2:$A$11,products!$B$2:$B$11)</f>
        <v>Prestige Pressure Cooker 5L</v>
      </c>
      <c r="N262" s="3" t="str">
        <f>_xlfn.XLOOKUP(order[[#This Row],[product_id]],products!$A$2:$A$11,products!$C$2:$C$11)</f>
        <v>Home &amp; Kitchen</v>
      </c>
      <c r="O262" s="3">
        <f>_xlfn.XLOOKUP(order[[#This Row],[product_id]],Table4[product_id],Table4[cost_price])</f>
        <v>1200</v>
      </c>
      <c r="P262" s="11">
        <f>_xlfn.XLOOKUP(order[[#This Row],[order_id]],shipment[order_id],shipment[ship_date])</f>
        <v>45605</v>
      </c>
      <c r="Q262" s="11">
        <f>_xlfn.XLOOKUP(order[[#This Row],[order_id]],shipment[order_id],shipment[delivery_date])</f>
        <v>45608</v>
      </c>
      <c r="R262" s="3" t="str">
        <f>_xlfn.XLOOKUP(order[[#This Row],[order_id]],shipment[shipment_id],shipment[courier])</f>
        <v>Ekart</v>
      </c>
      <c r="S262" s="3">
        <f>order[[#This Row],[selling_price]]-order[[#This Row],[cost_price]]*order[[#This Row],[quantity]]-order[[#This Row],[discount]]</f>
        <v>14034</v>
      </c>
      <c r="T262" s="3">
        <f>order[[#This Row],[quantity]]*order[[#This Row],[selling_price]]</f>
        <v>85076</v>
      </c>
    </row>
    <row r="263" spans="1:20" x14ac:dyDescent="0.3">
      <c r="A263">
        <v>1177</v>
      </c>
      <c r="B263" s="11">
        <v>45644</v>
      </c>
      <c r="C263">
        <v>113</v>
      </c>
      <c r="D263" t="str">
        <f>_xlfn.XLOOKUP(order[[#This Row],[customer_id]],customer[customer_id],customer[customer_name])</f>
        <v>Meera Joshi</v>
      </c>
      <c r="E263">
        <v>201</v>
      </c>
      <c r="F263">
        <v>2</v>
      </c>
      <c r="G263">
        <v>34409</v>
      </c>
      <c r="H263">
        <v>249</v>
      </c>
      <c r="I263" t="s">
        <v>15</v>
      </c>
      <c r="J263" t="s">
        <v>12</v>
      </c>
      <c r="K263" t="str">
        <f>_xlfn.XLOOKUP(order[[#This Row],[customer_id]],customer[customer_id],customer[city])</f>
        <v>Hyderabad</v>
      </c>
      <c r="L263" t="str">
        <f>_xlfn.XLOOKUP(order[[#This Row],[customer_id]],customer[customer_id],customer[state])</f>
        <v>Telangana</v>
      </c>
      <c r="M263" t="str">
        <f>_xlfn.XLOOKUP(order[[#This Row],[product_id]],products!$A$2:$A$11,products!$B$2:$B$11)</f>
        <v>iPhone 13</v>
      </c>
      <c r="N263" s="3" t="str">
        <f>_xlfn.XLOOKUP(order[[#This Row],[product_id]],products!$A$2:$A$11,products!$C$2:$C$11)</f>
        <v>Electronics</v>
      </c>
      <c r="O263" s="3">
        <f>_xlfn.XLOOKUP(order[[#This Row],[product_id]],Table4[product_id],Table4[cost_price])</f>
        <v>52000</v>
      </c>
      <c r="P263" s="11">
        <f>_xlfn.XLOOKUP(order[[#This Row],[order_id]],shipment[order_id],shipment[ship_date])</f>
        <v>45512</v>
      </c>
      <c r="Q263" s="11">
        <f>_xlfn.XLOOKUP(order[[#This Row],[order_id]],shipment[order_id],shipment[delivery_date])</f>
        <v>45516</v>
      </c>
      <c r="R263" s="3" t="str">
        <f>_xlfn.XLOOKUP(order[[#This Row],[order_id]],shipment[shipment_id],shipment[courier])</f>
        <v>DTDC</v>
      </c>
      <c r="S263" s="3">
        <f>order[[#This Row],[selling_price]]-order[[#This Row],[cost_price]]*order[[#This Row],[quantity]]-order[[#This Row],[discount]]</f>
        <v>-69840</v>
      </c>
      <c r="T263" s="3">
        <f>order[[#This Row],[quantity]]*order[[#This Row],[selling_price]]</f>
        <v>68818</v>
      </c>
    </row>
    <row r="264" spans="1:20" x14ac:dyDescent="0.3">
      <c r="A264">
        <v>314</v>
      </c>
      <c r="B264" s="11">
        <v>45361</v>
      </c>
      <c r="C264">
        <v>129</v>
      </c>
      <c r="D264" t="str">
        <f>_xlfn.XLOOKUP(order[[#This Row],[customer_id]],customer[customer_id],customer[customer_name])</f>
        <v>Rahul Mehta</v>
      </c>
      <c r="E264">
        <v>201</v>
      </c>
      <c r="F264">
        <v>2</v>
      </c>
      <c r="G264">
        <v>54022</v>
      </c>
      <c r="H264">
        <v>233</v>
      </c>
      <c r="I264" t="s">
        <v>15</v>
      </c>
      <c r="J264" t="s">
        <v>10</v>
      </c>
      <c r="K264" t="str">
        <f>_xlfn.XLOOKUP(order[[#This Row],[customer_id]],customer[customer_id],customer[city])</f>
        <v>Hyderabad</v>
      </c>
      <c r="L264" t="str">
        <f>_xlfn.XLOOKUP(order[[#This Row],[customer_id]],customer[customer_id],customer[state])</f>
        <v>Telangana</v>
      </c>
      <c r="M264" t="str">
        <f>_xlfn.XLOOKUP(order[[#This Row],[product_id]],products!$A$2:$A$11,products!$B$2:$B$11)</f>
        <v>iPhone 13</v>
      </c>
      <c r="N264" s="3" t="str">
        <f>_xlfn.XLOOKUP(order[[#This Row],[product_id]],products!$A$2:$A$11,products!$C$2:$C$11)</f>
        <v>Electronics</v>
      </c>
      <c r="O264" s="3">
        <f>_xlfn.XLOOKUP(order[[#This Row],[product_id]],Table4[product_id],Table4[cost_price])</f>
        <v>52000</v>
      </c>
      <c r="P264" s="11">
        <f>_xlfn.XLOOKUP(order[[#This Row],[order_id]],shipment[order_id],shipment[ship_date])</f>
        <v>45478</v>
      </c>
      <c r="Q264" s="11">
        <f>_xlfn.XLOOKUP(order[[#This Row],[order_id]],shipment[order_id],shipment[delivery_date])</f>
        <v>45480</v>
      </c>
      <c r="R264" s="3" t="str">
        <f>_xlfn.XLOOKUP(order[[#This Row],[order_id]],shipment[shipment_id],shipment[courier])</f>
        <v>DTDC</v>
      </c>
      <c r="S264" s="3">
        <f>order[[#This Row],[selling_price]]-order[[#This Row],[cost_price]]*order[[#This Row],[quantity]]-order[[#This Row],[discount]]</f>
        <v>-50211</v>
      </c>
      <c r="T264" s="3">
        <f>order[[#This Row],[quantity]]*order[[#This Row],[selling_price]]</f>
        <v>108044</v>
      </c>
    </row>
    <row r="265" spans="1:20" x14ac:dyDescent="0.3">
      <c r="A265">
        <v>485</v>
      </c>
      <c r="B265" s="11">
        <v>45335</v>
      </c>
      <c r="C265">
        <v>297</v>
      </c>
      <c r="D265" t="str">
        <f>_xlfn.XLOOKUP(order[[#This Row],[customer_id]],customer[customer_id],customer[customer_name])</f>
        <v>Meera Joshi</v>
      </c>
      <c r="E265">
        <v>201</v>
      </c>
      <c r="F265">
        <v>4</v>
      </c>
      <c r="G265">
        <v>12660</v>
      </c>
      <c r="H265">
        <v>127</v>
      </c>
      <c r="I265" t="s">
        <v>13</v>
      </c>
      <c r="J265" t="s">
        <v>10</v>
      </c>
      <c r="K265" t="str">
        <f>_xlfn.XLOOKUP(order[[#This Row],[customer_id]],customer[customer_id],customer[city])</f>
        <v>Bangalore</v>
      </c>
      <c r="L265" t="str">
        <f>_xlfn.XLOOKUP(order[[#This Row],[customer_id]],customer[customer_id],customer[state])</f>
        <v>Karnataka</v>
      </c>
      <c r="M265" t="str">
        <f>_xlfn.XLOOKUP(order[[#This Row],[product_id]],products!$A$2:$A$11,products!$B$2:$B$11)</f>
        <v>iPhone 13</v>
      </c>
      <c r="N265" s="3" t="str">
        <f>_xlfn.XLOOKUP(order[[#This Row],[product_id]],products!$A$2:$A$11,products!$C$2:$C$11)</f>
        <v>Electronics</v>
      </c>
      <c r="O265" s="3">
        <f>_xlfn.XLOOKUP(order[[#This Row],[product_id]],Table4[product_id],Table4[cost_price])</f>
        <v>52000</v>
      </c>
      <c r="P265" s="11">
        <f>_xlfn.XLOOKUP(order[[#This Row],[order_id]],shipment[order_id],shipment[ship_date])</f>
        <v>45566</v>
      </c>
      <c r="Q265" s="11">
        <f>_xlfn.XLOOKUP(order[[#This Row],[order_id]],shipment[order_id],shipment[delivery_date])</f>
        <v>45571</v>
      </c>
      <c r="R265" s="3" t="str">
        <f>_xlfn.XLOOKUP(order[[#This Row],[order_id]],shipment[shipment_id],shipment[courier])</f>
        <v>DTDC</v>
      </c>
      <c r="S265" s="3">
        <f>order[[#This Row],[selling_price]]-order[[#This Row],[cost_price]]*order[[#This Row],[quantity]]-order[[#This Row],[discount]]</f>
        <v>-195467</v>
      </c>
      <c r="T265" s="3">
        <f>order[[#This Row],[quantity]]*order[[#This Row],[selling_price]]</f>
        <v>50640</v>
      </c>
    </row>
    <row r="266" spans="1:20" x14ac:dyDescent="0.3">
      <c r="A266">
        <v>265</v>
      </c>
      <c r="B266" s="11">
        <v>45570</v>
      </c>
      <c r="C266">
        <v>190</v>
      </c>
      <c r="D266" t="str">
        <f>_xlfn.XLOOKUP(order[[#This Row],[customer_id]],customer[customer_id],customer[customer_name])</f>
        <v>Ishita Bose</v>
      </c>
      <c r="E266">
        <v>205</v>
      </c>
      <c r="F266">
        <v>2</v>
      </c>
      <c r="G266">
        <v>18457</v>
      </c>
      <c r="H266">
        <v>4549</v>
      </c>
      <c r="I266" t="s">
        <v>9</v>
      </c>
      <c r="J266" t="s">
        <v>14</v>
      </c>
      <c r="K266" t="str">
        <f>_xlfn.XLOOKUP(order[[#This Row],[customer_id]],customer[customer_id],customer[city])</f>
        <v>Hyderabad</v>
      </c>
      <c r="L266" t="str">
        <f>_xlfn.XLOOKUP(order[[#This Row],[customer_id]],customer[customer_id],customer[state])</f>
        <v>Telangana</v>
      </c>
      <c r="M266" t="str">
        <f>_xlfn.XLOOKUP(order[[#This Row],[product_id]],products!$A$2:$A$11,products!$B$2:$B$11)</f>
        <v>Prestige Pressure Cooker 5L</v>
      </c>
      <c r="N266" s="3" t="str">
        <f>_xlfn.XLOOKUP(order[[#This Row],[product_id]],products!$A$2:$A$11,products!$C$2:$C$11)</f>
        <v>Home &amp; Kitchen</v>
      </c>
      <c r="O266" s="3">
        <f>_xlfn.XLOOKUP(order[[#This Row],[product_id]],Table4[product_id],Table4[cost_price])</f>
        <v>1200</v>
      </c>
      <c r="P266" s="11">
        <f>_xlfn.XLOOKUP(order[[#This Row],[order_id]],shipment[order_id],shipment[ship_date])</f>
        <v>45608</v>
      </c>
      <c r="Q266" s="11">
        <f>_xlfn.XLOOKUP(order[[#This Row],[order_id]],shipment[order_id],shipment[delivery_date])</f>
        <v>45612</v>
      </c>
      <c r="R266" s="3" t="str">
        <f>_xlfn.XLOOKUP(order[[#This Row],[order_id]],shipment[shipment_id],shipment[courier])</f>
        <v>BlueDart</v>
      </c>
      <c r="S266" s="3">
        <f>order[[#This Row],[selling_price]]-order[[#This Row],[cost_price]]*order[[#This Row],[quantity]]-order[[#This Row],[discount]]</f>
        <v>11508</v>
      </c>
      <c r="T266" s="3">
        <f>order[[#This Row],[quantity]]*order[[#This Row],[selling_price]]</f>
        <v>36914</v>
      </c>
    </row>
    <row r="267" spans="1:20" x14ac:dyDescent="0.3">
      <c r="A267">
        <v>266</v>
      </c>
      <c r="B267" s="11">
        <v>45367</v>
      </c>
      <c r="C267">
        <v>213</v>
      </c>
      <c r="D267" t="str">
        <f>_xlfn.XLOOKUP(order[[#This Row],[customer_id]],customer[customer_id],customer[customer_name])</f>
        <v>Arjun Nair</v>
      </c>
      <c r="E267">
        <v>209</v>
      </c>
      <c r="F267">
        <v>2</v>
      </c>
      <c r="G267">
        <v>37493</v>
      </c>
      <c r="H267">
        <v>907</v>
      </c>
      <c r="I267" t="s">
        <v>9</v>
      </c>
      <c r="J267" t="s">
        <v>10</v>
      </c>
      <c r="K267" t="str">
        <f>_xlfn.XLOOKUP(order[[#This Row],[customer_id]],customer[customer_id],customer[city])</f>
        <v>Ahmedabad</v>
      </c>
      <c r="L267" t="str">
        <f>_xlfn.XLOOKUP(order[[#This Row],[customer_id]],customer[customer_id],customer[state])</f>
        <v>Gujarat</v>
      </c>
      <c r="M267" t="str">
        <f>_xlfn.XLOOKUP(order[[#This Row],[product_id]],products!$A$2:$A$11,products!$B$2:$B$11)</f>
        <v>Milton Thermosteel Bottle</v>
      </c>
      <c r="N267" s="3" t="str">
        <f>_xlfn.XLOOKUP(order[[#This Row],[product_id]],products!$A$2:$A$11,products!$C$2:$C$11)</f>
        <v>Home &amp; Kitchen</v>
      </c>
      <c r="O267" s="3">
        <f>_xlfn.XLOOKUP(order[[#This Row],[product_id]],Table4[product_id],Table4[cost_price])</f>
        <v>800</v>
      </c>
      <c r="P267" s="11">
        <f>_xlfn.XLOOKUP(order[[#This Row],[order_id]],shipment[order_id],shipment[ship_date])</f>
        <v>45326</v>
      </c>
      <c r="Q267" s="11">
        <f>_xlfn.XLOOKUP(order[[#This Row],[order_id]],shipment[order_id],shipment[delivery_date])</f>
        <v>45334</v>
      </c>
      <c r="R267" s="3" t="str">
        <f>_xlfn.XLOOKUP(order[[#This Row],[order_id]],shipment[shipment_id],shipment[courier])</f>
        <v>Ekart</v>
      </c>
      <c r="S267" s="3">
        <f>order[[#This Row],[selling_price]]-order[[#This Row],[cost_price]]*order[[#This Row],[quantity]]-order[[#This Row],[discount]]</f>
        <v>34986</v>
      </c>
      <c r="T267" s="3">
        <f>order[[#This Row],[quantity]]*order[[#This Row],[selling_price]]</f>
        <v>74986</v>
      </c>
    </row>
    <row r="268" spans="1:20" x14ac:dyDescent="0.3">
      <c r="A268">
        <v>1180</v>
      </c>
      <c r="B268" s="11">
        <v>45518</v>
      </c>
      <c r="C268">
        <v>182</v>
      </c>
      <c r="D268" t="str">
        <f>_xlfn.XLOOKUP(order[[#This Row],[customer_id]],customer[customer_id],customer[customer_name])</f>
        <v>Meera Joshi</v>
      </c>
      <c r="E268">
        <v>201</v>
      </c>
      <c r="F268">
        <v>1</v>
      </c>
      <c r="G268">
        <v>33142</v>
      </c>
      <c r="H268">
        <v>117</v>
      </c>
      <c r="I268" t="s">
        <v>15</v>
      </c>
      <c r="J268" t="s">
        <v>14</v>
      </c>
      <c r="K268" t="str">
        <f>_xlfn.XLOOKUP(order[[#This Row],[customer_id]],customer[customer_id],customer[city])</f>
        <v>Delhi</v>
      </c>
      <c r="L268" t="str">
        <f>_xlfn.XLOOKUP(order[[#This Row],[customer_id]],customer[customer_id],customer[state])</f>
        <v>Delhi</v>
      </c>
      <c r="M268" t="str">
        <f>_xlfn.XLOOKUP(order[[#This Row],[product_id]],products!$A$2:$A$11,products!$B$2:$B$11)</f>
        <v>iPhone 13</v>
      </c>
      <c r="N268" s="3" t="str">
        <f>_xlfn.XLOOKUP(order[[#This Row],[product_id]],products!$A$2:$A$11,products!$C$2:$C$11)</f>
        <v>Electronics</v>
      </c>
      <c r="O268" s="3">
        <f>_xlfn.XLOOKUP(order[[#This Row],[product_id]],Table4[product_id],Table4[cost_price])</f>
        <v>52000</v>
      </c>
      <c r="P268" s="11">
        <f>_xlfn.XLOOKUP(order[[#This Row],[order_id]],shipment[order_id],shipment[ship_date])</f>
        <v>45305</v>
      </c>
      <c r="Q268" s="11">
        <f>_xlfn.XLOOKUP(order[[#This Row],[order_id]],shipment[order_id],shipment[delivery_date])</f>
        <v>45314</v>
      </c>
      <c r="R268" s="3" t="str">
        <f>_xlfn.XLOOKUP(order[[#This Row],[order_id]],shipment[shipment_id],shipment[courier])</f>
        <v>Delhivery</v>
      </c>
      <c r="S268" s="3">
        <f>order[[#This Row],[selling_price]]-order[[#This Row],[cost_price]]*order[[#This Row],[quantity]]-order[[#This Row],[discount]]</f>
        <v>-18975</v>
      </c>
      <c r="T268" s="3">
        <f>order[[#This Row],[quantity]]*order[[#This Row],[selling_price]]</f>
        <v>33142</v>
      </c>
    </row>
    <row r="269" spans="1:20" x14ac:dyDescent="0.3">
      <c r="A269">
        <v>418</v>
      </c>
      <c r="B269" s="11">
        <v>45396</v>
      </c>
      <c r="C269">
        <v>159</v>
      </c>
      <c r="D269" t="str">
        <f>_xlfn.XLOOKUP(order[[#This Row],[customer_id]],customer[customer_id],customer[customer_name])</f>
        <v>Neha Kapoor</v>
      </c>
      <c r="E269">
        <v>201</v>
      </c>
      <c r="F269">
        <v>2</v>
      </c>
      <c r="G269">
        <v>24175</v>
      </c>
      <c r="H269">
        <v>95</v>
      </c>
      <c r="I269" t="s">
        <v>15</v>
      </c>
      <c r="J269" t="s">
        <v>14</v>
      </c>
      <c r="K269" t="str">
        <f>_xlfn.XLOOKUP(order[[#This Row],[customer_id]],customer[customer_id],customer[city])</f>
        <v>Ahmedabad</v>
      </c>
      <c r="L269" t="str">
        <f>_xlfn.XLOOKUP(order[[#This Row],[customer_id]],customer[customer_id],customer[state])</f>
        <v>Gujarat</v>
      </c>
      <c r="M269" t="str">
        <f>_xlfn.XLOOKUP(order[[#This Row],[product_id]],products!$A$2:$A$11,products!$B$2:$B$11)</f>
        <v>iPhone 13</v>
      </c>
      <c r="N269" s="3" t="str">
        <f>_xlfn.XLOOKUP(order[[#This Row],[product_id]],products!$A$2:$A$11,products!$C$2:$C$11)</f>
        <v>Electronics</v>
      </c>
      <c r="O269" s="3">
        <f>_xlfn.XLOOKUP(order[[#This Row],[product_id]],Table4[product_id],Table4[cost_price])</f>
        <v>52000</v>
      </c>
      <c r="P269" s="11">
        <f>_xlfn.XLOOKUP(order[[#This Row],[order_id]],shipment[order_id],shipment[ship_date])</f>
        <v>45305</v>
      </c>
      <c r="Q269" s="11">
        <f>_xlfn.XLOOKUP(order[[#This Row],[order_id]],shipment[order_id],shipment[delivery_date])</f>
        <v>45314</v>
      </c>
      <c r="R269" s="3" t="str">
        <f>_xlfn.XLOOKUP(order[[#This Row],[order_id]],shipment[shipment_id],shipment[courier])</f>
        <v>DTDC</v>
      </c>
      <c r="S269" s="3">
        <f>order[[#This Row],[selling_price]]-order[[#This Row],[cost_price]]*order[[#This Row],[quantity]]-order[[#This Row],[discount]]</f>
        <v>-79920</v>
      </c>
      <c r="T269" s="3">
        <f>order[[#This Row],[quantity]]*order[[#This Row],[selling_price]]</f>
        <v>48350</v>
      </c>
    </row>
    <row r="270" spans="1:20" x14ac:dyDescent="0.3">
      <c r="A270">
        <v>936</v>
      </c>
      <c r="B270" s="11">
        <v>45419</v>
      </c>
      <c r="C270">
        <v>237</v>
      </c>
      <c r="D270" t="str">
        <f>_xlfn.XLOOKUP(order[[#This Row],[customer_id]],customer[customer_id],customer[customer_name])</f>
        <v>Ananya Gupta</v>
      </c>
      <c r="E270">
        <v>201</v>
      </c>
      <c r="F270">
        <v>3</v>
      </c>
      <c r="G270">
        <v>7126</v>
      </c>
      <c r="H270">
        <v>6</v>
      </c>
      <c r="I270" t="s">
        <v>15</v>
      </c>
      <c r="J270" t="s">
        <v>12</v>
      </c>
      <c r="K270" t="str">
        <f>_xlfn.XLOOKUP(order[[#This Row],[customer_id]],customer[customer_id],customer[city])</f>
        <v>Hyderabad</v>
      </c>
      <c r="L270" t="str">
        <f>_xlfn.XLOOKUP(order[[#This Row],[customer_id]],customer[customer_id],customer[state])</f>
        <v>Telangana</v>
      </c>
      <c r="M270" t="str">
        <f>_xlfn.XLOOKUP(order[[#This Row],[product_id]],products!$A$2:$A$11,products!$B$2:$B$11)</f>
        <v>iPhone 13</v>
      </c>
      <c r="N270" s="3" t="str">
        <f>_xlfn.XLOOKUP(order[[#This Row],[product_id]],products!$A$2:$A$11,products!$C$2:$C$11)</f>
        <v>Electronics</v>
      </c>
      <c r="O270" s="3">
        <f>_xlfn.XLOOKUP(order[[#This Row],[product_id]],Table4[product_id],Table4[cost_price])</f>
        <v>52000</v>
      </c>
      <c r="P270" s="11">
        <f>_xlfn.XLOOKUP(order[[#This Row],[order_id]],shipment[order_id],shipment[ship_date])</f>
        <v>45464</v>
      </c>
      <c r="Q270" s="11">
        <f>_xlfn.XLOOKUP(order[[#This Row],[order_id]],shipment[order_id],shipment[delivery_date])</f>
        <v>45473</v>
      </c>
      <c r="R270" s="3" t="str">
        <f>_xlfn.XLOOKUP(order[[#This Row],[order_id]],shipment[shipment_id],shipment[courier])</f>
        <v>DTDC</v>
      </c>
      <c r="S270" s="3">
        <f>order[[#This Row],[selling_price]]-order[[#This Row],[cost_price]]*order[[#This Row],[quantity]]-order[[#This Row],[discount]]</f>
        <v>-148880</v>
      </c>
      <c r="T270" s="3">
        <f>order[[#This Row],[quantity]]*order[[#This Row],[selling_price]]</f>
        <v>21378</v>
      </c>
    </row>
    <row r="271" spans="1:20" x14ac:dyDescent="0.3">
      <c r="A271">
        <v>270</v>
      </c>
      <c r="B271" s="11">
        <v>45652</v>
      </c>
      <c r="C271">
        <v>280</v>
      </c>
      <c r="D271" t="str">
        <f>_xlfn.XLOOKUP(order[[#This Row],[customer_id]],customer[customer_id],customer[customer_name])</f>
        <v>Aarav Sharma</v>
      </c>
      <c r="E271">
        <v>205</v>
      </c>
      <c r="F271">
        <v>2</v>
      </c>
      <c r="G271">
        <v>27219</v>
      </c>
      <c r="H271">
        <v>1749</v>
      </c>
      <c r="I271" t="s">
        <v>15</v>
      </c>
      <c r="J271" t="s">
        <v>14</v>
      </c>
      <c r="K271" t="str">
        <f>_xlfn.XLOOKUP(order[[#This Row],[customer_id]],customer[customer_id],customer[city])</f>
        <v>Hyderabad</v>
      </c>
      <c r="L271" t="str">
        <f>_xlfn.XLOOKUP(order[[#This Row],[customer_id]],customer[customer_id],customer[state])</f>
        <v>Telangana</v>
      </c>
      <c r="M271" t="str">
        <f>_xlfn.XLOOKUP(order[[#This Row],[product_id]],products!$A$2:$A$11,products!$B$2:$B$11)</f>
        <v>Prestige Pressure Cooker 5L</v>
      </c>
      <c r="N271" s="3" t="str">
        <f>_xlfn.XLOOKUP(order[[#This Row],[product_id]],products!$A$2:$A$11,products!$C$2:$C$11)</f>
        <v>Home &amp; Kitchen</v>
      </c>
      <c r="O271" s="3">
        <f>_xlfn.XLOOKUP(order[[#This Row],[product_id]],Table4[product_id],Table4[cost_price])</f>
        <v>1200</v>
      </c>
      <c r="P271" s="11">
        <f>_xlfn.XLOOKUP(order[[#This Row],[order_id]],shipment[order_id],shipment[ship_date])</f>
        <v>45391</v>
      </c>
      <c r="Q271" s="11">
        <f>_xlfn.XLOOKUP(order[[#This Row],[order_id]],shipment[order_id],shipment[delivery_date])</f>
        <v>45394</v>
      </c>
      <c r="R271" s="3" t="str">
        <f>_xlfn.XLOOKUP(order[[#This Row],[order_id]],shipment[shipment_id],shipment[courier])</f>
        <v>BlueDart</v>
      </c>
      <c r="S271" s="3">
        <f>order[[#This Row],[selling_price]]-order[[#This Row],[cost_price]]*order[[#This Row],[quantity]]-order[[#This Row],[discount]]</f>
        <v>23070</v>
      </c>
      <c r="T271" s="3">
        <f>order[[#This Row],[quantity]]*order[[#This Row],[selling_price]]</f>
        <v>54438</v>
      </c>
    </row>
    <row r="272" spans="1:20" x14ac:dyDescent="0.3">
      <c r="A272">
        <v>298</v>
      </c>
      <c r="B272" s="11">
        <v>45526</v>
      </c>
      <c r="C272">
        <v>133</v>
      </c>
      <c r="D272" t="str">
        <f>_xlfn.XLOOKUP(order[[#This Row],[customer_id]],customer[customer_id],customer[customer_name])</f>
        <v>Manish Yadav</v>
      </c>
      <c r="E272">
        <v>201</v>
      </c>
      <c r="F272">
        <v>2</v>
      </c>
      <c r="G272">
        <v>61072</v>
      </c>
      <c r="H272">
        <v>1</v>
      </c>
      <c r="I272" t="s">
        <v>11</v>
      </c>
      <c r="J272" t="s">
        <v>10</v>
      </c>
      <c r="K272" t="str">
        <f>_xlfn.XLOOKUP(order[[#This Row],[customer_id]],customer[customer_id],customer[city])</f>
        <v>Hyderabad</v>
      </c>
      <c r="L272" t="str">
        <f>_xlfn.XLOOKUP(order[[#This Row],[customer_id]],customer[customer_id],customer[state])</f>
        <v>Telangana</v>
      </c>
      <c r="M272" t="str">
        <f>_xlfn.XLOOKUP(order[[#This Row],[product_id]],products!$A$2:$A$11,products!$B$2:$B$11)</f>
        <v>iPhone 13</v>
      </c>
      <c r="N272" s="3" t="str">
        <f>_xlfn.XLOOKUP(order[[#This Row],[product_id]],products!$A$2:$A$11,products!$C$2:$C$11)</f>
        <v>Electronics</v>
      </c>
      <c r="O272" s="3">
        <f>_xlfn.XLOOKUP(order[[#This Row],[product_id]],Table4[product_id],Table4[cost_price])</f>
        <v>52000</v>
      </c>
      <c r="P272" s="11">
        <f>_xlfn.XLOOKUP(order[[#This Row],[order_id]],shipment[order_id],shipment[ship_date])</f>
        <v>45524</v>
      </c>
      <c r="Q272" s="11">
        <f>_xlfn.XLOOKUP(order[[#This Row],[order_id]],shipment[order_id],shipment[delivery_date])</f>
        <v>45533</v>
      </c>
      <c r="R272" s="3" t="str">
        <f>_xlfn.XLOOKUP(order[[#This Row],[order_id]],shipment[shipment_id],shipment[courier])</f>
        <v>Delhivery</v>
      </c>
      <c r="S272" s="3">
        <f>order[[#This Row],[selling_price]]-order[[#This Row],[cost_price]]*order[[#This Row],[quantity]]-order[[#This Row],[discount]]</f>
        <v>-42929</v>
      </c>
      <c r="T272" s="3">
        <f>order[[#This Row],[quantity]]*order[[#This Row],[selling_price]]</f>
        <v>122144</v>
      </c>
    </row>
    <row r="273" spans="1:20" x14ac:dyDescent="0.3">
      <c r="A273">
        <v>869</v>
      </c>
      <c r="B273" s="11">
        <v>45621</v>
      </c>
      <c r="C273">
        <v>247</v>
      </c>
      <c r="D273" t="str">
        <f>_xlfn.XLOOKUP(order[[#This Row],[customer_id]],customer[customer_id],customer[customer_name])</f>
        <v>Pooja Nair</v>
      </c>
      <c r="E273">
        <v>202</v>
      </c>
      <c r="F273">
        <v>3</v>
      </c>
      <c r="G273">
        <v>46989</v>
      </c>
      <c r="H273">
        <v>4998</v>
      </c>
      <c r="I273" t="s">
        <v>11</v>
      </c>
      <c r="J273" t="s">
        <v>12</v>
      </c>
      <c r="K273" t="str">
        <f>_xlfn.XLOOKUP(order[[#This Row],[customer_id]],customer[customer_id],customer[city])</f>
        <v>Pune</v>
      </c>
      <c r="L273" t="str">
        <f>_xlfn.XLOOKUP(order[[#This Row],[customer_id]],customer[customer_id],customer[state])</f>
        <v>Maharashtra</v>
      </c>
      <c r="M273" t="str">
        <f>_xlfn.XLOOKUP(order[[#This Row],[product_id]],products!$A$2:$A$11,products!$B$2:$B$11)</f>
        <v>Samsung Galaxy S21</v>
      </c>
      <c r="N273" s="3" t="str">
        <f>_xlfn.XLOOKUP(order[[#This Row],[product_id]],products!$A$2:$A$11,products!$C$2:$C$11)</f>
        <v>Electronics</v>
      </c>
      <c r="O273" s="3">
        <f>_xlfn.XLOOKUP(order[[#This Row],[product_id]],Table4[product_id],Table4[cost_price])</f>
        <v>45000</v>
      </c>
      <c r="P273" s="11">
        <f>_xlfn.XLOOKUP(order[[#This Row],[order_id]],shipment[order_id],shipment[ship_date])</f>
        <v>45582</v>
      </c>
      <c r="Q273" s="11">
        <f>_xlfn.XLOOKUP(order[[#This Row],[order_id]],shipment[order_id],shipment[delivery_date])</f>
        <v>45590</v>
      </c>
      <c r="R273" s="3" t="str">
        <f>_xlfn.XLOOKUP(order[[#This Row],[order_id]],shipment[shipment_id],shipment[courier])</f>
        <v>BlueDart</v>
      </c>
      <c r="S273" s="3">
        <f>order[[#This Row],[selling_price]]-order[[#This Row],[cost_price]]*order[[#This Row],[quantity]]-order[[#This Row],[discount]]</f>
        <v>-93009</v>
      </c>
      <c r="T273" s="3">
        <f>order[[#This Row],[quantity]]*order[[#This Row],[selling_price]]</f>
        <v>140967</v>
      </c>
    </row>
    <row r="274" spans="1:20" x14ac:dyDescent="0.3">
      <c r="A274">
        <v>661</v>
      </c>
      <c r="B274" s="11">
        <v>45549</v>
      </c>
      <c r="C274">
        <v>286</v>
      </c>
      <c r="D274" t="str">
        <f>_xlfn.XLOOKUP(order[[#This Row],[customer_id]],customer[customer_id],customer[customer_name])</f>
        <v>Arjun Nair</v>
      </c>
      <c r="E274">
        <v>202</v>
      </c>
      <c r="F274">
        <v>3</v>
      </c>
      <c r="G274">
        <v>56153</v>
      </c>
      <c r="H274">
        <v>4929</v>
      </c>
      <c r="I274" t="s">
        <v>15</v>
      </c>
      <c r="J274" t="s">
        <v>12</v>
      </c>
      <c r="K274" t="str">
        <f>_xlfn.XLOOKUP(order[[#This Row],[customer_id]],customer[customer_id],customer[city])</f>
        <v>Hyderabad</v>
      </c>
      <c r="L274" t="str">
        <f>_xlfn.XLOOKUP(order[[#This Row],[customer_id]],customer[customer_id],customer[state])</f>
        <v>Telangana</v>
      </c>
      <c r="M274" t="str">
        <f>_xlfn.XLOOKUP(order[[#This Row],[product_id]],products!$A$2:$A$11,products!$B$2:$B$11)</f>
        <v>Samsung Galaxy S21</v>
      </c>
      <c r="N274" s="3" t="str">
        <f>_xlfn.XLOOKUP(order[[#This Row],[product_id]],products!$A$2:$A$11,products!$C$2:$C$11)</f>
        <v>Electronics</v>
      </c>
      <c r="O274" s="3">
        <f>_xlfn.XLOOKUP(order[[#This Row],[product_id]],Table4[product_id],Table4[cost_price])</f>
        <v>45000</v>
      </c>
      <c r="P274" s="11">
        <f>_xlfn.XLOOKUP(order[[#This Row],[order_id]],shipment[order_id],shipment[ship_date])</f>
        <v>45452</v>
      </c>
      <c r="Q274" s="11">
        <f>_xlfn.XLOOKUP(order[[#This Row],[order_id]],shipment[order_id],shipment[delivery_date])</f>
        <v>45456</v>
      </c>
      <c r="R274" s="3" t="str">
        <f>_xlfn.XLOOKUP(order[[#This Row],[order_id]],shipment[shipment_id],shipment[courier])</f>
        <v>Delhivery</v>
      </c>
      <c r="S274" s="3">
        <f>order[[#This Row],[selling_price]]-order[[#This Row],[cost_price]]*order[[#This Row],[quantity]]-order[[#This Row],[discount]]</f>
        <v>-83776</v>
      </c>
      <c r="T274" s="3">
        <f>order[[#This Row],[quantity]]*order[[#This Row],[selling_price]]</f>
        <v>168459</v>
      </c>
    </row>
    <row r="275" spans="1:20" x14ac:dyDescent="0.3">
      <c r="A275">
        <v>274</v>
      </c>
      <c r="B275" s="11">
        <v>45430</v>
      </c>
      <c r="C275">
        <v>292</v>
      </c>
      <c r="D275" t="str">
        <f>_xlfn.XLOOKUP(order[[#This Row],[customer_id]],customer[customer_id],customer[customer_name])</f>
        <v>Vikram Singh</v>
      </c>
      <c r="E275">
        <v>206</v>
      </c>
      <c r="F275">
        <v>4</v>
      </c>
      <c r="G275">
        <v>54071</v>
      </c>
      <c r="H275">
        <v>3220</v>
      </c>
      <c r="I275" t="s">
        <v>15</v>
      </c>
      <c r="J275" t="s">
        <v>10</v>
      </c>
      <c r="K275" t="str">
        <f>_xlfn.XLOOKUP(order[[#This Row],[customer_id]],customer[customer_id],customer[city])</f>
        <v>Ahmedabad</v>
      </c>
      <c r="L275" t="str">
        <f>_xlfn.XLOOKUP(order[[#This Row],[customer_id]],customer[customer_id],customer[state])</f>
        <v>Gujarat</v>
      </c>
      <c r="M275" t="str">
        <f>_xlfn.XLOOKUP(order[[#This Row],[product_id]],products!$A$2:$A$11,products!$B$2:$B$11)</f>
        <v>Philips Air Fryer</v>
      </c>
      <c r="N275" s="3" t="str">
        <f>_xlfn.XLOOKUP(order[[#This Row],[product_id]],products!$A$2:$A$11,products!$C$2:$C$11)</f>
        <v>Home &amp; Kitchen</v>
      </c>
      <c r="O275" s="3">
        <f>_xlfn.XLOOKUP(order[[#This Row],[product_id]],Table4[product_id],Table4[cost_price])</f>
        <v>7000</v>
      </c>
      <c r="P275" s="11">
        <f>_xlfn.XLOOKUP(order[[#This Row],[order_id]],shipment[order_id],shipment[ship_date])</f>
        <v>45457</v>
      </c>
      <c r="Q275" s="11">
        <f>_xlfn.XLOOKUP(order[[#This Row],[order_id]],shipment[order_id],shipment[delivery_date])</f>
        <v>45461</v>
      </c>
      <c r="R275" s="3" t="str">
        <f>_xlfn.XLOOKUP(order[[#This Row],[order_id]],shipment[shipment_id],shipment[courier])</f>
        <v>Ekart</v>
      </c>
      <c r="S275" s="3">
        <f>order[[#This Row],[selling_price]]-order[[#This Row],[cost_price]]*order[[#This Row],[quantity]]-order[[#This Row],[discount]]</f>
        <v>22851</v>
      </c>
      <c r="T275" s="3">
        <f>order[[#This Row],[quantity]]*order[[#This Row],[selling_price]]</f>
        <v>216284</v>
      </c>
    </row>
    <row r="276" spans="1:20" x14ac:dyDescent="0.3">
      <c r="A276">
        <v>275</v>
      </c>
      <c r="B276" s="11">
        <v>45635</v>
      </c>
      <c r="C276">
        <v>109</v>
      </c>
      <c r="D276" t="str">
        <f>_xlfn.XLOOKUP(order[[#This Row],[customer_id]],customer[customer_id],customer[customer_name])</f>
        <v>Sneha Iyer</v>
      </c>
      <c r="E276">
        <v>202</v>
      </c>
      <c r="F276">
        <v>1</v>
      </c>
      <c r="G276">
        <v>50318</v>
      </c>
      <c r="H276">
        <v>1643</v>
      </c>
      <c r="I276" t="s">
        <v>15</v>
      </c>
      <c r="J276" t="s">
        <v>12</v>
      </c>
      <c r="K276" t="str">
        <f>_xlfn.XLOOKUP(order[[#This Row],[customer_id]],customer[customer_id],customer[city])</f>
        <v>Hyderabad</v>
      </c>
      <c r="L276" t="str">
        <f>_xlfn.XLOOKUP(order[[#This Row],[customer_id]],customer[customer_id],customer[state])</f>
        <v>Telangana</v>
      </c>
      <c r="M276" t="str">
        <f>_xlfn.XLOOKUP(order[[#This Row],[product_id]],products!$A$2:$A$11,products!$B$2:$B$11)</f>
        <v>Samsung Galaxy S21</v>
      </c>
      <c r="N276" s="3" t="str">
        <f>_xlfn.XLOOKUP(order[[#This Row],[product_id]],products!$A$2:$A$11,products!$C$2:$C$11)</f>
        <v>Electronics</v>
      </c>
      <c r="O276" s="3">
        <f>_xlfn.XLOOKUP(order[[#This Row],[product_id]],Table4[product_id],Table4[cost_price])</f>
        <v>45000</v>
      </c>
      <c r="P276" s="11">
        <f>_xlfn.XLOOKUP(order[[#This Row],[order_id]],shipment[order_id],shipment[ship_date])</f>
        <v>45604</v>
      </c>
      <c r="Q276" s="11">
        <f>_xlfn.XLOOKUP(order[[#This Row],[order_id]],shipment[order_id],shipment[delivery_date])</f>
        <v>45606</v>
      </c>
      <c r="R276" s="3" t="str">
        <f>_xlfn.XLOOKUP(order[[#This Row],[order_id]],shipment[shipment_id],shipment[courier])</f>
        <v>DTDC</v>
      </c>
      <c r="S276" s="3">
        <f>order[[#This Row],[selling_price]]-order[[#This Row],[cost_price]]*order[[#This Row],[quantity]]-order[[#This Row],[discount]]</f>
        <v>3675</v>
      </c>
      <c r="T276" s="3">
        <f>order[[#This Row],[quantity]]*order[[#This Row],[selling_price]]</f>
        <v>50318</v>
      </c>
    </row>
    <row r="277" spans="1:20" x14ac:dyDescent="0.3">
      <c r="A277">
        <v>276</v>
      </c>
      <c r="B277" s="11">
        <v>45435</v>
      </c>
      <c r="C277">
        <v>210</v>
      </c>
      <c r="D277" t="str">
        <f>_xlfn.XLOOKUP(order[[#This Row],[customer_id]],customer[customer_id],customer[customer_name])</f>
        <v>Neha Kapoor</v>
      </c>
      <c r="E277">
        <v>209</v>
      </c>
      <c r="F277">
        <v>3</v>
      </c>
      <c r="G277">
        <v>62179</v>
      </c>
      <c r="H277">
        <v>3109</v>
      </c>
      <c r="I277" t="s">
        <v>9</v>
      </c>
      <c r="J277" t="s">
        <v>12</v>
      </c>
      <c r="K277" t="str">
        <f>_xlfn.XLOOKUP(order[[#This Row],[customer_id]],customer[customer_id],customer[city])</f>
        <v>Bangalore</v>
      </c>
      <c r="L277" t="str">
        <f>_xlfn.XLOOKUP(order[[#This Row],[customer_id]],customer[customer_id],customer[state])</f>
        <v>Karnataka</v>
      </c>
      <c r="M277" t="str">
        <f>_xlfn.XLOOKUP(order[[#This Row],[product_id]],products!$A$2:$A$11,products!$B$2:$B$11)</f>
        <v>Milton Thermosteel Bottle</v>
      </c>
      <c r="N277" s="3" t="str">
        <f>_xlfn.XLOOKUP(order[[#This Row],[product_id]],products!$A$2:$A$11,products!$C$2:$C$11)</f>
        <v>Home &amp; Kitchen</v>
      </c>
      <c r="O277" s="3">
        <f>_xlfn.XLOOKUP(order[[#This Row],[product_id]],Table4[product_id],Table4[cost_price])</f>
        <v>800</v>
      </c>
      <c r="P277" s="11">
        <f>_xlfn.XLOOKUP(order[[#This Row],[order_id]],shipment[order_id],shipment[ship_date])</f>
        <v>45513</v>
      </c>
      <c r="Q277" s="11">
        <f>_xlfn.XLOOKUP(order[[#This Row],[order_id]],shipment[order_id],shipment[delivery_date])</f>
        <v>45523</v>
      </c>
      <c r="R277" s="3" t="str">
        <f>_xlfn.XLOOKUP(order[[#This Row],[order_id]],shipment[shipment_id],shipment[courier])</f>
        <v>Ekart</v>
      </c>
      <c r="S277" s="3">
        <f>order[[#This Row],[selling_price]]-order[[#This Row],[cost_price]]*order[[#This Row],[quantity]]-order[[#This Row],[discount]]</f>
        <v>56670</v>
      </c>
      <c r="T277" s="3">
        <f>order[[#This Row],[quantity]]*order[[#This Row],[selling_price]]</f>
        <v>186537</v>
      </c>
    </row>
    <row r="278" spans="1:20" x14ac:dyDescent="0.3">
      <c r="A278">
        <v>277</v>
      </c>
      <c r="B278" s="11">
        <v>45331</v>
      </c>
      <c r="C278">
        <v>122</v>
      </c>
      <c r="D278" t="str">
        <f>_xlfn.XLOOKUP(order[[#This Row],[customer_id]],customer[customer_id],customer[customer_name])</f>
        <v>Priya Reddy</v>
      </c>
      <c r="E278">
        <v>207</v>
      </c>
      <c r="F278">
        <v>1</v>
      </c>
      <c r="G278">
        <v>28947</v>
      </c>
      <c r="H278">
        <v>2296</v>
      </c>
      <c r="I278" t="s">
        <v>13</v>
      </c>
      <c r="J278" t="s">
        <v>10</v>
      </c>
      <c r="K278" t="str">
        <f>_xlfn.XLOOKUP(order[[#This Row],[customer_id]],customer[customer_id],customer[city])</f>
        <v>Hyderabad</v>
      </c>
      <c r="L278" t="str">
        <f>_xlfn.XLOOKUP(order[[#This Row],[customer_id]],customer[customer_id],customer[state])</f>
        <v>Telangana</v>
      </c>
      <c r="M278" t="str">
        <f>_xlfn.XLOOKUP(order[[#This Row],[product_id]],products!$A$2:$A$11,products!$B$2:$B$11)</f>
        <v>Sony WH-1000XM4 Headphones</v>
      </c>
      <c r="N278" s="3" t="str">
        <f>_xlfn.XLOOKUP(order[[#This Row],[product_id]],products!$A$2:$A$11,products!$C$2:$C$11)</f>
        <v>Electronics</v>
      </c>
      <c r="O278" s="3">
        <f>_xlfn.XLOOKUP(order[[#This Row],[product_id]],Table4[product_id],Table4[cost_price])</f>
        <v>20000</v>
      </c>
      <c r="P278" s="11">
        <f>_xlfn.XLOOKUP(order[[#This Row],[order_id]],shipment[order_id],shipment[ship_date])</f>
        <v>45417</v>
      </c>
      <c r="Q278" s="11">
        <f>_xlfn.XLOOKUP(order[[#This Row],[order_id]],shipment[order_id],shipment[delivery_date])</f>
        <v>45420</v>
      </c>
      <c r="R278" s="3" t="str">
        <f>_xlfn.XLOOKUP(order[[#This Row],[order_id]],shipment[shipment_id],shipment[courier])</f>
        <v>DTDC</v>
      </c>
      <c r="S278" s="3">
        <f>order[[#This Row],[selling_price]]-order[[#This Row],[cost_price]]*order[[#This Row],[quantity]]-order[[#This Row],[discount]]</f>
        <v>6651</v>
      </c>
      <c r="T278" s="3">
        <f>order[[#This Row],[quantity]]*order[[#This Row],[selling_price]]</f>
        <v>28947</v>
      </c>
    </row>
    <row r="279" spans="1:20" x14ac:dyDescent="0.3">
      <c r="A279">
        <v>278</v>
      </c>
      <c r="B279" s="11">
        <v>45599</v>
      </c>
      <c r="C279">
        <v>246</v>
      </c>
      <c r="D279" t="str">
        <f>_xlfn.XLOOKUP(order[[#This Row],[customer_id]],customer[customer_id],customer[customer_name])</f>
        <v>Priya Reddy</v>
      </c>
      <c r="E279">
        <v>205</v>
      </c>
      <c r="F279">
        <v>1</v>
      </c>
      <c r="G279">
        <v>62764</v>
      </c>
      <c r="H279">
        <v>608</v>
      </c>
      <c r="I279" t="s">
        <v>13</v>
      </c>
      <c r="J279" t="s">
        <v>14</v>
      </c>
      <c r="K279" t="str">
        <f>_xlfn.XLOOKUP(order[[#This Row],[customer_id]],customer[customer_id],customer[city])</f>
        <v>Pune</v>
      </c>
      <c r="L279" t="str">
        <f>_xlfn.XLOOKUP(order[[#This Row],[customer_id]],customer[customer_id],customer[state])</f>
        <v>Maharashtra</v>
      </c>
      <c r="M279" t="str">
        <f>_xlfn.XLOOKUP(order[[#This Row],[product_id]],products!$A$2:$A$11,products!$B$2:$B$11)</f>
        <v>Prestige Pressure Cooker 5L</v>
      </c>
      <c r="N279" s="3" t="str">
        <f>_xlfn.XLOOKUP(order[[#This Row],[product_id]],products!$A$2:$A$11,products!$C$2:$C$11)</f>
        <v>Home &amp; Kitchen</v>
      </c>
      <c r="O279" s="3">
        <f>_xlfn.XLOOKUP(order[[#This Row],[product_id]],Table4[product_id],Table4[cost_price])</f>
        <v>1200</v>
      </c>
      <c r="P279" s="11">
        <f>_xlfn.XLOOKUP(order[[#This Row],[order_id]],shipment[order_id],shipment[ship_date])</f>
        <v>45524</v>
      </c>
      <c r="Q279" s="11">
        <f>_xlfn.XLOOKUP(order[[#This Row],[order_id]],shipment[order_id],shipment[delivery_date])</f>
        <v>45529</v>
      </c>
      <c r="R279" s="3" t="str">
        <f>_xlfn.XLOOKUP(order[[#This Row],[order_id]],shipment[shipment_id],shipment[courier])</f>
        <v>Delhivery</v>
      </c>
      <c r="S279" s="3">
        <f>order[[#This Row],[selling_price]]-order[[#This Row],[cost_price]]*order[[#This Row],[quantity]]-order[[#This Row],[discount]]</f>
        <v>60956</v>
      </c>
      <c r="T279" s="3">
        <f>order[[#This Row],[quantity]]*order[[#This Row],[selling_price]]</f>
        <v>62764</v>
      </c>
    </row>
    <row r="280" spans="1:20" x14ac:dyDescent="0.3">
      <c r="A280">
        <v>24</v>
      </c>
      <c r="B280" s="11">
        <v>45547</v>
      </c>
      <c r="C280">
        <v>221</v>
      </c>
      <c r="D280" t="str">
        <f>_xlfn.XLOOKUP(order[[#This Row],[customer_id]],customer[customer_id],customer[customer_name])</f>
        <v>Manish Yadav</v>
      </c>
      <c r="E280">
        <v>202</v>
      </c>
      <c r="F280">
        <v>4</v>
      </c>
      <c r="G280">
        <v>60389</v>
      </c>
      <c r="H280">
        <v>4834</v>
      </c>
      <c r="I280" t="s">
        <v>9</v>
      </c>
      <c r="J280" t="s">
        <v>12</v>
      </c>
      <c r="K280" t="str">
        <f>_xlfn.XLOOKUP(order[[#This Row],[customer_id]],customer[customer_id],customer[city])</f>
        <v>Bangalore</v>
      </c>
      <c r="L280" t="str">
        <f>_xlfn.XLOOKUP(order[[#This Row],[customer_id]],customer[customer_id],customer[state])</f>
        <v>Karnataka</v>
      </c>
      <c r="M280" t="str">
        <f>_xlfn.XLOOKUP(order[[#This Row],[product_id]],products!$A$2:$A$11,products!$B$2:$B$11)</f>
        <v>Samsung Galaxy S21</v>
      </c>
      <c r="N280" s="3" t="str">
        <f>_xlfn.XLOOKUP(order[[#This Row],[product_id]],products!$A$2:$A$11,products!$C$2:$C$11)</f>
        <v>Electronics</v>
      </c>
      <c r="O280" s="3">
        <f>_xlfn.XLOOKUP(order[[#This Row],[product_id]],Table4[product_id],Table4[cost_price])</f>
        <v>45000</v>
      </c>
      <c r="P280" s="11">
        <f>_xlfn.XLOOKUP(order[[#This Row],[order_id]],shipment[order_id],shipment[ship_date])</f>
        <v>45353</v>
      </c>
      <c r="Q280" s="11">
        <f>_xlfn.XLOOKUP(order[[#This Row],[order_id]],shipment[order_id],shipment[delivery_date])</f>
        <v>45358</v>
      </c>
      <c r="R280" s="3" t="str">
        <f>_xlfn.XLOOKUP(order[[#This Row],[order_id]],shipment[shipment_id],shipment[courier])</f>
        <v>Ekart</v>
      </c>
      <c r="S280" s="3">
        <f>order[[#This Row],[selling_price]]-order[[#This Row],[cost_price]]*order[[#This Row],[quantity]]-order[[#This Row],[discount]]</f>
        <v>-124445</v>
      </c>
      <c r="T280" s="3">
        <f>order[[#This Row],[quantity]]*order[[#This Row],[selling_price]]</f>
        <v>241556</v>
      </c>
    </row>
    <row r="281" spans="1:20" x14ac:dyDescent="0.3">
      <c r="A281">
        <v>718</v>
      </c>
      <c r="B281" s="11">
        <v>45630</v>
      </c>
      <c r="C281">
        <v>243</v>
      </c>
      <c r="D281" t="str">
        <f>_xlfn.XLOOKUP(order[[#This Row],[customer_id]],customer[customer_id],customer[customer_name])</f>
        <v>Ananya Gupta</v>
      </c>
      <c r="E281">
        <v>202</v>
      </c>
      <c r="F281">
        <v>3</v>
      </c>
      <c r="G281">
        <v>53301</v>
      </c>
      <c r="H281">
        <v>4827</v>
      </c>
      <c r="I281" t="s">
        <v>11</v>
      </c>
      <c r="J281" t="s">
        <v>10</v>
      </c>
      <c r="K281" t="str">
        <f>_xlfn.XLOOKUP(order[[#This Row],[customer_id]],customer[customer_id],customer[city])</f>
        <v>Ahmedabad</v>
      </c>
      <c r="L281" t="str">
        <f>_xlfn.XLOOKUP(order[[#This Row],[customer_id]],customer[customer_id],customer[state])</f>
        <v>Gujarat</v>
      </c>
      <c r="M281" t="str">
        <f>_xlfn.XLOOKUP(order[[#This Row],[product_id]],products!$A$2:$A$11,products!$B$2:$B$11)</f>
        <v>Samsung Galaxy S21</v>
      </c>
      <c r="N281" s="3" t="str">
        <f>_xlfn.XLOOKUP(order[[#This Row],[product_id]],products!$A$2:$A$11,products!$C$2:$C$11)</f>
        <v>Electronics</v>
      </c>
      <c r="O281" s="3">
        <f>_xlfn.XLOOKUP(order[[#This Row],[product_id]],Table4[product_id],Table4[cost_price])</f>
        <v>45000</v>
      </c>
      <c r="P281" s="11">
        <f>_xlfn.XLOOKUP(order[[#This Row],[order_id]],shipment[order_id],shipment[ship_date])</f>
        <v>45627</v>
      </c>
      <c r="Q281" s="11">
        <f>_xlfn.XLOOKUP(order[[#This Row],[order_id]],shipment[order_id],shipment[delivery_date])</f>
        <v>45633</v>
      </c>
      <c r="R281" s="3" t="str">
        <f>_xlfn.XLOOKUP(order[[#This Row],[order_id]],shipment[shipment_id],shipment[courier])</f>
        <v>Delhivery</v>
      </c>
      <c r="S281" s="3">
        <f>order[[#This Row],[selling_price]]-order[[#This Row],[cost_price]]*order[[#This Row],[quantity]]-order[[#This Row],[discount]]</f>
        <v>-86526</v>
      </c>
      <c r="T281" s="3">
        <f>order[[#This Row],[quantity]]*order[[#This Row],[selling_price]]</f>
        <v>159903</v>
      </c>
    </row>
    <row r="282" spans="1:20" x14ac:dyDescent="0.3">
      <c r="A282">
        <v>60</v>
      </c>
      <c r="B282" s="11">
        <v>45609</v>
      </c>
      <c r="C282">
        <v>152</v>
      </c>
      <c r="D282" t="str">
        <f>_xlfn.XLOOKUP(order[[#This Row],[customer_id]],customer[customer_id],customer[customer_name])</f>
        <v>Manish Yadav</v>
      </c>
      <c r="E282">
        <v>202</v>
      </c>
      <c r="F282">
        <v>3</v>
      </c>
      <c r="G282">
        <v>4207</v>
      </c>
      <c r="H282">
        <v>4666</v>
      </c>
      <c r="I282" t="s">
        <v>13</v>
      </c>
      <c r="J282" t="s">
        <v>14</v>
      </c>
      <c r="K282" t="str">
        <f>_xlfn.XLOOKUP(order[[#This Row],[customer_id]],customer[customer_id],customer[city])</f>
        <v>Bangalore</v>
      </c>
      <c r="L282" t="str">
        <f>_xlfn.XLOOKUP(order[[#This Row],[customer_id]],customer[customer_id],customer[state])</f>
        <v>Karnataka</v>
      </c>
      <c r="M282" t="str">
        <f>_xlfn.XLOOKUP(order[[#This Row],[product_id]],products!$A$2:$A$11,products!$B$2:$B$11)</f>
        <v>Samsung Galaxy S21</v>
      </c>
      <c r="N282" s="3" t="str">
        <f>_xlfn.XLOOKUP(order[[#This Row],[product_id]],products!$A$2:$A$11,products!$C$2:$C$11)</f>
        <v>Electronics</v>
      </c>
      <c r="O282" s="3">
        <f>_xlfn.XLOOKUP(order[[#This Row],[product_id]],Table4[product_id],Table4[cost_price])</f>
        <v>45000</v>
      </c>
      <c r="P282" s="11">
        <f>_xlfn.XLOOKUP(order[[#This Row],[order_id]],shipment[order_id],shipment[ship_date])</f>
        <v>45415</v>
      </c>
      <c r="Q282" s="11">
        <f>_xlfn.XLOOKUP(order[[#This Row],[order_id]],shipment[order_id],shipment[delivery_date])</f>
        <v>45425</v>
      </c>
      <c r="R282" s="3" t="str">
        <f>_xlfn.XLOOKUP(order[[#This Row],[order_id]],shipment[shipment_id],shipment[courier])</f>
        <v>DTDC</v>
      </c>
      <c r="S282" s="3">
        <f>order[[#This Row],[selling_price]]-order[[#This Row],[cost_price]]*order[[#This Row],[quantity]]-order[[#This Row],[discount]]</f>
        <v>-135459</v>
      </c>
      <c r="T282" s="3">
        <f>order[[#This Row],[quantity]]*order[[#This Row],[selling_price]]</f>
        <v>12621</v>
      </c>
    </row>
    <row r="283" spans="1:20" x14ac:dyDescent="0.3">
      <c r="A283">
        <v>282</v>
      </c>
      <c r="B283" s="11">
        <v>45528</v>
      </c>
      <c r="C283">
        <v>144</v>
      </c>
      <c r="D283" t="str">
        <f>_xlfn.XLOOKUP(order[[#This Row],[customer_id]],customer[customer_id],customer[customer_name])</f>
        <v>Priya Reddy</v>
      </c>
      <c r="E283">
        <v>206</v>
      </c>
      <c r="F283">
        <v>4</v>
      </c>
      <c r="G283">
        <v>63509</v>
      </c>
      <c r="H283">
        <v>3381</v>
      </c>
      <c r="I283" t="s">
        <v>11</v>
      </c>
      <c r="J283" t="s">
        <v>14</v>
      </c>
      <c r="K283" t="str">
        <f>_xlfn.XLOOKUP(order[[#This Row],[customer_id]],customer[customer_id],customer[city])</f>
        <v>Bangalore</v>
      </c>
      <c r="L283" t="str">
        <f>_xlfn.XLOOKUP(order[[#This Row],[customer_id]],customer[customer_id],customer[state])</f>
        <v>Karnataka</v>
      </c>
      <c r="M283" t="str">
        <f>_xlfn.XLOOKUP(order[[#This Row],[product_id]],products!$A$2:$A$11,products!$B$2:$B$11)</f>
        <v>Philips Air Fryer</v>
      </c>
      <c r="N283" s="3" t="str">
        <f>_xlfn.XLOOKUP(order[[#This Row],[product_id]],products!$A$2:$A$11,products!$C$2:$C$11)</f>
        <v>Home &amp; Kitchen</v>
      </c>
      <c r="O283" s="3">
        <f>_xlfn.XLOOKUP(order[[#This Row],[product_id]],Table4[product_id],Table4[cost_price])</f>
        <v>7000</v>
      </c>
      <c r="P283" s="11">
        <f>_xlfn.XLOOKUP(order[[#This Row],[order_id]],shipment[order_id],shipment[ship_date])</f>
        <v>45539</v>
      </c>
      <c r="Q283" s="11">
        <f>_xlfn.XLOOKUP(order[[#This Row],[order_id]],shipment[order_id],shipment[delivery_date])</f>
        <v>45542</v>
      </c>
      <c r="R283" s="3" t="str">
        <f>_xlfn.XLOOKUP(order[[#This Row],[order_id]],shipment[shipment_id],shipment[courier])</f>
        <v>DTDC</v>
      </c>
      <c r="S283" s="3">
        <f>order[[#This Row],[selling_price]]-order[[#This Row],[cost_price]]*order[[#This Row],[quantity]]-order[[#This Row],[discount]]</f>
        <v>32128</v>
      </c>
      <c r="T283" s="3">
        <f>order[[#This Row],[quantity]]*order[[#This Row],[selling_price]]</f>
        <v>254036</v>
      </c>
    </row>
    <row r="284" spans="1:20" x14ac:dyDescent="0.3">
      <c r="A284">
        <v>283</v>
      </c>
      <c r="B284" s="11">
        <v>45480</v>
      </c>
      <c r="C284">
        <v>252</v>
      </c>
      <c r="D284" t="str">
        <f>_xlfn.XLOOKUP(order[[#This Row],[customer_id]],customer[customer_id],customer[customer_name])</f>
        <v>Ananya Gupta</v>
      </c>
      <c r="E284">
        <v>205</v>
      </c>
      <c r="F284">
        <v>2</v>
      </c>
      <c r="G284">
        <v>64716</v>
      </c>
      <c r="H284">
        <v>196</v>
      </c>
      <c r="I284" t="s">
        <v>13</v>
      </c>
      <c r="J284" t="s">
        <v>10</v>
      </c>
      <c r="K284" t="str">
        <f>_xlfn.XLOOKUP(order[[#This Row],[customer_id]],customer[customer_id],customer[city])</f>
        <v>Pune</v>
      </c>
      <c r="L284" t="str">
        <f>_xlfn.XLOOKUP(order[[#This Row],[customer_id]],customer[customer_id],customer[state])</f>
        <v>Maharashtra</v>
      </c>
      <c r="M284" t="str">
        <f>_xlfn.XLOOKUP(order[[#This Row],[product_id]],products!$A$2:$A$11,products!$B$2:$B$11)</f>
        <v>Prestige Pressure Cooker 5L</v>
      </c>
      <c r="N284" s="3" t="str">
        <f>_xlfn.XLOOKUP(order[[#This Row],[product_id]],products!$A$2:$A$11,products!$C$2:$C$11)</f>
        <v>Home &amp; Kitchen</v>
      </c>
      <c r="O284" s="3">
        <f>_xlfn.XLOOKUP(order[[#This Row],[product_id]],Table4[product_id],Table4[cost_price])</f>
        <v>1200</v>
      </c>
      <c r="P284" s="11">
        <f>_xlfn.XLOOKUP(order[[#This Row],[order_id]],shipment[order_id],shipment[ship_date])</f>
        <v>45329</v>
      </c>
      <c r="Q284" s="11">
        <f>_xlfn.XLOOKUP(order[[#This Row],[order_id]],shipment[order_id],shipment[delivery_date])</f>
        <v>45336</v>
      </c>
      <c r="R284" s="3" t="str">
        <f>_xlfn.XLOOKUP(order[[#This Row],[order_id]],shipment[shipment_id],shipment[courier])</f>
        <v>Ekart</v>
      </c>
      <c r="S284" s="3">
        <f>order[[#This Row],[selling_price]]-order[[#This Row],[cost_price]]*order[[#This Row],[quantity]]-order[[#This Row],[discount]]</f>
        <v>62120</v>
      </c>
      <c r="T284" s="3">
        <f>order[[#This Row],[quantity]]*order[[#This Row],[selling_price]]</f>
        <v>129432</v>
      </c>
    </row>
    <row r="285" spans="1:20" x14ac:dyDescent="0.3">
      <c r="A285">
        <v>284</v>
      </c>
      <c r="B285" s="11">
        <v>45555</v>
      </c>
      <c r="C285">
        <v>226</v>
      </c>
      <c r="D285" t="str">
        <f>_xlfn.XLOOKUP(order[[#This Row],[customer_id]],customer[customer_id],customer[customer_name])</f>
        <v>Rahul Mehta</v>
      </c>
      <c r="E285">
        <v>205</v>
      </c>
      <c r="F285">
        <v>1</v>
      </c>
      <c r="G285">
        <v>17797</v>
      </c>
      <c r="H285">
        <v>2885</v>
      </c>
      <c r="I285" t="s">
        <v>11</v>
      </c>
      <c r="J285" t="s">
        <v>12</v>
      </c>
      <c r="K285" t="str">
        <f>_xlfn.XLOOKUP(order[[#This Row],[customer_id]],customer[customer_id],customer[city])</f>
        <v>Bangalore</v>
      </c>
      <c r="L285" t="str">
        <f>_xlfn.XLOOKUP(order[[#This Row],[customer_id]],customer[customer_id],customer[state])</f>
        <v>Karnataka</v>
      </c>
      <c r="M285" t="str">
        <f>_xlfn.XLOOKUP(order[[#This Row],[product_id]],products!$A$2:$A$11,products!$B$2:$B$11)</f>
        <v>Prestige Pressure Cooker 5L</v>
      </c>
      <c r="N285" s="3" t="str">
        <f>_xlfn.XLOOKUP(order[[#This Row],[product_id]],products!$A$2:$A$11,products!$C$2:$C$11)</f>
        <v>Home &amp; Kitchen</v>
      </c>
      <c r="O285" s="3">
        <f>_xlfn.XLOOKUP(order[[#This Row],[product_id]],Table4[product_id],Table4[cost_price])</f>
        <v>1200</v>
      </c>
      <c r="P285" s="11">
        <f>_xlfn.XLOOKUP(order[[#This Row],[order_id]],shipment[order_id],shipment[ship_date])</f>
        <v>45474</v>
      </c>
      <c r="Q285" s="11">
        <f>_xlfn.XLOOKUP(order[[#This Row],[order_id]],shipment[order_id],shipment[delivery_date])</f>
        <v>45475</v>
      </c>
      <c r="R285" s="3" t="str">
        <f>_xlfn.XLOOKUP(order[[#This Row],[order_id]],shipment[shipment_id],shipment[courier])</f>
        <v>Ekart</v>
      </c>
      <c r="S285" s="3">
        <f>order[[#This Row],[selling_price]]-order[[#This Row],[cost_price]]*order[[#This Row],[quantity]]-order[[#This Row],[discount]]</f>
        <v>13712</v>
      </c>
      <c r="T285" s="3">
        <f>order[[#This Row],[quantity]]*order[[#This Row],[selling_price]]</f>
        <v>17797</v>
      </c>
    </row>
    <row r="286" spans="1:20" x14ac:dyDescent="0.3">
      <c r="A286">
        <v>137</v>
      </c>
      <c r="B286" s="11">
        <v>45380</v>
      </c>
      <c r="C286">
        <v>180</v>
      </c>
      <c r="D286" t="str">
        <f>_xlfn.XLOOKUP(order[[#This Row],[customer_id]],customer[customer_id],customer[customer_name])</f>
        <v>Siddharth Jain</v>
      </c>
      <c r="E286">
        <v>202</v>
      </c>
      <c r="F286">
        <v>2</v>
      </c>
      <c r="G286">
        <v>4639</v>
      </c>
      <c r="H286">
        <v>4572</v>
      </c>
      <c r="I286" t="s">
        <v>13</v>
      </c>
      <c r="J286" t="s">
        <v>14</v>
      </c>
      <c r="K286" t="str">
        <f>_xlfn.XLOOKUP(order[[#This Row],[customer_id]],customer[customer_id],customer[city])</f>
        <v>Hyderabad</v>
      </c>
      <c r="L286" t="str">
        <f>_xlfn.XLOOKUP(order[[#This Row],[customer_id]],customer[customer_id],customer[state])</f>
        <v>Telangana</v>
      </c>
      <c r="M286" t="str">
        <f>_xlfn.XLOOKUP(order[[#This Row],[product_id]],products!$A$2:$A$11,products!$B$2:$B$11)</f>
        <v>Samsung Galaxy S21</v>
      </c>
      <c r="N286" s="3" t="str">
        <f>_xlfn.XLOOKUP(order[[#This Row],[product_id]],products!$A$2:$A$11,products!$C$2:$C$11)</f>
        <v>Electronics</v>
      </c>
      <c r="O286" s="3">
        <f>_xlfn.XLOOKUP(order[[#This Row],[product_id]],Table4[product_id],Table4[cost_price])</f>
        <v>45000</v>
      </c>
      <c r="P286" s="11">
        <f>_xlfn.XLOOKUP(order[[#This Row],[order_id]],shipment[order_id],shipment[ship_date])</f>
        <v>45620</v>
      </c>
      <c r="Q286" s="11">
        <f>_xlfn.XLOOKUP(order[[#This Row],[order_id]],shipment[order_id],shipment[delivery_date])</f>
        <v>45621</v>
      </c>
      <c r="R286" s="3" t="str">
        <f>_xlfn.XLOOKUP(order[[#This Row],[order_id]],shipment[shipment_id],shipment[courier])</f>
        <v>DTDC</v>
      </c>
      <c r="S286" s="3">
        <f>order[[#This Row],[selling_price]]-order[[#This Row],[cost_price]]*order[[#This Row],[quantity]]-order[[#This Row],[discount]]</f>
        <v>-89933</v>
      </c>
      <c r="T286" s="3">
        <f>order[[#This Row],[quantity]]*order[[#This Row],[selling_price]]</f>
        <v>9278</v>
      </c>
    </row>
    <row r="287" spans="1:20" x14ac:dyDescent="0.3">
      <c r="A287">
        <v>286</v>
      </c>
      <c r="B287" s="11">
        <v>45371</v>
      </c>
      <c r="C287">
        <v>214</v>
      </c>
      <c r="D287" t="str">
        <f>_xlfn.XLOOKUP(order[[#This Row],[customer_id]],customer[customer_id],customer[customer_name])</f>
        <v>Ishita Bose</v>
      </c>
      <c r="E287">
        <v>205</v>
      </c>
      <c r="F287">
        <v>1</v>
      </c>
      <c r="G287">
        <v>42408</v>
      </c>
      <c r="H287">
        <v>4748</v>
      </c>
      <c r="I287" t="s">
        <v>11</v>
      </c>
      <c r="J287" t="s">
        <v>14</v>
      </c>
      <c r="K287" t="str">
        <f>_xlfn.XLOOKUP(order[[#This Row],[customer_id]],customer[customer_id],customer[city])</f>
        <v>Mumbai</v>
      </c>
      <c r="L287" t="str">
        <f>_xlfn.XLOOKUP(order[[#This Row],[customer_id]],customer[customer_id],customer[state])</f>
        <v>Maharashtra</v>
      </c>
      <c r="M287" t="str">
        <f>_xlfn.XLOOKUP(order[[#This Row],[product_id]],products!$A$2:$A$11,products!$B$2:$B$11)</f>
        <v>Prestige Pressure Cooker 5L</v>
      </c>
      <c r="N287" s="3" t="str">
        <f>_xlfn.XLOOKUP(order[[#This Row],[product_id]],products!$A$2:$A$11,products!$C$2:$C$11)</f>
        <v>Home &amp; Kitchen</v>
      </c>
      <c r="O287" s="3">
        <f>_xlfn.XLOOKUP(order[[#This Row],[product_id]],Table4[product_id],Table4[cost_price])</f>
        <v>1200</v>
      </c>
      <c r="P287" s="11">
        <f>_xlfn.XLOOKUP(order[[#This Row],[order_id]],shipment[order_id],shipment[ship_date])</f>
        <v>45497</v>
      </c>
      <c r="Q287" s="11">
        <f>_xlfn.XLOOKUP(order[[#This Row],[order_id]],shipment[order_id],shipment[delivery_date])</f>
        <v>45504</v>
      </c>
      <c r="R287" s="3" t="str">
        <f>_xlfn.XLOOKUP(order[[#This Row],[order_id]],shipment[shipment_id],shipment[courier])</f>
        <v>DTDC</v>
      </c>
      <c r="S287" s="3">
        <f>order[[#This Row],[selling_price]]-order[[#This Row],[cost_price]]*order[[#This Row],[quantity]]-order[[#This Row],[discount]]</f>
        <v>36460</v>
      </c>
      <c r="T287" s="3">
        <f>order[[#This Row],[quantity]]*order[[#This Row],[selling_price]]</f>
        <v>42408</v>
      </c>
    </row>
    <row r="288" spans="1:20" x14ac:dyDescent="0.3">
      <c r="A288">
        <v>287</v>
      </c>
      <c r="B288" s="11">
        <v>45587</v>
      </c>
      <c r="C288">
        <v>197</v>
      </c>
      <c r="D288" t="str">
        <f>_xlfn.XLOOKUP(order[[#This Row],[customer_id]],customer[customer_id],customer[customer_name])</f>
        <v>Neha Kapoor</v>
      </c>
      <c r="E288">
        <v>210</v>
      </c>
      <c r="F288">
        <v>1</v>
      </c>
      <c r="G288">
        <v>69712</v>
      </c>
      <c r="H288">
        <v>1733</v>
      </c>
      <c r="I288" t="s">
        <v>13</v>
      </c>
      <c r="J288" t="s">
        <v>12</v>
      </c>
      <c r="K288" t="str">
        <f>_xlfn.XLOOKUP(order[[#This Row],[customer_id]],customer[customer_id],customer[city])</f>
        <v>Delhi</v>
      </c>
      <c r="L288" t="str">
        <f>_xlfn.XLOOKUP(order[[#This Row],[customer_id]],customer[customer_id],customer[state])</f>
        <v>Delhi</v>
      </c>
      <c r="M288" t="str">
        <f>_xlfn.XLOOKUP(order[[#This Row],[product_id]],products!$A$2:$A$11,products!$B$2:$B$11)</f>
        <v>LG 43 Inch Smart TV</v>
      </c>
      <c r="N288" s="3" t="str">
        <f>_xlfn.XLOOKUP(order[[#This Row],[product_id]],products!$A$2:$A$11,products!$C$2:$C$11)</f>
        <v>Electronics</v>
      </c>
      <c r="O288" s="3">
        <f>_xlfn.XLOOKUP(order[[#This Row],[product_id]],Table4[product_id],Table4[cost_price])</f>
        <v>30000</v>
      </c>
      <c r="P288" s="11">
        <f>_xlfn.XLOOKUP(order[[#This Row],[order_id]],shipment[order_id],shipment[ship_date])</f>
        <v>45322</v>
      </c>
      <c r="Q288" s="11">
        <f>_xlfn.XLOOKUP(order[[#This Row],[order_id]],shipment[order_id],shipment[delivery_date])</f>
        <v>45324</v>
      </c>
      <c r="R288" s="3" t="str">
        <f>_xlfn.XLOOKUP(order[[#This Row],[order_id]],shipment[shipment_id],shipment[courier])</f>
        <v>Delhivery</v>
      </c>
      <c r="S288" s="3">
        <f>order[[#This Row],[selling_price]]-order[[#This Row],[cost_price]]*order[[#This Row],[quantity]]-order[[#This Row],[discount]]</f>
        <v>37979</v>
      </c>
      <c r="T288" s="3">
        <f>order[[#This Row],[quantity]]*order[[#This Row],[selling_price]]</f>
        <v>69712</v>
      </c>
    </row>
    <row r="289" spans="1:20" x14ac:dyDescent="0.3">
      <c r="A289">
        <v>288</v>
      </c>
      <c r="B289" s="11">
        <v>45528</v>
      </c>
      <c r="C289">
        <v>230</v>
      </c>
      <c r="D289" t="str">
        <f>_xlfn.XLOOKUP(order[[#This Row],[customer_id]],customer[customer_id],customer[customer_name])</f>
        <v>Rohit Verma</v>
      </c>
      <c r="E289">
        <v>210</v>
      </c>
      <c r="F289">
        <v>1</v>
      </c>
      <c r="G289">
        <v>46665</v>
      </c>
      <c r="H289">
        <v>3678</v>
      </c>
      <c r="I289" t="s">
        <v>15</v>
      </c>
      <c r="J289" t="s">
        <v>14</v>
      </c>
      <c r="K289" t="str">
        <f>_xlfn.XLOOKUP(order[[#This Row],[customer_id]],customer[customer_id],customer[city])</f>
        <v>Mumbai</v>
      </c>
      <c r="L289" t="str">
        <f>_xlfn.XLOOKUP(order[[#This Row],[customer_id]],customer[customer_id],customer[state])</f>
        <v>Maharashtra</v>
      </c>
      <c r="M289" t="str">
        <f>_xlfn.XLOOKUP(order[[#This Row],[product_id]],products!$A$2:$A$11,products!$B$2:$B$11)</f>
        <v>LG 43 Inch Smart TV</v>
      </c>
      <c r="N289" s="3" t="str">
        <f>_xlfn.XLOOKUP(order[[#This Row],[product_id]],products!$A$2:$A$11,products!$C$2:$C$11)</f>
        <v>Electronics</v>
      </c>
      <c r="O289" s="3">
        <f>_xlfn.XLOOKUP(order[[#This Row],[product_id]],Table4[product_id],Table4[cost_price])</f>
        <v>30000</v>
      </c>
      <c r="P289" s="11">
        <f>_xlfn.XLOOKUP(order[[#This Row],[order_id]],shipment[order_id],shipment[ship_date])</f>
        <v>45611</v>
      </c>
      <c r="Q289" s="11">
        <f>_xlfn.XLOOKUP(order[[#This Row],[order_id]],shipment[order_id],shipment[delivery_date])</f>
        <v>45614</v>
      </c>
      <c r="R289" s="3" t="str">
        <f>_xlfn.XLOOKUP(order[[#This Row],[order_id]],shipment[shipment_id],shipment[courier])</f>
        <v>Delhivery</v>
      </c>
      <c r="S289" s="3">
        <f>order[[#This Row],[selling_price]]-order[[#This Row],[cost_price]]*order[[#This Row],[quantity]]-order[[#This Row],[discount]]</f>
        <v>12987</v>
      </c>
      <c r="T289" s="3">
        <f>order[[#This Row],[quantity]]*order[[#This Row],[selling_price]]</f>
        <v>46665</v>
      </c>
    </row>
    <row r="290" spans="1:20" x14ac:dyDescent="0.3">
      <c r="A290">
        <v>289</v>
      </c>
      <c r="B290" s="11">
        <v>45549</v>
      </c>
      <c r="C290">
        <v>293</v>
      </c>
      <c r="D290" t="str">
        <f>_xlfn.XLOOKUP(order[[#This Row],[customer_id]],customer[customer_id],customer[customer_name])</f>
        <v>Sneha Iyer</v>
      </c>
      <c r="E290">
        <v>207</v>
      </c>
      <c r="F290">
        <v>2</v>
      </c>
      <c r="G290">
        <v>46621</v>
      </c>
      <c r="H290">
        <v>4586</v>
      </c>
      <c r="I290" t="s">
        <v>11</v>
      </c>
      <c r="J290" t="s">
        <v>10</v>
      </c>
      <c r="K290" t="str">
        <f>_xlfn.XLOOKUP(order[[#This Row],[customer_id]],customer[customer_id],customer[city])</f>
        <v>Pune</v>
      </c>
      <c r="L290" t="str">
        <f>_xlfn.XLOOKUP(order[[#This Row],[customer_id]],customer[customer_id],customer[state])</f>
        <v>Maharashtra</v>
      </c>
      <c r="M290" t="str">
        <f>_xlfn.XLOOKUP(order[[#This Row],[product_id]],products!$A$2:$A$11,products!$B$2:$B$11)</f>
        <v>Sony WH-1000XM4 Headphones</v>
      </c>
      <c r="N290" s="3" t="str">
        <f>_xlfn.XLOOKUP(order[[#This Row],[product_id]],products!$A$2:$A$11,products!$C$2:$C$11)</f>
        <v>Electronics</v>
      </c>
      <c r="O290" s="3">
        <f>_xlfn.XLOOKUP(order[[#This Row],[product_id]],Table4[product_id],Table4[cost_price])</f>
        <v>20000</v>
      </c>
      <c r="P290" s="11">
        <f>_xlfn.XLOOKUP(order[[#This Row],[order_id]],shipment[order_id],shipment[ship_date])</f>
        <v>45477</v>
      </c>
      <c r="Q290" s="11">
        <f>_xlfn.XLOOKUP(order[[#This Row],[order_id]],shipment[order_id],shipment[delivery_date])</f>
        <v>45482</v>
      </c>
      <c r="R290" s="3" t="str">
        <f>_xlfn.XLOOKUP(order[[#This Row],[order_id]],shipment[shipment_id],shipment[courier])</f>
        <v>DTDC</v>
      </c>
      <c r="S290" s="3">
        <f>order[[#This Row],[selling_price]]-order[[#This Row],[cost_price]]*order[[#This Row],[quantity]]-order[[#This Row],[discount]]</f>
        <v>2035</v>
      </c>
      <c r="T290" s="3">
        <f>order[[#This Row],[quantity]]*order[[#This Row],[selling_price]]</f>
        <v>93242</v>
      </c>
    </row>
    <row r="291" spans="1:20" x14ac:dyDescent="0.3">
      <c r="A291">
        <v>290</v>
      </c>
      <c r="B291" s="11">
        <v>45301</v>
      </c>
      <c r="C291">
        <v>260</v>
      </c>
      <c r="D291" t="str">
        <f>_xlfn.XLOOKUP(order[[#This Row],[customer_id]],customer[customer_id],customer[customer_name])</f>
        <v>Neha Kapoor</v>
      </c>
      <c r="E291">
        <v>204</v>
      </c>
      <c r="F291">
        <v>3</v>
      </c>
      <c r="G291">
        <v>11168</v>
      </c>
      <c r="H291">
        <v>181</v>
      </c>
      <c r="I291" t="s">
        <v>13</v>
      </c>
      <c r="J291" t="s">
        <v>14</v>
      </c>
      <c r="K291" t="str">
        <f>_xlfn.XLOOKUP(order[[#This Row],[customer_id]],customer[customer_id],customer[city])</f>
        <v>Bangalore</v>
      </c>
      <c r="L291" t="str">
        <f>_xlfn.XLOOKUP(order[[#This Row],[customer_id]],customer[customer_id],customer[state])</f>
        <v>Karnataka</v>
      </c>
      <c r="M291" t="str">
        <f>_xlfn.XLOOKUP(order[[#This Row],[product_id]],products!$A$2:$A$11,products!$B$2:$B$11)</f>
        <v>Levi's Slim Fit Jeans</v>
      </c>
      <c r="N291" s="3" t="str">
        <f>_xlfn.XLOOKUP(order[[#This Row],[product_id]],products!$A$2:$A$11,products!$C$2:$C$11)</f>
        <v>Fashion</v>
      </c>
      <c r="O291" s="3">
        <f>_xlfn.XLOOKUP(order[[#This Row],[product_id]],Table4[product_id],Table4[cost_price])</f>
        <v>1800</v>
      </c>
      <c r="P291" s="11">
        <f>_xlfn.XLOOKUP(order[[#This Row],[order_id]],shipment[order_id],shipment[ship_date])</f>
        <v>45382</v>
      </c>
      <c r="Q291" s="11">
        <f>_xlfn.XLOOKUP(order[[#This Row],[order_id]],shipment[order_id],shipment[delivery_date])</f>
        <v>45386</v>
      </c>
      <c r="R291" s="3" t="str">
        <f>_xlfn.XLOOKUP(order[[#This Row],[order_id]],shipment[shipment_id],shipment[courier])</f>
        <v>Ekart</v>
      </c>
      <c r="S291" s="3">
        <f>order[[#This Row],[selling_price]]-order[[#This Row],[cost_price]]*order[[#This Row],[quantity]]-order[[#This Row],[discount]]</f>
        <v>5587</v>
      </c>
      <c r="T291" s="3">
        <f>order[[#This Row],[quantity]]*order[[#This Row],[selling_price]]</f>
        <v>33504</v>
      </c>
    </row>
    <row r="292" spans="1:20" x14ac:dyDescent="0.3">
      <c r="A292">
        <v>291</v>
      </c>
      <c r="B292" s="11">
        <v>45643</v>
      </c>
      <c r="C292">
        <v>106</v>
      </c>
      <c r="D292" t="str">
        <f>_xlfn.XLOOKUP(order[[#This Row],[customer_id]],customer[customer_id],customer[customer_name])</f>
        <v>Pooja Nair</v>
      </c>
      <c r="E292">
        <v>209</v>
      </c>
      <c r="F292">
        <v>2</v>
      </c>
      <c r="G292">
        <v>50720</v>
      </c>
      <c r="H292">
        <v>3727</v>
      </c>
      <c r="I292" t="s">
        <v>9</v>
      </c>
      <c r="J292" t="s">
        <v>14</v>
      </c>
      <c r="K292" t="str">
        <f>_xlfn.XLOOKUP(order[[#This Row],[customer_id]],customer[customer_id],customer[city])</f>
        <v>Pune</v>
      </c>
      <c r="L292" t="str">
        <f>_xlfn.XLOOKUP(order[[#This Row],[customer_id]],customer[customer_id],customer[state])</f>
        <v>Maharashtra</v>
      </c>
      <c r="M292" t="str">
        <f>_xlfn.XLOOKUP(order[[#This Row],[product_id]],products!$A$2:$A$11,products!$B$2:$B$11)</f>
        <v>Milton Thermosteel Bottle</v>
      </c>
      <c r="N292" s="3" t="str">
        <f>_xlfn.XLOOKUP(order[[#This Row],[product_id]],products!$A$2:$A$11,products!$C$2:$C$11)</f>
        <v>Home &amp; Kitchen</v>
      </c>
      <c r="O292" s="3">
        <f>_xlfn.XLOOKUP(order[[#This Row],[product_id]],Table4[product_id],Table4[cost_price])</f>
        <v>800</v>
      </c>
      <c r="P292" s="11">
        <f>_xlfn.XLOOKUP(order[[#This Row],[order_id]],shipment[order_id],shipment[ship_date])</f>
        <v>45657</v>
      </c>
      <c r="Q292" s="11">
        <f>_xlfn.XLOOKUP(order[[#This Row],[order_id]],shipment[order_id],shipment[delivery_date])</f>
        <v>45666</v>
      </c>
      <c r="R292" s="3" t="str">
        <f>_xlfn.XLOOKUP(order[[#This Row],[order_id]],shipment[shipment_id],shipment[courier])</f>
        <v>DTDC</v>
      </c>
      <c r="S292" s="3">
        <f>order[[#This Row],[selling_price]]-order[[#This Row],[cost_price]]*order[[#This Row],[quantity]]-order[[#This Row],[discount]]</f>
        <v>45393</v>
      </c>
      <c r="T292" s="3">
        <f>order[[#This Row],[quantity]]*order[[#This Row],[selling_price]]</f>
        <v>101440</v>
      </c>
    </row>
    <row r="293" spans="1:20" x14ac:dyDescent="0.3">
      <c r="A293">
        <v>292</v>
      </c>
      <c r="B293" s="11">
        <v>45565</v>
      </c>
      <c r="C293">
        <v>117</v>
      </c>
      <c r="D293" t="str">
        <f>_xlfn.XLOOKUP(order[[#This Row],[customer_id]],customer[customer_id],customer[customer_name])</f>
        <v>Rohit Verma</v>
      </c>
      <c r="E293">
        <v>209</v>
      </c>
      <c r="F293">
        <v>2</v>
      </c>
      <c r="G293">
        <v>67774</v>
      </c>
      <c r="H293">
        <v>2162</v>
      </c>
      <c r="I293" t="s">
        <v>9</v>
      </c>
      <c r="J293" t="s">
        <v>14</v>
      </c>
      <c r="K293" t="str">
        <f>_xlfn.XLOOKUP(order[[#This Row],[customer_id]],customer[customer_id],customer[city])</f>
        <v>Bangalore</v>
      </c>
      <c r="L293" t="str">
        <f>_xlfn.XLOOKUP(order[[#This Row],[customer_id]],customer[customer_id],customer[state])</f>
        <v>Karnataka</v>
      </c>
      <c r="M293" t="str">
        <f>_xlfn.XLOOKUP(order[[#This Row],[product_id]],products!$A$2:$A$11,products!$B$2:$B$11)</f>
        <v>Milton Thermosteel Bottle</v>
      </c>
      <c r="N293" s="3" t="str">
        <f>_xlfn.XLOOKUP(order[[#This Row],[product_id]],products!$A$2:$A$11,products!$C$2:$C$11)</f>
        <v>Home &amp; Kitchen</v>
      </c>
      <c r="O293" s="3">
        <f>_xlfn.XLOOKUP(order[[#This Row],[product_id]],Table4[product_id],Table4[cost_price])</f>
        <v>800</v>
      </c>
      <c r="P293" s="11">
        <f>_xlfn.XLOOKUP(order[[#This Row],[order_id]],shipment[order_id],shipment[ship_date])</f>
        <v>45504</v>
      </c>
      <c r="Q293" s="11">
        <f>_xlfn.XLOOKUP(order[[#This Row],[order_id]],shipment[order_id],shipment[delivery_date])</f>
        <v>45514</v>
      </c>
      <c r="R293" s="3" t="str">
        <f>_xlfn.XLOOKUP(order[[#This Row],[order_id]],shipment[shipment_id],shipment[courier])</f>
        <v>DTDC</v>
      </c>
      <c r="S293" s="3">
        <f>order[[#This Row],[selling_price]]-order[[#This Row],[cost_price]]*order[[#This Row],[quantity]]-order[[#This Row],[discount]]</f>
        <v>64012</v>
      </c>
      <c r="T293" s="3">
        <f>order[[#This Row],[quantity]]*order[[#This Row],[selling_price]]</f>
        <v>135548</v>
      </c>
    </row>
    <row r="294" spans="1:20" x14ac:dyDescent="0.3">
      <c r="A294">
        <v>293</v>
      </c>
      <c r="B294" s="11">
        <v>45298</v>
      </c>
      <c r="C294">
        <v>184</v>
      </c>
      <c r="D294" t="str">
        <f>_xlfn.XLOOKUP(order[[#This Row],[customer_id]],customer[customer_id],customer[customer_name])</f>
        <v>Arjun Nair</v>
      </c>
      <c r="E294">
        <v>205</v>
      </c>
      <c r="F294">
        <v>1</v>
      </c>
      <c r="G294">
        <v>58412</v>
      </c>
      <c r="H294">
        <v>3652</v>
      </c>
      <c r="I294" t="s">
        <v>13</v>
      </c>
      <c r="J294" t="s">
        <v>14</v>
      </c>
      <c r="K294" t="str">
        <f>_xlfn.XLOOKUP(order[[#This Row],[customer_id]],customer[customer_id],customer[city])</f>
        <v>Delhi</v>
      </c>
      <c r="L294" t="str">
        <f>_xlfn.XLOOKUP(order[[#This Row],[customer_id]],customer[customer_id],customer[state])</f>
        <v>Delhi</v>
      </c>
      <c r="M294" t="str">
        <f>_xlfn.XLOOKUP(order[[#This Row],[product_id]],products!$A$2:$A$11,products!$B$2:$B$11)</f>
        <v>Prestige Pressure Cooker 5L</v>
      </c>
      <c r="N294" s="3" t="str">
        <f>_xlfn.XLOOKUP(order[[#This Row],[product_id]],products!$A$2:$A$11,products!$C$2:$C$11)</f>
        <v>Home &amp; Kitchen</v>
      </c>
      <c r="O294" s="3">
        <f>_xlfn.XLOOKUP(order[[#This Row],[product_id]],Table4[product_id],Table4[cost_price])</f>
        <v>1200</v>
      </c>
      <c r="P294" s="11">
        <f>_xlfn.XLOOKUP(order[[#This Row],[order_id]],shipment[order_id],shipment[ship_date])</f>
        <v>45379</v>
      </c>
      <c r="Q294" s="11">
        <f>_xlfn.XLOOKUP(order[[#This Row],[order_id]],shipment[order_id],shipment[delivery_date])</f>
        <v>45382</v>
      </c>
      <c r="R294" s="3" t="str">
        <f>_xlfn.XLOOKUP(order[[#This Row],[order_id]],shipment[shipment_id],shipment[courier])</f>
        <v>DTDC</v>
      </c>
      <c r="S294" s="3">
        <f>order[[#This Row],[selling_price]]-order[[#This Row],[cost_price]]*order[[#This Row],[quantity]]-order[[#This Row],[discount]]</f>
        <v>53560</v>
      </c>
      <c r="T294" s="3">
        <f>order[[#This Row],[quantity]]*order[[#This Row],[selling_price]]</f>
        <v>58412</v>
      </c>
    </row>
    <row r="295" spans="1:20" x14ac:dyDescent="0.3">
      <c r="A295">
        <v>268</v>
      </c>
      <c r="B295" s="11">
        <v>45496</v>
      </c>
      <c r="C295">
        <v>170</v>
      </c>
      <c r="D295" t="str">
        <f>_xlfn.XLOOKUP(order[[#This Row],[customer_id]],customer[customer_id],customer[customer_name])</f>
        <v>Siddharth Jain</v>
      </c>
      <c r="E295">
        <v>202</v>
      </c>
      <c r="F295">
        <v>3</v>
      </c>
      <c r="G295">
        <v>6214</v>
      </c>
      <c r="H295">
        <v>4478</v>
      </c>
      <c r="I295" t="s">
        <v>11</v>
      </c>
      <c r="J295" t="s">
        <v>14</v>
      </c>
      <c r="K295" t="str">
        <f>_xlfn.XLOOKUP(order[[#This Row],[customer_id]],customer[customer_id],customer[city])</f>
        <v>Pune</v>
      </c>
      <c r="L295" t="str">
        <f>_xlfn.XLOOKUP(order[[#This Row],[customer_id]],customer[customer_id],customer[state])</f>
        <v>Maharashtra</v>
      </c>
      <c r="M295" t="str">
        <f>_xlfn.XLOOKUP(order[[#This Row],[product_id]],products!$A$2:$A$11,products!$B$2:$B$11)</f>
        <v>Samsung Galaxy S21</v>
      </c>
      <c r="N295" s="3" t="str">
        <f>_xlfn.XLOOKUP(order[[#This Row],[product_id]],products!$A$2:$A$11,products!$C$2:$C$11)</f>
        <v>Electronics</v>
      </c>
      <c r="O295" s="3">
        <f>_xlfn.XLOOKUP(order[[#This Row],[product_id]],Table4[product_id],Table4[cost_price])</f>
        <v>45000</v>
      </c>
      <c r="P295" s="11">
        <f>_xlfn.XLOOKUP(order[[#This Row],[order_id]],shipment[order_id],shipment[ship_date])</f>
        <v>45311</v>
      </c>
      <c r="Q295" s="11">
        <f>_xlfn.XLOOKUP(order[[#This Row],[order_id]],shipment[order_id],shipment[delivery_date])</f>
        <v>45312</v>
      </c>
      <c r="R295" s="3" t="str">
        <f>_xlfn.XLOOKUP(order[[#This Row],[order_id]],shipment[shipment_id],shipment[courier])</f>
        <v>DTDC</v>
      </c>
      <c r="S295" s="3">
        <f>order[[#This Row],[selling_price]]-order[[#This Row],[cost_price]]*order[[#This Row],[quantity]]-order[[#This Row],[discount]]</f>
        <v>-133264</v>
      </c>
      <c r="T295" s="3">
        <f>order[[#This Row],[quantity]]*order[[#This Row],[selling_price]]</f>
        <v>18642</v>
      </c>
    </row>
    <row r="296" spans="1:20" x14ac:dyDescent="0.3">
      <c r="A296">
        <v>8</v>
      </c>
      <c r="B296" s="11">
        <v>45455</v>
      </c>
      <c r="C296">
        <v>200</v>
      </c>
      <c r="D296" t="str">
        <f>_xlfn.XLOOKUP(order[[#This Row],[customer_id]],customer[customer_id],customer[customer_name])</f>
        <v>Sneha Iyer</v>
      </c>
      <c r="E296">
        <v>202</v>
      </c>
      <c r="F296">
        <v>2</v>
      </c>
      <c r="G296">
        <v>45146</v>
      </c>
      <c r="H296">
        <v>4476</v>
      </c>
      <c r="I296" t="s">
        <v>15</v>
      </c>
      <c r="J296" t="s">
        <v>12</v>
      </c>
      <c r="K296" t="str">
        <f>_xlfn.XLOOKUP(order[[#This Row],[customer_id]],customer[customer_id],customer[city])</f>
        <v>Hyderabad</v>
      </c>
      <c r="L296" t="str">
        <f>_xlfn.XLOOKUP(order[[#This Row],[customer_id]],customer[customer_id],customer[state])</f>
        <v>Telangana</v>
      </c>
      <c r="M296" t="str">
        <f>_xlfn.XLOOKUP(order[[#This Row],[product_id]],products!$A$2:$A$11,products!$B$2:$B$11)</f>
        <v>Samsung Galaxy S21</v>
      </c>
      <c r="N296" s="3" t="str">
        <f>_xlfn.XLOOKUP(order[[#This Row],[product_id]],products!$A$2:$A$11,products!$C$2:$C$11)</f>
        <v>Electronics</v>
      </c>
      <c r="O296" s="3">
        <f>_xlfn.XLOOKUP(order[[#This Row],[product_id]],Table4[product_id],Table4[cost_price])</f>
        <v>45000</v>
      </c>
      <c r="P296" s="11">
        <f>_xlfn.XLOOKUP(order[[#This Row],[order_id]],shipment[order_id],shipment[ship_date])</f>
        <v>45489</v>
      </c>
      <c r="Q296" s="11">
        <f>_xlfn.XLOOKUP(order[[#This Row],[order_id]],shipment[order_id],shipment[delivery_date])</f>
        <v>45493</v>
      </c>
      <c r="R296" s="3" t="str">
        <f>_xlfn.XLOOKUP(order[[#This Row],[order_id]],shipment[shipment_id],shipment[courier])</f>
        <v>BlueDart</v>
      </c>
      <c r="S296" s="3">
        <f>order[[#This Row],[selling_price]]-order[[#This Row],[cost_price]]*order[[#This Row],[quantity]]-order[[#This Row],[discount]]</f>
        <v>-49330</v>
      </c>
      <c r="T296" s="3">
        <f>order[[#This Row],[quantity]]*order[[#This Row],[selling_price]]</f>
        <v>90292</v>
      </c>
    </row>
    <row r="297" spans="1:20" x14ac:dyDescent="0.3">
      <c r="A297">
        <v>296</v>
      </c>
      <c r="B297" s="11">
        <v>45565</v>
      </c>
      <c r="C297">
        <v>107</v>
      </c>
      <c r="D297" t="str">
        <f>_xlfn.XLOOKUP(order[[#This Row],[customer_id]],customer[customer_id],customer[customer_name])</f>
        <v>Pooja Nair</v>
      </c>
      <c r="E297">
        <v>204</v>
      </c>
      <c r="F297">
        <v>3</v>
      </c>
      <c r="G297">
        <v>13562</v>
      </c>
      <c r="H297">
        <v>4938</v>
      </c>
      <c r="I297" t="s">
        <v>15</v>
      </c>
      <c r="J297" t="s">
        <v>14</v>
      </c>
      <c r="K297" t="str">
        <f>_xlfn.XLOOKUP(order[[#This Row],[customer_id]],customer[customer_id],customer[city])</f>
        <v>Pune</v>
      </c>
      <c r="L297" t="str">
        <f>_xlfn.XLOOKUP(order[[#This Row],[customer_id]],customer[customer_id],customer[state])</f>
        <v>Maharashtra</v>
      </c>
      <c r="M297" t="str">
        <f>_xlfn.XLOOKUP(order[[#This Row],[product_id]],products!$A$2:$A$11,products!$B$2:$B$11)</f>
        <v>Levi's Slim Fit Jeans</v>
      </c>
      <c r="N297" s="3" t="str">
        <f>_xlfn.XLOOKUP(order[[#This Row],[product_id]],products!$A$2:$A$11,products!$C$2:$C$11)</f>
        <v>Fashion</v>
      </c>
      <c r="O297" s="3">
        <f>_xlfn.XLOOKUP(order[[#This Row],[product_id]],Table4[product_id],Table4[cost_price])</f>
        <v>1800</v>
      </c>
      <c r="P297" s="11">
        <f>_xlfn.XLOOKUP(order[[#This Row],[order_id]],shipment[order_id],shipment[ship_date])</f>
        <v>45563</v>
      </c>
      <c r="Q297" s="11">
        <f>_xlfn.XLOOKUP(order[[#This Row],[order_id]],shipment[order_id],shipment[delivery_date])</f>
        <v>45565</v>
      </c>
      <c r="R297" s="3" t="str">
        <f>_xlfn.XLOOKUP(order[[#This Row],[order_id]],shipment[shipment_id],shipment[courier])</f>
        <v>Ekart</v>
      </c>
      <c r="S297" s="3">
        <f>order[[#This Row],[selling_price]]-order[[#This Row],[cost_price]]*order[[#This Row],[quantity]]-order[[#This Row],[discount]]</f>
        <v>3224</v>
      </c>
      <c r="T297" s="3">
        <f>order[[#This Row],[quantity]]*order[[#This Row],[selling_price]]</f>
        <v>40686</v>
      </c>
    </row>
    <row r="298" spans="1:20" x14ac:dyDescent="0.3">
      <c r="A298">
        <v>297</v>
      </c>
      <c r="B298" s="11">
        <v>45390</v>
      </c>
      <c r="C298">
        <v>190</v>
      </c>
      <c r="D298" t="str">
        <f>_xlfn.XLOOKUP(order[[#This Row],[customer_id]],customer[customer_id],customer[customer_name])</f>
        <v>Ishita Bose</v>
      </c>
      <c r="E298">
        <v>206</v>
      </c>
      <c r="F298">
        <v>2</v>
      </c>
      <c r="G298">
        <v>33344</v>
      </c>
      <c r="H298">
        <v>3011</v>
      </c>
      <c r="I298" t="s">
        <v>9</v>
      </c>
      <c r="J298" t="s">
        <v>12</v>
      </c>
      <c r="K298" t="str">
        <f>_xlfn.XLOOKUP(order[[#This Row],[customer_id]],customer[customer_id],customer[city])</f>
        <v>Hyderabad</v>
      </c>
      <c r="L298" t="str">
        <f>_xlfn.XLOOKUP(order[[#This Row],[customer_id]],customer[customer_id],customer[state])</f>
        <v>Telangana</v>
      </c>
      <c r="M298" t="str">
        <f>_xlfn.XLOOKUP(order[[#This Row],[product_id]],products!$A$2:$A$11,products!$B$2:$B$11)</f>
        <v>Philips Air Fryer</v>
      </c>
      <c r="N298" s="3" t="str">
        <f>_xlfn.XLOOKUP(order[[#This Row],[product_id]],products!$A$2:$A$11,products!$C$2:$C$11)</f>
        <v>Home &amp; Kitchen</v>
      </c>
      <c r="O298" s="3">
        <f>_xlfn.XLOOKUP(order[[#This Row],[product_id]],Table4[product_id],Table4[cost_price])</f>
        <v>7000</v>
      </c>
      <c r="P298" s="11">
        <f>_xlfn.XLOOKUP(order[[#This Row],[order_id]],shipment[order_id],shipment[ship_date])</f>
        <v>45425</v>
      </c>
      <c r="Q298" s="11">
        <f>_xlfn.XLOOKUP(order[[#This Row],[order_id]],shipment[order_id],shipment[delivery_date])</f>
        <v>45427</v>
      </c>
      <c r="R298" s="3" t="str">
        <f>_xlfn.XLOOKUP(order[[#This Row],[order_id]],shipment[shipment_id],shipment[courier])</f>
        <v>BlueDart</v>
      </c>
      <c r="S298" s="3">
        <f>order[[#This Row],[selling_price]]-order[[#This Row],[cost_price]]*order[[#This Row],[quantity]]-order[[#This Row],[discount]]</f>
        <v>16333</v>
      </c>
      <c r="T298" s="3">
        <f>order[[#This Row],[quantity]]*order[[#This Row],[selling_price]]</f>
        <v>66688</v>
      </c>
    </row>
    <row r="299" spans="1:20" x14ac:dyDescent="0.3">
      <c r="A299">
        <v>127</v>
      </c>
      <c r="B299" s="11">
        <v>45537</v>
      </c>
      <c r="C299">
        <v>238</v>
      </c>
      <c r="D299" t="str">
        <f>_xlfn.XLOOKUP(order[[#This Row],[customer_id]],customer[customer_id],customer[customer_name])</f>
        <v>Karan Patel</v>
      </c>
      <c r="E299">
        <v>202</v>
      </c>
      <c r="F299">
        <v>1</v>
      </c>
      <c r="G299">
        <v>21507</v>
      </c>
      <c r="H299">
        <v>4340</v>
      </c>
      <c r="I299" t="s">
        <v>15</v>
      </c>
      <c r="J299" t="s">
        <v>12</v>
      </c>
      <c r="K299" t="str">
        <f>_xlfn.XLOOKUP(order[[#This Row],[customer_id]],customer[customer_id],customer[city])</f>
        <v>Chennai</v>
      </c>
      <c r="L299" t="str">
        <f>_xlfn.XLOOKUP(order[[#This Row],[customer_id]],customer[customer_id],customer[state])</f>
        <v>Tamil Nadu</v>
      </c>
      <c r="M299" t="str">
        <f>_xlfn.XLOOKUP(order[[#This Row],[product_id]],products!$A$2:$A$11,products!$B$2:$B$11)</f>
        <v>Samsung Galaxy S21</v>
      </c>
      <c r="N299" s="3" t="str">
        <f>_xlfn.XLOOKUP(order[[#This Row],[product_id]],products!$A$2:$A$11,products!$C$2:$C$11)</f>
        <v>Electronics</v>
      </c>
      <c r="O299" s="3">
        <f>_xlfn.XLOOKUP(order[[#This Row],[product_id]],Table4[product_id],Table4[cost_price])</f>
        <v>45000</v>
      </c>
      <c r="P299" s="11">
        <f>_xlfn.XLOOKUP(order[[#This Row],[order_id]],shipment[order_id],shipment[ship_date])</f>
        <v>45302</v>
      </c>
      <c r="Q299" s="11">
        <f>_xlfn.XLOOKUP(order[[#This Row],[order_id]],shipment[order_id],shipment[delivery_date])</f>
        <v>45311</v>
      </c>
      <c r="R299" s="3" t="str">
        <f>_xlfn.XLOOKUP(order[[#This Row],[order_id]],shipment[shipment_id],shipment[courier])</f>
        <v>DTDC</v>
      </c>
      <c r="S299" s="3">
        <f>order[[#This Row],[selling_price]]-order[[#This Row],[cost_price]]*order[[#This Row],[quantity]]-order[[#This Row],[discount]]</f>
        <v>-27833</v>
      </c>
      <c r="T299" s="3">
        <f>order[[#This Row],[quantity]]*order[[#This Row],[selling_price]]</f>
        <v>21507</v>
      </c>
    </row>
    <row r="300" spans="1:20" x14ac:dyDescent="0.3">
      <c r="A300">
        <v>299</v>
      </c>
      <c r="B300" s="11">
        <v>45415</v>
      </c>
      <c r="C300">
        <v>203</v>
      </c>
      <c r="D300" t="str">
        <f>_xlfn.XLOOKUP(order[[#This Row],[customer_id]],customer[customer_id],customer[customer_name])</f>
        <v>Vikram Singh</v>
      </c>
      <c r="E300">
        <v>205</v>
      </c>
      <c r="F300">
        <v>4</v>
      </c>
      <c r="G300">
        <v>38505</v>
      </c>
      <c r="H300">
        <v>563</v>
      </c>
      <c r="I300" t="s">
        <v>13</v>
      </c>
      <c r="J300" t="s">
        <v>14</v>
      </c>
      <c r="K300" t="str">
        <f>_xlfn.XLOOKUP(order[[#This Row],[customer_id]],customer[customer_id],customer[city])</f>
        <v>Delhi</v>
      </c>
      <c r="L300" t="str">
        <f>_xlfn.XLOOKUP(order[[#This Row],[customer_id]],customer[customer_id],customer[state])</f>
        <v>Delhi</v>
      </c>
      <c r="M300" t="str">
        <f>_xlfn.XLOOKUP(order[[#This Row],[product_id]],products!$A$2:$A$11,products!$B$2:$B$11)</f>
        <v>Prestige Pressure Cooker 5L</v>
      </c>
      <c r="N300" s="3" t="str">
        <f>_xlfn.XLOOKUP(order[[#This Row],[product_id]],products!$A$2:$A$11,products!$C$2:$C$11)</f>
        <v>Home &amp; Kitchen</v>
      </c>
      <c r="O300" s="3">
        <f>_xlfn.XLOOKUP(order[[#This Row],[product_id]],Table4[product_id],Table4[cost_price])</f>
        <v>1200</v>
      </c>
      <c r="P300" s="11">
        <f>_xlfn.XLOOKUP(order[[#This Row],[order_id]],shipment[order_id],shipment[ship_date])</f>
        <v>45352</v>
      </c>
      <c r="Q300" s="11">
        <f>_xlfn.XLOOKUP(order[[#This Row],[order_id]],shipment[order_id],shipment[delivery_date])</f>
        <v>45361</v>
      </c>
      <c r="R300" s="3" t="str">
        <f>_xlfn.XLOOKUP(order[[#This Row],[order_id]],shipment[shipment_id],shipment[courier])</f>
        <v>DTDC</v>
      </c>
      <c r="S300" s="3">
        <f>order[[#This Row],[selling_price]]-order[[#This Row],[cost_price]]*order[[#This Row],[quantity]]-order[[#This Row],[discount]]</f>
        <v>33142</v>
      </c>
      <c r="T300" s="3">
        <f>order[[#This Row],[quantity]]*order[[#This Row],[selling_price]]</f>
        <v>154020</v>
      </c>
    </row>
    <row r="301" spans="1:20" x14ac:dyDescent="0.3">
      <c r="A301">
        <v>300</v>
      </c>
      <c r="B301" s="11">
        <v>45469</v>
      </c>
      <c r="C301">
        <v>245</v>
      </c>
      <c r="D301" t="str">
        <f>_xlfn.XLOOKUP(order[[#This Row],[customer_id]],customer[customer_id],customer[customer_name])</f>
        <v>Rahul Mehta</v>
      </c>
      <c r="E301">
        <v>209</v>
      </c>
      <c r="F301">
        <v>3</v>
      </c>
      <c r="G301">
        <v>58811</v>
      </c>
      <c r="H301">
        <v>2617</v>
      </c>
      <c r="I301" t="s">
        <v>13</v>
      </c>
      <c r="J301" t="s">
        <v>12</v>
      </c>
      <c r="K301" t="str">
        <f>_xlfn.XLOOKUP(order[[#This Row],[customer_id]],customer[customer_id],customer[city])</f>
        <v>Chennai</v>
      </c>
      <c r="L301" t="str">
        <f>_xlfn.XLOOKUP(order[[#This Row],[customer_id]],customer[customer_id],customer[state])</f>
        <v>Tamil Nadu</v>
      </c>
      <c r="M301" t="str">
        <f>_xlfn.XLOOKUP(order[[#This Row],[product_id]],products!$A$2:$A$11,products!$B$2:$B$11)</f>
        <v>Milton Thermosteel Bottle</v>
      </c>
      <c r="N301" s="3" t="str">
        <f>_xlfn.XLOOKUP(order[[#This Row],[product_id]],products!$A$2:$A$11,products!$C$2:$C$11)</f>
        <v>Home &amp; Kitchen</v>
      </c>
      <c r="O301" s="3">
        <f>_xlfn.XLOOKUP(order[[#This Row],[product_id]],Table4[product_id],Table4[cost_price])</f>
        <v>800</v>
      </c>
      <c r="P301" s="11">
        <f>_xlfn.XLOOKUP(order[[#This Row],[order_id]],shipment[order_id],shipment[ship_date])</f>
        <v>45387</v>
      </c>
      <c r="Q301" s="11">
        <f>_xlfn.XLOOKUP(order[[#This Row],[order_id]],shipment[order_id],shipment[delivery_date])</f>
        <v>45397</v>
      </c>
      <c r="R301" s="3" t="str">
        <f>_xlfn.XLOOKUP(order[[#This Row],[order_id]],shipment[shipment_id],shipment[courier])</f>
        <v>Ekart</v>
      </c>
      <c r="S301" s="3">
        <f>order[[#This Row],[selling_price]]-order[[#This Row],[cost_price]]*order[[#This Row],[quantity]]-order[[#This Row],[discount]]</f>
        <v>53794</v>
      </c>
      <c r="T301" s="3">
        <f>order[[#This Row],[quantity]]*order[[#This Row],[selling_price]]</f>
        <v>176433</v>
      </c>
    </row>
    <row r="302" spans="1:20" x14ac:dyDescent="0.3">
      <c r="A302">
        <v>782</v>
      </c>
      <c r="B302" s="11">
        <v>45455</v>
      </c>
      <c r="C302">
        <v>263</v>
      </c>
      <c r="D302" t="str">
        <f>_xlfn.XLOOKUP(order[[#This Row],[customer_id]],customer[customer_id],customer[customer_name])</f>
        <v>Rohit Verma</v>
      </c>
      <c r="E302">
        <v>202</v>
      </c>
      <c r="F302">
        <v>1</v>
      </c>
      <c r="G302">
        <v>32987</v>
      </c>
      <c r="H302">
        <v>4308</v>
      </c>
      <c r="I302" t="s">
        <v>9</v>
      </c>
      <c r="J302" t="s">
        <v>10</v>
      </c>
      <c r="K302" t="str">
        <f>_xlfn.XLOOKUP(order[[#This Row],[customer_id]],customer[customer_id],customer[city])</f>
        <v>Chennai</v>
      </c>
      <c r="L302" t="str">
        <f>_xlfn.XLOOKUP(order[[#This Row],[customer_id]],customer[customer_id],customer[state])</f>
        <v>Tamil Nadu</v>
      </c>
      <c r="M302" t="str">
        <f>_xlfn.XLOOKUP(order[[#This Row],[product_id]],products!$A$2:$A$11,products!$B$2:$B$11)</f>
        <v>Samsung Galaxy S21</v>
      </c>
      <c r="N302" s="3" t="str">
        <f>_xlfn.XLOOKUP(order[[#This Row],[product_id]],products!$A$2:$A$11,products!$C$2:$C$11)</f>
        <v>Electronics</v>
      </c>
      <c r="O302" s="3">
        <f>_xlfn.XLOOKUP(order[[#This Row],[product_id]],Table4[product_id],Table4[cost_price])</f>
        <v>45000</v>
      </c>
      <c r="P302" s="11">
        <f>_xlfn.XLOOKUP(order[[#This Row],[order_id]],shipment[order_id],shipment[ship_date])</f>
        <v>45323</v>
      </c>
      <c r="Q302" s="11">
        <f>_xlfn.XLOOKUP(order[[#This Row],[order_id]],shipment[order_id],shipment[delivery_date])</f>
        <v>45327</v>
      </c>
      <c r="R302" s="3" t="str">
        <f>_xlfn.XLOOKUP(order[[#This Row],[order_id]],shipment[shipment_id],shipment[courier])</f>
        <v>Delhivery</v>
      </c>
      <c r="S302" s="3">
        <f>order[[#This Row],[selling_price]]-order[[#This Row],[cost_price]]*order[[#This Row],[quantity]]-order[[#This Row],[discount]]</f>
        <v>-16321</v>
      </c>
      <c r="T302" s="3">
        <f>order[[#This Row],[quantity]]*order[[#This Row],[selling_price]]</f>
        <v>32987</v>
      </c>
    </row>
    <row r="303" spans="1:20" x14ac:dyDescent="0.3">
      <c r="A303">
        <v>302</v>
      </c>
      <c r="B303" s="11">
        <v>45352</v>
      </c>
      <c r="C303">
        <v>175</v>
      </c>
      <c r="D303" t="str">
        <f>_xlfn.XLOOKUP(order[[#This Row],[customer_id]],customer[customer_id],customer[customer_name])</f>
        <v>Aarav Sharma</v>
      </c>
      <c r="E303">
        <v>209</v>
      </c>
      <c r="F303">
        <v>3</v>
      </c>
      <c r="G303">
        <v>44358</v>
      </c>
      <c r="H303">
        <v>1650</v>
      </c>
      <c r="I303" t="s">
        <v>13</v>
      </c>
      <c r="J303" t="s">
        <v>10</v>
      </c>
      <c r="K303" t="str">
        <f>_xlfn.XLOOKUP(order[[#This Row],[customer_id]],customer[customer_id],customer[city])</f>
        <v>Ahmedabad</v>
      </c>
      <c r="L303" t="str">
        <f>_xlfn.XLOOKUP(order[[#This Row],[customer_id]],customer[customer_id],customer[state])</f>
        <v>Gujarat</v>
      </c>
      <c r="M303" t="str">
        <f>_xlfn.XLOOKUP(order[[#This Row],[product_id]],products!$A$2:$A$11,products!$B$2:$B$11)</f>
        <v>Milton Thermosteel Bottle</v>
      </c>
      <c r="N303" s="3" t="str">
        <f>_xlfn.XLOOKUP(order[[#This Row],[product_id]],products!$A$2:$A$11,products!$C$2:$C$11)</f>
        <v>Home &amp; Kitchen</v>
      </c>
      <c r="O303" s="3">
        <f>_xlfn.XLOOKUP(order[[#This Row],[product_id]],Table4[product_id],Table4[cost_price])</f>
        <v>800</v>
      </c>
      <c r="P303" s="11">
        <f>_xlfn.XLOOKUP(order[[#This Row],[order_id]],shipment[order_id],shipment[ship_date])</f>
        <v>45316</v>
      </c>
      <c r="Q303" s="11">
        <f>_xlfn.XLOOKUP(order[[#This Row],[order_id]],shipment[order_id],shipment[delivery_date])</f>
        <v>45325</v>
      </c>
      <c r="R303" s="3" t="str">
        <f>_xlfn.XLOOKUP(order[[#This Row],[order_id]],shipment[shipment_id],shipment[courier])</f>
        <v>Delhivery</v>
      </c>
      <c r="S303" s="3">
        <f>order[[#This Row],[selling_price]]-order[[#This Row],[cost_price]]*order[[#This Row],[quantity]]-order[[#This Row],[discount]]</f>
        <v>40308</v>
      </c>
      <c r="T303" s="3">
        <f>order[[#This Row],[quantity]]*order[[#This Row],[selling_price]]</f>
        <v>133074</v>
      </c>
    </row>
    <row r="304" spans="1:20" x14ac:dyDescent="0.3">
      <c r="A304">
        <v>303</v>
      </c>
      <c r="B304" s="11">
        <v>45493</v>
      </c>
      <c r="C304">
        <v>284</v>
      </c>
      <c r="D304" t="str">
        <f>_xlfn.XLOOKUP(order[[#This Row],[customer_id]],customer[customer_id],customer[customer_name])</f>
        <v>Siddharth Jain</v>
      </c>
      <c r="E304">
        <v>208</v>
      </c>
      <c r="F304">
        <v>3</v>
      </c>
      <c r="G304">
        <v>39391</v>
      </c>
      <c r="H304">
        <v>3060</v>
      </c>
      <c r="I304" t="s">
        <v>9</v>
      </c>
      <c r="J304" t="s">
        <v>14</v>
      </c>
      <c r="K304" t="str">
        <f>_xlfn.XLOOKUP(order[[#This Row],[customer_id]],customer[customer_id],customer[city])</f>
        <v>Delhi</v>
      </c>
      <c r="L304" t="str">
        <f>_xlfn.XLOOKUP(order[[#This Row],[customer_id]],customer[customer_id],customer[state])</f>
        <v>Delhi</v>
      </c>
      <c r="M304" t="str">
        <f>_xlfn.XLOOKUP(order[[#This Row],[product_id]],products!$A$2:$A$11,products!$B$2:$B$11)</f>
        <v>Adidas Ultraboost Shoes</v>
      </c>
      <c r="N304" s="3" t="str">
        <f>_xlfn.XLOOKUP(order[[#This Row],[product_id]],products!$A$2:$A$11,products!$C$2:$C$11)</f>
        <v>Fashion</v>
      </c>
      <c r="O304" s="3">
        <f>_xlfn.XLOOKUP(order[[#This Row],[product_id]],Table4[product_id],Table4[cost_price])</f>
        <v>9000</v>
      </c>
      <c r="P304" s="11">
        <f>_xlfn.XLOOKUP(order[[#This Row],[order_id]],shipment[order_id],shipment[ship_date])</f>
        <v>45638</v>
      </c>
      <c r="Q304" s="11">
        <f>_xlfn.XLOOKUP(order[[#This Row],[order_id]],shipment[order_id],shipment[delivery_date])</f>
        <v>45643</v>
      </c>
      <c r="R304" s="3" t="str">
        <f>_xlfn.XLOOKUP(order[[#This Row],[order_id]],shipment[shipment_id],shipment[courier])</f>
        <v>DTDC</v>
      </c>
      <c r="S304" s="3">
        <f>order[[#This Row],[selling_price]]-order[[#This Row],[cost_price]]*order[[#This Row],[quantity]]-order[[#This Row],[discount]]</f>
        <v>9331</v>
      </c>
      <c r="T304" s="3">
        <f>order[[#This Row],[quantity]]*order[[#This Row],[selling_price]]</f>
        <v>118173</v>
      </c>
    </row>
    <row r="305" spans="1:20" x14ac:dyDescent="0.3">
      <c r="A305">
        <v>670</v>
      </c>
      <c r="B305" s="11">
        <v>45587</v>
      </c>
      <c r="C305">
        <v>108</v>
      </c>
      <c r="D305" t="str">
        <f>_xlfn.XLOOKUP(order[[#This Row],[customer_id]],customer[customer_id],customer[customer_name])</f>
        <v>Arjun Nair</v>
      </c>
      <c r="E305">
        <v>202</v>
      </c>
      <c r="F305">
        <v>2</v>
      </c>
      <c r="G305">
        <v>29084</v>
      </c>
      <c r="H305">
        <v>4294</v>
      </c>
      <c r="I305" t="s">
        <v>9</v>
      </c>
      <c r="J305" t="s">
        <v>14</v>
      </c>
      <c r="K305" t="str">
        <f>_xlfn.XLOOKUP(order[[#This Row],[customer_id]],customer[customer_id],customer[city])</f>
        <v>Ahmedabad</v>
      </c>
      <c r="L305" t="str">
        <f>_xlfn.XLOOKUP(order[[#This Row],[customer_id]],customer[customer_id],customer[state])</f>
        <v>Gujarat</v>
      </c>
      <c r="M305" t="str">
        <f>_xlfn.XLOOKUP(order[[#This Row],[product_id]],products!$A$2:$A$11,products!$B$2:$B$11)</f>
        <v>Samsung Galaxy S21</v>
      </c>
      <c r="N305" s="3" t="str">
        <f>_xlfn.XLOOKUP(order[[#This Row],[product_id]],products!$A$2:$A$11,products!$C$2:$C$11)</f>
        <v>Electronics</v>
      </c>
      <c r="O305" s="3">
        <f>_xlfn.XLOOKUP(order[[#This Row],[product_id]],Table4[product_id],Table4[cost_price])</f>
        <v>45000</v>
      </c>
      <c r="P305" s="11">
        <f>_xlfn.XLOOKUP(order[[#This Row],[order_id]],shipment[order_id],shipment[ship_date])</f>
        <v>45514</v>
      </c>
      <c r="Q305" s="11">
        <f>_xlfn.XLOOKUP(order[[#This Row],[order_id]],shipment[order_id],shipment[delivery_date])</f>
        <v>45515</v>
      </c>
      <c r="R305" s="3" t="str">
        <f>_xlfn.XLOOKUP(order[[#This Row],[order_id]],shipment[shipment_id],shipment[courier])</f>
        <v>DTDC</v>
      </c>
      <c r="S305" s="3">
        <f>order[[#This Row],[selling_price]]-order[[#This Row],[cost_price]]*order[[#This Row],[quantity]]-order[[#This Row],[discount]]</f>
        <v>-65210</v>
      </c>
      <c r="T305" s="3">
        <f>order[[#This Row],[quantity]]*order[[#This Row],[selling_price]]</f>
        <v>58168</v>
      </c>
    </row>
    <row r="306" spans="1:20" x14ac:dyDescent="0.3">
      <c r="A306">
        <v>1051</v>
      </c>
      <c r="B306" s="11">
        <v>45552</v>
      </c>
      <c r="C306">
        <v>251</v>
      </c>
      <c r="D306" t="str">
        <f>_xlfn.XLOOKUP(order[[#This Row],[customer_id]],customer[customer_id],customer[customer_name])</f>
        <v>Manish Yadav</v>
      </c>
      <c r="E306">
        <v>202</v>
      </c>
      <c r="F306">
        <v>3</v>
      </c>
      <c r="G306">
        <v>24405</v>
      </c>
      <c r="H306">
        <v>4174</v>
      </c>
      <c r="I306" t="s">
        <v>15</v>
      </c>
      <c r="J306" t="s">
        <v>14</v>
      </c>
      <c r="K306" t="str">
        <f>_xlfn.XLOOKUP(order[[#This Row],[customer_id]],customer[customer_id],customer[city])</f>
        <v>Bangalore</v>
      </c>
      <c r="L306" t="str">
        <f>_xlfn.XLOOKUP(order[[#This Row],[customer_id]],customer[customer_id],customer[state])</f>
        <v>Karnataka</v>
      </c>
      <c r="M306" t="str">
        <f>_xlfn.XLOOKUP(order[[#This Row],[product_id]],products!$A$2:$A$11,products!$B$2:$B$11)</f>
        <v>Samsung Galaxy S21</v>
      </c>
      <c r="N306" s="3" t="str">
        <f>_xlfn.XLOOKUP(order[[#This Row],[product_id]],products!$A$2:$A$11,products!$C$2:$C$11)</f>
        <v>Electronics</v>
      </c>
      <c r="O306" s="3">
        <f>_xlfn.XLOOKUP(order[[#This Row],[product_id]],Table4[product_id],Table4[cost_price])</f>
        <v>45000</v>
      </c>
      <c r="P306" s="11">
        <f>_xlfn.XLOOKUP(order[[#This Row],[order_id]],shipment[order_id],shipment[ship_date])</f>
        <v>45651</v>
      </c>
      <c r="Q306" s="11">
        <f>_xlfn.XLOOKUP(order[[#This Row],[order_id]],shipment[order_id],shipment[delivery_date])</f>
        <v>45660</v>
      </c>
      <c r="R306" s="3" t="str">
        <f>_xlfn.XLOOKUP(order[[#This Row],[order_id]],shipment[shipment_id],shipment[courier])</f>
        <v>Delhivery</v>
      </c>
      <c r="S306" s="3">
        <f>order[[#This Row],[selling_price]]-order[[#This Row],[cost_price]]*order[[#This Row],[quantity]]-order[[#This Row],[discount]]</f>
        <v>-114769</v>
      </c>
      <c r="T306" s="3">
        <f>order[[#This Row],[quantity]]*order[[#This Row],[selling_price]]</f>
        <v>73215</v>
      </c>
    </row>
    <row r="307" spans="1:20" x14ac:dyDescent="0.3">
      <c r="A307">
        <v>306</v>
      </c>
      <c r="B307" s="11">
        <v>45426</v>
      </c>
      <c r="C307">
        <v>184</v>
      </c>
      <c r="D307" t="str">
        <f>_xlfn.XLOOKUP(order[[#This Row],[customer_id]],customer[customer_id],customer[customer_name])</f>
        <v>Arjun Nair</v>
      </c>
      <c r="E307">
        <v>203</v>
      </c>
      <c r="F307">
        <v>4</v>
      </c>
      <c r="G307">
        <v>69275</v>
      </c>
      <c r="H307">
        <v>3549</v>
      </c>
      <c r="I307" t="s">
        <v>9</v>
      </c>
      <c r="J307" t="s">
        <v>12</v>
      </c>
      <c r="K307" t="str">
        <f>_xlfn.XLOOKUP(order[[#This Row],[customer_id]],customer[customer_id],customer[city])</f>
        <v>Delhi</v>
      </c>
      <c r="L307" t="str">
        <f>_xlfn.XLOOKUP(order[[#This Row],[customer_id]],customer[customer_id],customer[state])</f>
        <v>Delhi</v>
      </c>
      <c r="M307" t="str">
        <f>_xlfn.XLOOKUP(order[[#This Row],[product_id]],products!$A$2:$A$11,products!$B$2:$B$11)</f>
        <v>Nike Air Max Shoes</v>
      </c>
      <c r="N307" s="3" t="str">
        <f>_xlfn.XLOOKUP(order[[#This Row],[product_id]],products!$A$2:$A$11,products!$C$2:$C$11)</f>
        <v>Fashion</v>
      </c>
      <c r="O307" s="3">
        <f>_xlfn.XLOOKUP(order[[#This Row],[product_id]],Table4[product_id],Table4[cost_price])</f>
        <v>4000</v>
      </c>
      <c r="P307" s="11">
        <f>_xlfn.XLOOKUP(order[[#This Row],[order_id]],shipment[order_id],shipment[ship_date])</f>
        <v>45407</v>
      </c>
      <c r="Q307" s="11">
        <f>_xlfn.XLOOKUP(order[[#This Row],[order_id]],shipment[order_id],shipment[delivery_date])</f>
        <v>45414</v>
      </c>
      <c r="R307" s="3" t="str">
        <f>_xlfn.XLOOKUP(order[[#This Row],[order_id]],shipment[shipment_id],shipment[courier])</f>
        <v>DTDC</v>
      </c>
      <c r="S307" s="3">
        <f>order[[#This Row],[selling_price]]-order[[#This Row],[cost_price]]*order[[#This Row],[quantity]]-order[[#This Row],[discount]]</f>
        <v>49726</v>
      </c>
      <c r="T307" s="3">
        <f>order[[#This Row],[quantity]]*order[[#This Row],[selling_price]]</f>
        <v>277100</v>
      </c>
    </row>
    <row r="308" spans="1:20" x14ac:dyDescent="0.3">
      <c r="A308">
        <v>992</v>
      </c>
      <c r="B308" s="11">
        <v>45524</v>
      </c>
      <c r="C308">
        <v>193</v>
      </c>
      <c r="D308" t="str">
        <f>_xlfn.XLOOKUP(order[[#This Row],[customer_id]],customer[customer_id],customer[customer_name])</f>
        <v>Vikram Singh</v>
      </c>
      <c r="E308">
        <v>202</v>
      </c>
      <c r="F308">
        <v>1</v>
      </c>
      <c r="G308">
        <v>8630</v>
      </c>
      <c r="H308">
        <v>4137</v>
      </c>
      <c r="I308" t="s">
        <v>15</v>
      </c>
      <c r="J308" t="s">
        <v>14</v>
      </c>
      <c r="K308" t="str">
        <f>_xlfn.XLOOKUP(order[[#This Row],[customer_id]],customer[customer_id],customer[city])</f>
        <v>Mumbai</v>
      </c>
      <c r="L308" t="str">
        <f>_xlfn.XLOOKUP(order[[#This Row],[customer_id]],customer[customer_id],customer[state])</f>
        <v>Maharashtra</v>
      </c>
      <c r="M308" t="str">
        <f>_xlfn.XLOOKUP(order[[#This Row],[product_id]],products!$A$2:$A$11,products!$B$2:$B$11)</f>
        <v>Samsung Galaxy S21</v>
      </c>
      <c r="N308" s="3" t="str">
        <f>_xlfn.XLOOKUP(order[[#This Row],[product_id]],products!$A$2:$A$11,products!$C$2:$C$11)</f>
        <v>Electronics</v>
      </c>
      <c r="O308" s="3">
        <f>_xlfn.XLOOKUP(order[[#This Row],[product_id]],Table4[product_id],Table4[cost_price])</f>
        <v>45000</v>
      </c>
      <c r="P308" s="11">
        <f>_xlfn.XLOOKUP(order[[#This Row],[order_id]],shipment[order_id],shipment[ship_date])</f>
        <v>45593</v>
      </c>
      <c r="Q308" s="11">
        <f>_xlfn.XLOOKUP(order[[#This Row],[order_id]],shipment[order_id],shipment[delivery_date])</f>
        <v>45603</v>
      </c>
      <c r="R308" s="3" t="str">
        <f>_xlfn.XLOOKUP(order[[#This Row],[order_id]],shipment[shipment_id],shipment[courier])</f>
        <v>BlueDart</v>
      </c>
      <c r="S308" s="3">
        <f>order[[#This Row],[selling_price]]-order[[#This Row],[cost_price]]*order[[#This Row],[quantity]]-order[[#This Row],[discount]]</f>
        <v>-40507</v>
      </c>
      <c r="T308" s="3">
        <f>order[[#This Row],[quantity]]*order[[#This Row],[selling_price]]</f>
        <v>8630</v>
      </c>
    </row>
    <row r="309" spans="1:20" x14ac:dyDescent="0.3">
      <c r="A309">
        <v>308</v>
      </c>
      <c r="B309" s="11">
        <v>45357</v>
      </c>
      <c r="C309">
        <v>103</v>
      </c>
      <c r="D309" t="str">
        <f>_xlfn.XLOOKUP(order[[#This Row],[customer_id]],customer[customer_id],customer[customer_name])</f>
        <v>Vikram Singh</v>
      </c>
      <c r="E309">
        <v>205</v>
      </c>
      <c r="F309">
        <v>1</v>
      </c>
      <c r="G309">
        <v>27989</v>
      </c>
      <c r="H309">
        <v>2663</v>
      </c>
      <c r="I309" t="s">
        <v>9</v>
      </c>
      <c r="J309" t="s">
        <v>12</v>
      </c>
      <c r="K309" t="str">
        <f>_xlfn.XLOOKUP(order[[#This Row],[customer_id]],customer[customer_id],customer[city])</f>
        <v>Delhi</v>
      </c>
      <c r="L309" t="str">
        <f>_xlfn.XLOOKUP(order[[#This Row],[customer_id]],customer[customer_id],customer[state])</f>
        <v>Delhi</v>
      </c>
      <c r="M309" t="str">
        <f>_xlfn.XLOOKUP(order[[#This Row],[product_id]],products!$A$2:$A$11,products!$B$2:$B$11)</f>
        <v>Prestige Pressure Cooker 5L</v>
      </c>
      <c r="N309" s="3" t="str">
        <f>_xlfn.XLOOKUP(order[[#This Row],[product_id]],products!$A$2:$A$11,products!$C$2:$C$11)</f>
        <v>Home &amp; Kitchen</v>
      </c>
      <c r="O309" s="3">
        <f>_xlfn.XLOOKUP(order[[#This Row],[product_id]],Table4[product_id],Table4[cost_price])</f>
        <v>1200</v>
      </c>
      <c r="P309" s="11">
        <f>_xlfn.XLOOKUP(order[[#This Row],[order_id]],shipment[order_id],shipment[ship_date])</f>
        <v>45629</v>
      </c>
      <c r="Q309" s="11">
        <f>_xlfn.XLOOKUP(order[[#This Row],[order_id]],shipment[order_id],shipment[delivery_date])</f>
        <v>45630</v>
      </c>
      <c r="R309" s="3" t="str">
        <f>_xlfn.XLOOKUP(order[[#This Row],[order_id]],shipment[shipment_id],shipment[courier])</f>
        <v>DTDC</v>
      </c>
      <c r="S309" s="3">
        <f>order[[#This Row],[selling_price]]-order[[#This Row],[cost_price]]*order[[#This Row],[quantity]]-order[[#This Row],[discount]]</f>
        <v>24126</v>
      </c>
      <c r="T309" s="3">
        <f>order[[#This Row],[quantity]]*order[[#This Row],[selling_price]]</f>
        <v>27989</v>
      </c>
    </row>
    <row r="310" spans="1:20" x14ac:dyDescent="0.3">
      <c r="A310">
        <v>309</v>
      </c>
      <c r="B310" s="11">
        <v>45450</v>
      </c>
      <c r="C310">
        <v>295</v>
      </c>
      <c r="D310" t="str">
        <f>_xlfn.XLOOKUP(order[[#This Row],[customer_id]],customer[customer_id],customer[customer_name])</f>
        <v>Aarav Sharma</v>
      </c>
      <c r="E310">
        <v>203</v>
      </c>
      <c r="F310">
        <v>4</v>
      </c>
      <c r="G310">
        <v>51905</v>
      </c>
      <c r="H310">
        <v>2611</v>
      </c>
      <c r="I310" t="s">
        <v>13</v>
      </c>
      <c r="J310" t="s">
        <v>14</v>
      </c>
      <c r="K310" t="str">
        <f>_xlfn.XLOOKUP(order[[#This Row],[customer_id]],customer[customer_id],customer[city])</f>
        <v>Chennai</v>
      </c>
      <c r="L310" t="str">
        <f>_xlfn.XLOOKUP(order[[#This Row],[customer_id]],customer[customer_id],customer[state])</f>
        <v>Tamil Nadu</v>
      </c>
      <c r="M310" t="str">
        <f>_xlfn.XLOOKUP(order[[#This Row],[product_id]],products!$A$2:$A$11,products!$B$2:$B$11)</f>
        <v>Nike Air Max Shoes</v>
      </c>
      <c r="N310" s="3" t="str">
        <f>_xlfn.XLOOKUP(order[[#This Row],[product_id]],products!$A$2:$A$11,products!$C$2:$C$11)</f>
        <v>Fashion</v>
      </c>
      <c r="O310" s="3">
        <f>_xlfn.XLOOKUP(order[[#This Row],[product_id]],Table4[product_id],Table4[cost_price])</f>
        <v>4000</v>
      </c>
      <c r="P310" s="11">
        <f>_xlfn.XLOOKUP(order[[#This Row],[order_id]],shipment[order_id],shipment[ship_date])</f>
        <v>45553</v>
      </c>
      <c r="Q310" s="11">
        <f>_xlfn.XLOOKUP(order[[#This Row],[order_id]],shipment[order_id],shipment[delivery_date])</f>
        <v>45554</v>
      </c>
      <c r="R310" s="3" t="str">
        <f>_xlfn.XLOOKUP(order[[#This Row],[order_id]],shipment[shipment_id],shipment[courier])</f>
        <v>DTDC</v>
      </c>
      <c r="S310" s="3">
        <f>order[[#This Row],[selling_price]]-order[[#This Row],[cost_price]]*order[[#This Row],[quantity]]-order[[#This Row],[discount]]</f>
        <v>33294</v>
      </c>
      <c r="T310" s="3">
        <f>order[[#This Row],[quantity]]*order[[#This Row],[selling_price]]</f>
        <v>207620</v>
      </c>
    </row>
    <row r="311" spans="1:20" x14ac:dyDescent="0.3">
      <c r="A311">
        <v>125</v>
      </c>
      <c r="B311" s="11">
        <v>45503</v>
      </c>
      <c r="C311">
        <v>269</v>
      </c>
      <c r="D311" t="str">
        <f>_xlfn.XLOOKUP(order[[#This Row],[customer_id]],customer[customer_id],customer[customer_name])</f>
        <v>Sneha Iyer</v>
      </c>
      <c r="E311">
        <v>202</v>
      </c>
      <c r="F311">
        <v>2</v>
      </c>
      <c r="G311">
        <v>44039</v>
      </c>
      <c r="H311">
        <v>3998</v>
      </c>
      <c r="I311" t="s">
        <v>15</v>
      </c>
      <c r="J311" t="s">
        <v>10</v>
      </c>
      <c r="K311" t="str">
        <f>_xlfn.XLOOKUP(order[[#This Row],[customer_id]],customer[customer_id],customer[city])</f>
        <v>Pune</v>
      </c>
      <c r="L311" t="str">
        <f>_xlfn.XLOOKUP(order[[#This Row],[customer_id]],customer[customer_id],customer[state])</f>
        <v>Maharashtra</v>
      </c>
      <c r="M311" t="str">
        <f>_xlfn.XLOOKUP(order[[#This Row],[product_id]],products!$A$2:$A$11,products!$B$2:$B$11)</f>
        <v>Samsung Galaxy S21</v>
      </c>
      <c r="N311" s="3" t="str">
        <f>_xlfn.XLOOKUP(order[[#This Row],[product_id]],products!$A$2:$A$11,products!$C$2:$C$11)</f>
        <v>Electronics</v>
      </c>
      <c r="O311" s="3">
        <f>_xlfn.XLOOKUP(order[[#This Row],[product_id]],Table4[product_id],Table4[cost_price])</f>
        <v>45000</v>
      </c>
      <c r="P311" s="11">
        <f>_xlfn.XLOOKUP(order[[#This Row],[order_id]],shipment[order_id],shipment[ship_date])</f>
        <v>45572</v>
      </c>
      <c r="Q311" s="11">
        <f>_xlfn.XLOOKUP(order[[#This Row],[order_id]],shipment[order_id],shipment[delivery_date])</f>
        <v>45577</v>
      </c>
      <c r="R311" s="3" t="str">
        <f>_xlfn.XLOOKUP(order[[#This Row],[order_id]],shipment[shipment_id],shipment[courier])</f>
        <v>BlueDart</v>
      </c>
      <c r="S311" s="3">
        <f>order[[#This Row],[selling_price]]-order[[#This Row],[cost_price]]*order[[#This Row],[quantity]]-order[[#This Row],[discount]]</f>
        <v>-49959</v>
      </c>
      <c r="T311" s="3">
        <f>order[[#This Row],[quantity]]*order[[#This Row],[selling_price]]</f>
        <v>88078</v>
      </c>
    </row>
    <row r="312" spans="1:20" x14ac:dyDescent="0.3">
      <c r="A312">
        <v>311</v>
      </c>
      <c r="B312" s="11">
        <v>45614</v>
      </c>
      <c r="C312">
        <v>173</v>
      </c>
      <c r="D312" t="str">
        <f>_xlfn.XLOOKUP(order[[#This Row],[customer_id]],customer[customer_id],customer[customer_name])</f>
        <v>Ishita Bose</v>
      </c>
      <c r="E312">
        <v>204</v>
      </c>
      <c r="F312">
        <v>4</v>
      </c>
      <c r="G312">
        <v>18459</v>
      </c>
      <c r="H312">
        <v>2057</v>
      </c>
      <c r="I312" t="s">
        <v>9</v>
      </c>
      <c r="J312" t="s">
        <v>12</v>
      </c>
      <c r="K312" t="str">
        <f>_xlfn.XLOOKUP(order[[#This Row],[customer_id]],customer[customer_id],customer[city])</f>
        <v>Ahmedabad</v>
      </c>
      <c r="L312" t="str">
        <f>_xlfn.XLOOKUP(order[[#This Row],[customer_id]],customer[customer_id],customer[state])</f>
        <v>Gujarat</v>
      </c>
      <c r="M312" t="str">
        <f>_xlfn.XLOOKUP(order[[#This Row],[product_id]],products!$A$2:$A$11,products!$B$2:$B$11)</f>
        <v>Levi's Slim Fit Jeans</v>
      </c>
      <c r="N312" s="3" t="str">
        <f>_xlfn.XLOOKUP(order[[#This Row],[product_id]],products!$A$2:$A$11,products!$C$2:$C$11)</f>
        <v>Fashion</v>
      </c>
      <c r="O312" s="3">
        <f>_xlfn.XLOOKUP(order[[#This Row],[product_id]],Table4[product_id],Table4[cost_price])</f>
        <v>1800</v>
      </c>
      <c r="P312" s="11">
        <f>_xlfn.XLOOKUP(order[[#This Row],[order_id]],shipment[order_id],shipment[ship_date])</f>
        <v>45602</v>
      </c>
      <c r="Q312" s="11">
        <f>_xlfn.XLOOKUP(order[[#This Row],[order_id]],shipment[order_id],shipment[delivery_date])</f>
        <v>45609</v>
      </c>
      <c r="R312" s="3" t="str">
        <f>_xlfn.XLOOKUP(order[[#This Row],[order_id]],shipment[shipment_id],shipment[courier])</f>
        <v>BlueDart</v>
      </c>
      <c r="S312" s="3">
        <f>order[[#This Row],[selling_price]]-order[[#This Row],[cost_price]]*order[[#This Row],[quantity]]-order[[#This Row],[discount]]</f>
        <v>9202</v>
      </c>
      <c r="T312" s="3">
        <f>order[[#This Row],[quantity]]*order[[#This Row],[selling_price]]</f>
        <v>73836</v>
      </c>
    </row>
    <row r="313" spans="1:20" x14ac:dyDescent="0.3">
      <c r="A313">
        <v>312</v>
      </c>
      <c r="B313" s="11">
        <v>45438</v>
      </c>
      <c r="C313">
        <v>160</v>
      </c>
      <c r="D313" t="str">
        <f>_xlfn.XLOOKUP(order[[#This Row],[customer_id]],customer[customer_id],customer[customer_name])</f>
        <v>Arjun Nair</v>
      </c>
      <c r="E313">
        <v>202</v>
      </c>
      <c r="F313">
        <v>1</v>
      </c>
      <c r="G313">
        <v>67002</v>
      </c>
      <c r="H313">
        <v>548</v>
      </c>
      <c r="I313" t="s">
        <v>11</v>
      </c>
      <c r="J313" t="s">
        <v>14</v>
      </c>
      <c r="K313" t="str">
        <f>_xlfn.XLOOKUP(order[[#This Row],[customer_id]],customer[customer_id],customer[city])</f>
        <v>Delhi</v>
      </c>
      <c r="L313" t="str">
        <f>_xlfn.XLOOKUP(order[[#This Row],[customer_id]],customer[customer_id],customer[state])</f>
        <v>Delhi</v>
      </c>
      <c r="M313" t="str">
        <f>_xlfn.XLOOKUP(order[[#This Row],[product_id]],products!$A$2:$A$11,products!$B$2:$B$11)</f>
        <v>Samsung Galaxy S21</v>
      </c>
      <c r="N313" s="3" t="str">
        <f>_xlfn.XLOOKUP(order[[#This Row],[product_id]],products!$A$2:$A$11,products!$C$2:$C$11)</f>
        <v>Electronics</v>
      </c>
      <c r="O313" s="3">
        <f>_xlfn.XLOOKUP(order[[#This Row],[product_id]],Table4[product_id],Table4[cost_price])</f>
        <v>45000</v>
      </c>
      <c r="P313" s="11">
        <f>_xlfn.XLOOKUP(order[[#This Row],[order_id]],shipment[order_id],shipment[ship_date])</f>
        <v>45374</v>
      </c>
      <c r="Q313" s="11">
        <f>_xlfn.XLOOKUP(order[[#This Row],[order_id]],shipment[order_id],shipment[delivery_date])</f>
        <v>45384</v>
      </c>
      <c r="R313" s="3" t="str">
        <f>_xlfn.XLOOKUP(order[[#This Row],[order_id]],shipment[shipment_id],shipment[courier])</f>
        <v>BlueDart</v>
      </c>
      <c r="S313" s="3">
        <f>order[[#This Row],[selling_price]]-order[[#This Row],[cost_price]]*order[[#This Row],[quantity]]-order[[#This Row],[discount]]</f>
        <v>21454</v>
      </c>
      <c r="T313" s="3">
        <f>order[[#This Row],[quantity]]*order[[#This Row],[selling_price]]</f>
        <v>67002</v>
      </c>
    </row>
    <row r="314" spans="1:20" x14ac:dyDescent="0.3">
      <c r="A314">
        <v>307</v>
      </c>
      <c r="B314" s="11">
        <v>45353</v>
      </c>
      <c r="C314">
        <v>158</v>
      </c>
      <c r="D314" t="str">
        <f>_xlfn.XLOOKUP(order[[#This Row],[customer_id]],customer[customer_id],customer[customer_name])</f>
        <v>Vikram Singh</v>
      </c>
      <c r="E314">
        <v>202</v>
      </c>
      <c r="F314">
        <v>4</v>
      </c>
      <c r="G314">
        <v>11444</v>
      </c>
      <c r="H314">
        <v>3970</v>
      </c>
      <c r="I314" t="s">
        <v>11</v>
      </c>
      <c r="J314" t="s">
        <v>12</v>
      </c>
      <c r="K314" t="str">
        <f>_xlfn.XLOOKUP(order[[#This Row],[customer_id]],customer[customer_id],customer[city])</f>
        <v>Delhi</v>
      </c>
      <c r="L314" t="str">
        <f>_xlfn.XLOOKUP(order[[#This Row],[customer_id]],customer[customer_id],customer[state])</f>
        <v>Delhi</v>
      </c>
      <c r="M314" t="str">
        <f>_xlfn.XLOOKUP(order[[#This Row],[product_id]],products!$A$2:$A$11,products!$B$2:$B$11)</f>
        <v>Samsung Galaxy S21</v>
      </c>
      <c r="N314" s="3" t="str">
        <f>_xlfn.XLOOKUP(order[[#This Row],[product_id]],products!$A$2:$A$11,products!$C$2:$C$11)</f>
        <v>Electronics</v>
      </c>
      <c r="O314" s="3">
        <f>_xlfn.XLOOKUP(order[[#This Row],[product_id]],Table4[product_id],Table4[cost_price])</f>
        <v>45000</v>
      </c>
      <c r="P314" s="11">
        <f>_xlfn.XLOOKUP(order[[#This Row],[order_id]],shipment[order_id],shipment[ship_date])</f>
        <v>45518</v>
      </c>
      <c r="Q314" s="11">
        <f>_xlfn.XLOOKUP(order[[#This Row],[order_id]],shipment[order_id],shipment[delivery_date])</f>
        <v>45520</v>
      </c>
      <c r="R314" s="3" t="str">
        <f>_xlfn.XLOOKUP(order[[#This Row],[order_id]],shipment[shipment_id],shipment[courier])</f>
        <v>DTDC</v>
      </c>
      <c r="S314" s="3">
        <f>order[[#This Row],[selling_price]]-order[[#This Row],[cost_price]]*order[[#This Row],[quantity]]-order[[#This Row],[discount]]</f>
        <v>-172526</v>
      </c>
      <c r="T314" s="3">
        <f>order[[#This Row],[quantity]]*order[[#This Row],[selling_price]]</f>
        <v>45776</v>
      </c>
    </row>
    <row r="315" spans="1:20" x14ac:dyDescent="0.3">
      <c r="A315">
        <v>1062</v>
      </c>
      <c r="B315" s="11">
        <v>45486</v>
      </c>
      <c r="C315">
        <v>244</v>
      </c>
      <c r="D315" t="str">
        <f>_xlfn.XLOOKUP(order[[#This Row],[customer_id]],customer[customer_id],customer[customer_name])</f>
        <v>Ananya Gupta</v>
      </c>
      <c r="E315">
        <v>202</v>
      </c>
      <c r="F315">
        <v>1</v>
      </c>
      <c r="G315">
        <v>27207</v>
      </c>
      <c r="H315">
        <v>3925</v>
      </c>
      <c r="I315" t="s">
        <v>13</v>
      </c>
      <c r="J315" t="s">
        <v>14</v>
      </c>
      <c r="K315" t="str">
        <f>_xlfn.XLOOKUP(order[[#This Row],[customer_id]],customer[customer_id],customer[city])</f>
        <v>Chennai</v>
      </c>
      <c r="L315" t="str">
        <f>_xlfn.XLOOKUP(order[[#This Row],[customer_id]],customer[customer_id],customer[state])</f>
        <v>Tamil Nadu</v>
      </c>
      <c r="M315" t="str">
        <f>_xlfn.XLOOKUP(order[[#This Row],[product_id]],products!$A$2:$A$11,products!$B$2:$B$11)</f>
        <v>Samsung Galaxy S21</v>
      </c>
      <c r="N315" s="3" t="str">
        <f>_xlfn.XLOOKUP(order[[#This Row],[product_id]],products!$A$2:$A$11,products!$C$2:$C$11)</f>
        <v>Electronics</v>
      </c>
      <c r="O315" s="3">
        <f>_xlfn.XLOOKUP(order[[#This Row],[product_id]],Table4[product_id],Table4[cost_price])</f>
        <v>45000</v>
      </c>
      <c r="P315" s="11">
        <f>_xlfn.XLOOKUP(order[[#This Row],[order_id]],shipment[order_id],shipment[ship_date])</f>
        <v>45387</v>
      </c>
      <c r="Q315" s="11">
        <f>_xlfn.XLOOKUP(order[[#This Row],[order_id]],shipment[order_id],shipment[delivery_date])</f>
        <v>45393</v>
      </c>
      <c r="R315" s="3" t="str">
        <f>_xlfn.XLOOKUP(order[[#This Row],[order_id]],shipment[shipment_id],shipment[courier])</f>
        <v>Delhivery</v>
      </c>
      <c r="S315" s="3">
        <f>order[[#This Row],[selling_price]]-order[[#This Row],[cost_price]]*order[[#This Row],[quantity]]-order[[#This Row],[discount]]</f>
        <v>-21718</v>
      </c>
      <c r="T315" s="3">
        <f>order[[#This Row],[quantity]]*order[[#This Row],[selling_price]]</f>
        <v>27207</v>
      </c>
    </row>
    <row r="316" spans="1:20" x14ac:dyDescent="0.3">
      <c r="A316">
        <v>42</v>
      </c>
      <c r="B316" s="11">
        <v>45561</v>
      </c>
      <c r="C316">
        <v>136</v>
      </c>
      <c r="D316" t="str">
        <f>_xlfn.XLOOKUP(order[[#This Row],[customer_id]],customer[customer_id],customer[customer_name])</f>
        <v>Meera Joshi</v>
      </c>
      <c r="E316">
        <v>202</v>
      </c>
      <c r="F316">
        <v>3</v>
      </c>
      <c r="G316">
        <v>11299</v>
      </c>
      <c r="H316">
        <v>3914</v>
      </c>
      <c r="I316" t="s">
        <v>11</v>
      </c>
      <c r="J316" t="s">
        <v>12</v>
      </c>
      <c r="K316" t="str">
        <f>_xlfn.XLOOKUP(order[[#This Row],[customer_id]],customer[customer_id],customer[city])</f>
        <v>Hyderabad</v>
      </c>
      <c r="L316" t="str">
        <f>_xlfn.XLOOKUP(order[[#This Row],[customer_id]],customer[customer_id],customer[state])</f>
        <v>Telangana</v>
      </c>
      <c r="M316" t="str">
        <f>_xlfn.XLOOKUP(order[[#This Row],[product_id]],products!$A$2:$A$11,products!$B$2:$B$11)</f>
        <v>Samsung Galaxy S21</v>
      </c>
      <c r="N316" s="3" t="str">
        <f>_xlfn.XLOOKUP(order[[#This Row],[product_id]],products!$A$2:$A$11,products!$C$2:$C$11)</f>
        <v>Electronics</v>
      </c>
      <c r="O316" s="3">
        <f>_xlfn.XLOOKUP(order[[#This Row],[product_id]],Table4[product_id],Table4[cost_price])</f>
        <v>45000</v>
      </c>
      <c r="P316" s="11">
        <f>_xlfn.XLOOKUP(order[[#This Row],[order_id]],shipment[order_id],shipment[ship_date])</f>
        <v>45510</v>
      </c>
      <c r="Q316" s="11">
        <f>_xlfn.XLOOKUP(order[[#This Row],[order_id]],shipment[order_id],shipment[delivery_date])</f>
        <v>45515</v>
      </c>
      <c r="R316" s="3" t="str">
        <f>_xlfn.XLOOKUP(order[[#This Row],[order_id]],shipment[shipment_id],shipment[courier])</f>
        <v>Ekart</v>
      </c>
      <c r="S316" s="3">
        <f>order[[#This Row],[selling_price]]-order[[#This Row],[cost_price]]*order[[#This Row],[quantity]]-order[[#This Row],[discount]]</f>
        <v>-127615</v>
      </c>
      <c r="T316" s="3">
        <f>order[[#This Row],[quantity]]*order[[#This Row],[selling_price]]</f>
        <v>33897</v>
      </c>
    </row>
    <row r="317" spans="1:20" x14ac:dyDescent="0.3">
      <c r="A317">
        <v>316</v>
      </c>
      <c r="B317" s="11">
        <v>45501</v>
      </c>
      <c r="C317">
        <v>136</v>
      </c>
      <c r="D317" t="str">
        <f>_xlfn.XLOOKUP(order[[#This Row],[customer_id]],customer[customer_id],customer[customer_name])</f>
        <v>Meera Joshi</v>
      </c>
      <c r="E317">
        <v>206</v>
      </c>
      <c r="F317">
        <v>2</v>
      </c>
      <c r="G317">
        <v>57147</v>
      </c>
      <c r="H317">
        <v>3355</v>
      </c>
      <c r="I317" t="s">
        <v>9</v>
      </c>
      <c r="J317" t="s">
        <v>10</v>
      </c>
      <c r="K317" t="str">
        <f>_xlfn.XLOOKUP(order[[#This Row],[customer_id]],customer[customer_id],customer[city])</f>
        <v>Hyderabad</v>
      </c>
      <c r="L317" t="str">
        <f>_xlfn.XLOOKUP(order[[#This Row],[customer_id]],customer[customer_id],customer[state])</f>
        <v>Telangana</v>
      </c>
      <c r="M317" t="str">
        <f>_xlfn.XLOOKUP(order[[#This Row],[product_id]],products!$A$2:$A$11,products!$B$2:$B$11)</f>
        <v>Philips Air Fryer</v>
      </c>
      <c r="N317" s="3" t="str">
        <f>_xlfn.XLOOKUP(order[[#This Row],[product_id]],products!$A$2:$A$11,products!$C$2:$C$11)</f>
        <v>Home &amp; Kitchen</v>
      </c>
      <c r="O317" s="3">
        <f>_xlfn.XLOOKUP(order[[#This Row],[product_id]],Table4[product_id],Table4[cost_price])</f>
        <v>7000</v>
      </c>
      <c r="P317" s="11">
        <f>_xlfn.XLOOKUP(order[[#This Row],[order_id]],shipment[order_id],shipment[ship_date])</f>
        <v>45552</v>
      </c>
      <c r="Q317" s="11">
        <f>_xlfn.XLOOKUP(order[[#This Row],[order_id]],shipment[order_id],shipment[delivery_date])</f>
        <v>45553</v>
      </c>
      <c r="R317" s="3" t="str">
        <f>_xlfn.XLOOKUP(order[[#This Row],[order_id]],shipment[shipment_id],shipment[courier])</f>
        <v>Ekart</v>
      </c>
      <c r="S317" s="3">
        <f>order[[#This Row],[selling_price]]-order[[#This Row],[cost_price]]*order[[#This Row],[quantity]]-order[[#This Row],[discount]]</f>
        <v>39792</v>
      </c>
      <c r="T317" s="3">
        <f>order[[#This Row],[quantity]]*order[[#This Row],[selling_price]]</f>
        <v>114294</v>
      </c>
    </row>
    <row r="318" spans="1:20" x14ac:dyDescent="0.3">
      <c r="A318">
        <v>174</v>
      </c>
      <c r="B318" s="11">
        <v>45408</v>
      </c>
      <c r="C318">
        <v>266</v>
      </c>
      <c r="D318" t="str">
        <f>_xlfn.XLOOKUP(order[[#This Row],[customer_id]],customer[customer_id],customer[customer_name])</f>
        <v>Karan Patel</v>
      </c>
      <c r="E318">
        <v>202</v>
      </c>
      <c r="F318">
        <v>4</v>
      </c>
      <c r="G318">
        <v>54322</v>
      </c>
      <c r="H318">
        <v>3870</v>
      </c>
      <c r="I318" t="s">
        <v>9</v>
      </c>
      <c r="J318" t="s">
        <v>12</v>
      </c>
      <c r="K318" t="str">
        <f>_xlfn.XLOOKUP(order[[#This Row],[customer_id]],customer[customer_id],customer[city])</f>
        <v>Chennai</v>
      </c>
      <c r="L318" t="str">
        <f>_xlfn.XLOOKUP(order[[#This Row],[customer_id]],customer[customer_id],customer[state])</f>
        <v>Tamil Nadu</v>
      </c>
      <c r="M318" t="str">
        <f>_xlfn.XLOOKUP(order[[#This Row],[product_id]],products!$A$2:$A$11,products!$B$2:$B$11)</f>
        <v>Samsung Galaxy S21</v>
      </c>
      <c r="N318" s="3" t="str">
        <f>_xlfn.XLOOKUP(order[[#This Row],[product_id]],products!$A$2:$A$11,products!$C$2:$C$11)</f>
        <v>Electronics</v>
      </c>
      <c r="O318" s="3">
        <f>_xlfn.XLOOKUP(order[[#This Row],[product_id]],Table4[product_id],Table4[cost_price])</f>
        <v>45000</v>
      </c>
      <c r="P318" s="11">
        <f>_xlfn.XLOOKUP(order[[#This Row],[order_id]],shipment[order_id],shipment[ship_date])</f>
        <v>45295</v>
      </c>
      <c r="Q318" s="11">
        <f>_xlfn.XLOOKUP(order[[#This Row],[order_id]],shipment[order_id],shipment[delivery_date])</f>
        <v>45297</v>
      </c>
      <c r="R318" s="3" t="str">
        <f>_xlfn.XLOOKUP(order[[#This Row],[order_id]],shipment[shipment_id],shipment[courier])</f>
        <v>BlueDart</v>
      </c>
      <c r="S318" s="3">
        <f>order[[#This Row],[selling_price]]-order[[#This Row],[cost_price]]*order[[#This Row],[quantity]]-order[[#This Row],[discount]]</f>
        <v>-129548</v>
      </c>
      <c r="T318" s="3">
        <f>order[[#This Row],[quantity]]*order[[#This Row],[selling_price]]</f>
        <v>217288</v>
      </c>
    </row>
    <row r="319" spans="1:20" x14ac:dyDescent="0.3">
      <c r="A319">
        <v>318</v>
      </c>
      <c r="B319" s="11">
        <v>45360</v>
      </c>
      <c r="C319">
        <v>208</v>
      </c>
      <c r="D319" t="str">
        <f>_xlfn.XLOOKUP(order[[#This Row],[customer_id]],customer[customer_id],customer[customer_name])</f>
        <v>Arjun Nair</v>
      </c>
      <c r="E319">
        <v>207</v>
      </c>
      <c r="F319">
        <v>1</v>
      </c>
      <c r="G319">
        <v>40581</v>
      </c>
      <c r="H319">
        <v>2772</v>
      </c>
      <c r="I319" t="s">
        <v>15</v>
      </c>
      <c r="J319" t="s">
        <v>10</v>
      </c>
      <c r="K319" t="str">
        <f>_xlfn.XLOOKUP(order[[#This Row],[customer_id]],customer[customer_id],customer[city])</f>
        <v>Mumbai</v>
      </c>
      <c r="L319" t="str">
        <f>_xlfn.XLOOKUP(order[[#This Row],[customer_id]],customer[customer_id],customer[state])</f>
        <v>Maharashtra</v>
      </c>
      <c r="M319" t="str">
        <f>_xlfn.XLOOKUP(order[[#This Row],[product_id]],products!$A$2:$A$11,products!$B$2:$B$11)</f>
        <v>Sony WH-1000XM4 Headphones</v>
      </c>
      <c r="N319" s="3" t="str">
        <f>_xlfn.XLOOKUP(order[[#This Row],[product_id]],products!$A$2:$A$11,products!$C$2:$C$11)</f>
        <v>Electronics</v>
      </c>
      <c r="O319" s="3">
        <f>_xlfn.XLOOKUP(order[[#This Row],[product_id]],Table4[product_id],Table4[cost_price])</f>
        <v>20000</v>
      </c>
      <c r="P319" s="11">
        <f>_xlfn.XLOOKUP(order[[#This Row],[order_id]],shipment[order_id],shipment[ship_date])</f>
        <v>45411</v>
      </c>
      <c r="Q319" s="11">
        <f>_xlfn.XLOOKUP(order[[#This Row],[order_id]],shipment[order_id],shipment[delivery_date])</f>
        <v>45418</v>
      </c>
      <c r="R319" s="3" t="str">
        <f>_xlfn.XLOOKUP(order[[#This Row],[order_id]],shipment[shipment_id],shipment[courier])</f>
        <v>Delhivery</v>
      </c>
      <c r="S319" s="3">
        <f>order[[#This Row],[selling_price]]-order[[#This Row],[cost_price]]*order[[#This Row],[quantity]]-order[[#This Row],[discount]]</f>
        <v>17809</v>
      </c>
      <c r="T319" s="3">
        <f>order[[#This Row],[quantity]]*order[[#This Row],[selling_price]]</f>
        <v>40581</v>
      </c>
    </row>
    <row r="320" spans="1:20" x14ac:dyDescent="0.3">
      <c r="A320">
        <v>348</v>
      </c>
      <c r="B320" s="11">
        <v>45366</v>
      </c>
      <c r="C320">
        <v>198</v>
      </c>
      <c r="D320" t="str">
        <f>_xlfn.XLOOKUP(order[[#This Row],[customer_id]],customer[customer_id],customer[customer_name])</f>
        <v>Ananya Gupta</v>
      </c>
      <c r="E320">
        <v>202</v>
      </c>
      <c r="F320">
        <v>2</v>
      </c>
      <c r="G320">
        <v>57484</v>
      </c>
      <c r="H320">
        <v>3831</v>
      </c>
      <c r="I320" t="s">
        <v>15</v>
      </c>
      <c r="J320" t="s">
        <v>12</v>
      </c>
      <c r="K320" t="str">
        <f>_xlfn.XLOOKUP(order[[#This Row],[customer_id]],customer[customer_id],customer[city])</f>
        <v>Bangalore</v>
      </c>
      <c r="L320" t="str">
        <f>_xlfn.XLOOKUP(order[[#This Row],[customer_id]],customer[customer_id],customer[state])</f>
        <v>Karnataka</v>
      </c>
      <c r="M320" t="str">
        <f>_xlfn.XLOOKUP(order[[#This Row],[product_id]],products!$A$2:$A$11,products!$B$2:$B$11)</f>
        <v>Samsung Galaxy S21</v>
      </c>
      <c r="N320" s="3" t="str">
        <f>_xlfn.XLOOKUP(order[[#This Row],[product_id]],products!$A$2:$A$11,products!$C$2:$C$11)</f>
        <v>Electronics</v>
      </c>
      <c r="O320" s="3">
        <f>_xlfn.XLOOKUP(order[[#This Row],[product_id]],Table4[product_id],Table4[cost_price])</f>
        <v>45000</v>
      </c>
      <c r="P320" s="11">
        <f>_xlfn.XLOOKUP(order[[#This Row],[order_id]],shipment[order_id],shipment[ship_date])</f>
        <v>45319</v>
      </c>
      <c r="Q320" s="11">
        <f>_xlfn.XLOOKUP(order[[#This Row],[order_id]],shipment[order_id],shipment[delivery_date])</f>
        <v>45323</v>
      </c>
      <c r="R320" s="3" t="str">
        <f>_xlfn.XLOOKUP(order[[#This Row],[order_id]],shipment[shipment_id],shipment[courier])</f>
        <v>Delhivery</v>
      </c>
      <c r="S320" s="3">
        <f>order[[#This Row],[selling_price]]-order[[#This Row],[cost_price]]*order[[#This Row],[quantity]]-order[[#This Row],[discount]]</f>
        <v>-36347</v>
      </c>
      <c r="T320" s="3">
        <f>order[[#This Row],[quantity]]*order[[#This Row],[selling_price]]</f>
        <v>114968</v>
      </c>
    </row>
    <row r="321" spans="1:20" x14ac:dyDescent="0.3">
      <c r="A321">
        <v>320</v>
      </c>
      <c r="B321" s="11">
        <v>45383</v>
      </c>
      <c r="C321">
        <v>164</v>
      </c>
      <c r="D321" t="str">
        <f>_xlfn.XLOOKUP(order[[#This Row],[customer_id]],customer[customer_id],customer[customer_name])</f>
        <v>Pooja Nair</v>
      </c>
      <c r="E321">
        <v>206</v>
      </c>
      <c r="F321">
        <v>3</v>
      </c>
      <c r="G321">
        <v>44778</v>
      </c>
      <c r="H321">
        <v>4666</v>
      </c>
      <c r="I321" t="s">
        <v>11</v>
      </c>
      <c r="J321" t="s">
        <v>14</v>
      </c>
      <c r="K321" t="str">
        <f>_xlfn.XLOOKUP(order[[#This Row],[customer_id]],customer[customer_id],customer[city])</f>
        <v>Ahmedabad</v>
      </c>
      <c r="L321" t="str">
        <f>_xlfn.XLOOKUP(order[[#This Row],[customer_id]],customer[customer_id],customer[state])</f>
        <v>Gujarat</v>
      </c>
      <c r="M321" t="str">
        <f>_xlfn.XLOOKUP(order[[#This Row],[product_id]],products!$A$2:$A$11,products!$B$2:$B$11)</f>
        <v>Philips Air Fryer</v>
      </c>
      <c r="N321" s="3" t="str">
        <f>_xlfn.XLOOKUP(order[[#This Row],[product_id]],products!$A$2:$A$11,products!$C$2:$C$11)</f>
        <v>Home &amp; Kitchen</v>
      </c>
      <c r="O321" s="3">
        <f>_xlfn.XLOOKUP(order[[#This Row],[product_id]],Table4[product_id],Table4[cost_price])</f>
        <v>7000</v>
      </c>
      <c r="P321" s="11">
        <f>_xlfn.XLOOKUP(order[[#This Row],[order_id]],shipment[order_id],shipment[ship_date])</f>
        <v>45307</v>
      </c>
      <c r="Q321" s="11">
        <f>_xlfn.XLOOKUP(order[[#This Row],[order_id]],shipment[order_id],shipment[delivery_date])</f>
        <v>45314</v>
      </c>
      <c r="R321" s="3" t="str">
        <f>_xlfn.XLOOKUP(order[[#This Row],[order_id]],shipment[shipment_id],shipment[courier])</f>
        <v>BlueDart</v>
      </c>
      <c r="S321" s="3">
        <f>order[[#This Row],[selling_price]]-order[[#This Row],[cost_price]]*order[[#This Row],[quantity]]-order[[#This Row],[discount]]</f>
        <v>19112</v>
      </c>
      <c r="T321" s="3">
        <f>order[[#This Row],[quantity]]*order[[#This Row],[selling_price]]</f>
        <v>134334</v>
      </c>
    </row>
    <row r="322" spans="1:20" x14ac:dyDescent="0.3">
      <c r="A322">
        <v>658</v>
      </c>
      <c r="B322" s="11">
        <v>45651</v>
      </c>
      <c r="C322">
        <v>120</v>
      </c>
      <c r="D322" t="str">
        <f>_xlfn.XLOOKUP(order[[#This Row],[customer_id]],customer[customer_id],customer[customer_name])</f>
        <v>Aarav Sharma</v>
      </c>
      <c r="E322">
        <v>202</v>
      </c>
      <c r="F322">
        <v>4</v>
      </c>
      <c r="G322">
        <v>53593</v>
      </c>
      <c r="H322">
        <v>3769</v>
      </c>
      <c r="I322" t="s">
        <v>15</v>
      </c>
      <c r="J322" t="s">
        <v>14</v>
      </c>
      <c r="K322" t="str">
        <f>_xlfn.XLOOKUP(order[[#This Row],[customer_id]],customer[customer_id],customer[city])</f>
        <v>Ahmedabad</v>
      </c>
      <c r="L322" t="str">
        <f>_xlfn.XLOOKUP(order[[#This Row],[customer_id]],customer[customer_id],customer[state])</f>
        <v>Gujarat</v>
      </c>
      <c r="M322" t="str">
        <f>_xlfn.XLOOKUP(order[[#This Row],[product_id]],products!$A$2:$A$11,products!$B$2:$B$11)</f>
        <v>Samsung Galaxy S21</v>
      </c>
      <c r="N322" s="3" t="str">
        <f>_xlfn.XLOOKUP(order[[#This Row],[product_id]],products!$A$2:$A$11,products!$C$2:$C$11)</f>
        <v>Electronics</v>
      </c>
      <c r="O322" s="3">
        <f>_xlfn.XLOOKUP(order[[#This Row],[product_id]],Table4[product_id],Table4[cost_price])</f>
        <v>45000</v>
      </c>
      <c r="P322" s="11">
        <f>_xlfn.XLOOKUP(order[[#This Row],[order_id]],shipment[order_id],shipment[ship_date])</f>
        <v>45527</v>
      </c>
      <c r="Q322" s="11">
        <f>_xlfn.XLOOKUP(order[[#This Row],[order_id]],shipment[order_id],shipment[delivery_date])</f>
        <v>45535</v>
      </c>
      <c r="R322" s="3" t="str">
        <f>_xlfn.XLOOKUP(order[[#This Row],[order_id]],shipment[shipment_id],shipment[courier])</f>
        <v>DTDC</v>
      </c>
      <c r="S322" s="3">
        <f>order[[#This Row],[selling_price]]-order[[#This Row],[cost_price]]*order[[#This Row],[quantity]]-order[[#This Row],[discount]]</f>
        <v>-130176</v>
      </c>
      <c r="T322" s="3">
        <f>order[[#This Row],[quantity]]*order[[#This Row],[selling_price]]</f>
        <v>214372</v>
      </c>
    </row>
    <row r="323" spans="1:20" x14ac:dyDescent="0.3">
      <c r="A323">
        <v>697</v>
      </c>
      <c r="B323" s="11">
        <v>45400</v>
      </c>
      <c r="C323">
        <v>122</v>
      </c>
      <c r="D323" t="str">
        <f>_xlfn.XLOOKUP(order[[#This Row],[customer_id]],customer[customer_id],customer[customer_name])</f>
        <v>Priya Reddy</v>
      </c>
      <c r="E323">
        <v>202</v>
      </c>
      <c r="F323">
        <v>3</v>
      </c>
      <c r="G323">
        <v>12043</v>
      </c>
      <c r="H323">
        <v>3744</v>
      </c>
      <c r="I323" t="s">
        <v>11</v>
      </c>
      <c r="J323" t="s">
        <v>10</v>
      </c>
      <c r="K323" t="str">
        <f>_xlfn.XLOOKUP(order[[#This Row],[customer_id]],customer[customer_id],customer[city])</f>
        <v>Hyderabad</v>
      </c>
      <c r="L323" t="str">
        <f>_xlfn.XLOOKUP(order[[#This Row],[customer_id]],customer[customer_id],customer[state])</f>
        <v>Telangana</v>
      </c>
      <c r="M323" t="str">
        <f>_xlfn.XLOOKUP(order[[#This Row],[product_id]],products!$A$2:$A$11,products!$B$2:$B$11)</f>
        <v>Samsung Galaxy S21</v>
      </c>
      <c r="N323" s="3" t="str">
        <f>_xlfn.XLOOKUP(order[[#This Row],[product_id]],products!$A$2:$A$11,products!$C$2:$C$11)</f>
        <v>Electronics</v>
      </c>
      <c r="O323" s="3">
        <f>_xlfn.XLOOKUP(order[[#This Row],[product_id]],Table4[product_id],Table4[cost_price])</f>
        <v>45000</v>
      </c>
      <c r="P323" s="11">
        <f>_xlfn.XLOOKUP(order[[#This Row],[order_id]],shipment[order_id],shipment[ship_date])</f>
        <v>45592</v>
      </c>
      <c r="Q323" s="11">
        <f>_xlfn.XLOOKUP(order[[#This Row],[order_id]],shipment[order_id],shipment[delivery_date])</f>
        <v>45602</v>
      </c>
      <c r="R323" s="3" t="str">
        <f>_xlfn.XLOOKUP(order[[#This Row],[order_id]],shipment[shipment_id],shipment[courier])</f>
        <v>DTDC</v>
      </c>
      <c r="S323" s="3">
        <f>order[[#This Row],[selling_price]]-order[[#This Row],[cost_price]]*order[[#This Row],[quantity]]-order[[#This Row],[discount]]</f>
        <v>-126701</v>
      </c>
      <c r="T323" s="3">
        <f>order[[#This Row],[quantity]]*order[[#This Row],[selling_price]]</f>
        <v>36129</v>
      </c>
    </row>
    <row r="324" spans="1:20" x14ac:dyDescent="0.3">
      <c r="A324">
        <v>323</v>
      </c>
      <c r="B324" s="11">
        <v>45609</v>
      </c>
      <c r="C324">
        <v>274</v>
      </c>
      <c r="D324" t="str">
        <f>_xlfn.XLOOKUP(order[[#This Row],[customer_id]],customer[customer_id],customer[customer_name])</f>
        <v>Sneha Iyer</v>
      </c>
      <c r="E324">
        <v>208</v>
      </c>
      <c r="F324">
        <v>3</v>
      </c>
      <c r="G324">
        <v>44655</v>
      </c>
      <c r="H324">
        <v>3691</v>
      </c>
      <c r="I324" t="s">
        <v>9</v>
      </c>
      <c r="J324" t="s">
        <v>12</v>
      </c>
      <c r="K324" t="str">
        <f>_xlfn.XLOOKUP(order[[#This Row],[customer_id]],customer[customer_id],customer[city])</f>
        <v>Bangalore</v>
      </c>
      <c r="L324" t="str">
        <f>_xlfn.XLOOKUP(order[[#This Row],[customer_id]],customer[customer_id],customer[state])</f>
        <v>Karnataka</v>
      </c>
      <c r="M324" t="str">
        <f>_xlfn.XLOOKUP(order[[#This Row],[product_id]],products!$A$2:$A$11,products!$B$2:$B$11)</f>
        <v>Adidas Ultraboost Shoes</v>
      </c>
      <c r="N324" s="3" t="str">
        <f>_xlfn.XLOOKUP(order[[#This Row],[product_id]],products!$A$2:$A$11,products!$C$2:$C$11)</f>
        <v>Fashion</v>
      </c>
      <c r="O324" s="3">
        <f>_xlfn.XLOOKUP(order[[#This Row],[product_id]],Table4[product_id],Table4[cost_price])</f>
        <v>9000</v>
      </c>
      <c r="P324" s="11">
        <f>_xlfn.XLOOKUP(order[[#This Row],[order_id]],shipment[order_id],shipment[ship_date])</f>
        <v>45347</v>
      </c>
      <c r="Q324" s="11">
        <f>_xlfn.XLOOKUP(order[[#This Row],[order_id]],shipment[order_id],shipment[delivery_date])</f>
        <v>45357</v>
      </c>
      <c r="R324" s="3" t="str">
        <f>_xlfn.XLOOKUP(order[[#This Row],[order_id]],shipment[shipment_id],shipment[courier])</f>
        <v>BlueDart</v>
      </c>
      <c r="S324" s="3">
        <f>order[[#This Row],[selling_price]]-order[[#This Row],[cost_price]]*order[[#This Row],[quantity]]-order[[#This Row],[discount]]</f>
        <v>13964</v>
      </c>
      <c r="T324" s="3">
        <f>order[[#This Row],[quantity]]*order[[#This Row],[selling_price]]</f>
        <v>133965</v>
      </c>
    </row>
    <row r="325" spans="1:20" x14ac:dyDescent="0.3">
      <c r="A325">
        <v>797</v>
      </c>
      <c r="B325" s="11">
        <v>45513</v>
      </c>
      <c r="C325">
        <v>104</v>
      </c>
      <c r="D325" t="str">
        <f>_xlfn.XLOOKUP(order[[#This Row],[customer_id]],customer[customer_id],customer[customer_name])</f>
        <v>Aarav Sharma</v>
      </c>
      <c r="E325">
        <v>202</v>
      </c>
      <c r="F325">
        <v>4</v>
      </c>
      <c r="G325">
        <v>44940</v>
      </c>
      <c r="H325">
        <v>3731</v>
      </c>
      <c r="I325" t="s">
        <v>11</v>
      </c>
      <c r="J325" t="s">
        <v>14</v>
      </c>
      <c r="K325" t="str">
        <f>_xlfn.XLOOKUP(order[[#This Row],[customer_id]],customer[customer_id],customer[city])</f>
        <v>Bangalore</v>
      </c>
      <c r="L325" t="str">
        <f>_xlfn.XLOOKUP(order[[#This Row],[customer_id]],customer[customer_id],customer[state])</f>
        <v>Karnataka</v>
      </c>
      <c r="M325" t="str">
        <f>_xlfn.XLOOKUP(order[[#This Row],[product_id]],products!$A$2:$A$11,products!$B$2:$B$11)</f>
        <v>Samsung Galaxy S21</v>
      </c>
      <c r="N325" s="3" t="str">
        <f>_xlfn.XLOOKUP(order[[#This Row],[product_id]],products!$A$2:$A$11,products!$C$2:$C$11)</f>
        <v>Electronics</v>
      </c>
      <c r="O325" s="3">
        <f>_xlfn.XLOOKUP(order[[#This Row],[product_id]],Table4[product_id],Table4[cost_price])</f>
        <v>45000</v>
      </c>
      <c r="P325" s="11">
        <f>_xlfn.XLOOKUP(order[[#This Row],[order_id]],shipment[order_id],shipment[ship_date])</f>
        <v>45478</v>
      </c>
      <c r="Q325" s="11">
        <f>_xlfn.XLOOKUP(order[[#This Row],[order_id]],shipment[order_id],shipment[delivery_date])</f>
        <v>45486</v>
      </c>
      <c r="R325" s="3" t="str">
        <f>_xlfn.XLOOKUP(order[[#This Row],[order_id]],shipment[shipment_id],shipment[courier])</f>
        <v>DTDC</v>
      </c>
      <c r="S325" s="3">
        <f>order[[#This Row],[selling_price]]-order[[#This Row],[cost_price]]*order[[#This Row],[quantity]]-order[[#This Row],[discount]]</f>
        <v>-138791</v>
      </c>
      <c r="T325" s="3">
        <f>order[[#This Row],[quantity]]*order[[#This Row],[selling_price]]</f>
        <v>179760</v>
      </c>
    </row>
    <row r="326" spans="1:20" x14ac:dyDescent="0.3">
      <c r="A326">
        <v>325</v>
      </c>
      <c r="B326" s="11">
        <v>45293</v>
      </c>
      <c r="C326">
        <v>137</v>
      </c>
      <c r="D326" t="str">
        <f>_xlfn.XLOOKUP(order[[#This Row],[customer_id]],customer[customer_id],customer[customer_name])</f>
        <v>Ananya Gupta</v>
      </c>
      <c r="E326">
        <v>203</v>
      </c>
      <c r="F326">
        <v>4</v>
      </c>
      <c r="G326">
        <v>63711</v>
      </c>
      <c r="H326">
        <v>905</v>
      </c>
      <c r="I326" t="s">
        <v>9</v>
      </c>
      <c r="J326" t="s">
        <v>12</v>
      </c>
      <c r="K326" t="str">
        <f>_xlfn.XLOOKUP(order[[#This Row],[customer_id]],customer[customer_id],customer[city])</f>
        <v>Delhi</v>
      </c>
      <c r="L326" t="str">
        <f>_xlfn.XLOOKUP(order[[#This Row],[customer_id]],customer[customer_id],customer[state])</f>
        <v>Delhi</v>
      </c>
      <c r="M326" t="str">
        <f>_xlfn.XLOOKUP(order[[#This Row],[product_id]],products!$A$2:$A$11,products!$B$2:$B$11)</f>
        <v>Nike Air Max Shoes</v>
      </c>
      <c r="N326" s="3" t="str">
        <f>_xlfn.XLOOKUP(order[[#This Row],[product_id]],products!$A$2:$A$11,products!$C$2:$C$11)</f>
        <v>Fashion</v>
      </c>
      <c r="O326" s="3">
        <f>_xlfn.XLOOKUP(order[[#This Row],[product_id]],Table4[product_id],Table4[cost_price])</f>
        <v>4000</v>
      </c>
      <c r="P326" s="11">
        <f>_xlfn.XLOOKUP(order[[#This Row],[order_id]],shipment[order_id],shipment[ship_date])</f>
        <v>45305</v>
      </c>
      <c r="Q326" s="11">
        <f>_xlfn.XLOOKUP(order[[#This Row],[order_id]],shipment[order_id],shipment[delivery_date])</f>
        <v>45307</v>
      </c>
      <c r="R326" s="3" t="str">
        <f>_xlfn.XLOOKUP(order[[#This Row],[order_id]],shipment[shipment_id],shipment[courier])</f>
        <v>Ekart</v>
      </c>
      <c r="S326" s="3">
        <f>order[[#This Row],[selling_price]]-order[[#This Row],[cost_price]]*order[[#This Row],[quantity]]-order[[#This Row],[discount]]</f>
        <v>46806</v>
      </c>
      <c r="T326" s="3">
        <f>order[[#This Row],[quantity]]*order[[#This Row],[selling_price]]</f>
        <v>254844</v>
      </c>
    </row>
    <row r="327" spans="1:20" x14ac:dyDescent="0.3">
      <c r="A327">
        <v>465</v>
      </c>
      <c r="B327" s="11">
        <v>45437</v>
      </c>
      <c r="C327">
        <v>238</v>
      </c>
      <c r="D327" t="str">
        <f>_xlfn.XLOOKUP(order[[#This Row],[customer_id]],customer[customer_id],customer[customer_name])</f>
        <v>Karan Patel</v>
      </c>
      <c r="E327">
        <v>202</v>
      </c>
      <c r="F327">
        <v>3</v>
      </c>
      <c r="G327">
        <v>11803</v>
      </c>
      <c r="H327">
        <v>3726</v>
      </c>
      <c r="I327" t="s">
        <v>15</v>
      </c>
      <c r="J327" t="s">
        <v>10</v>
      </c>
      <c r="K327" t="str">
        <f>_xlfn.XLOOKUP(order[[#This Row],[customer_id]],customer[customer_id],customer[city])</f>
        <v>Chennai</v>
      </c>
      <c r="L327" t="str">
        <f>_xlfn.XLOOKUP(order[[#This Row],[customer_id]],customer[customer_id],customer[state])</f>
        <v>Tamil Nadu</v>
      </c>
      <c r="M327" t="str">
        <f>_xlfn.XLOOKUP(order[[#This Row],[product_id]],products!$A$2:$A$11,products!$B$2:$B$11)</f>
        <v>Samsung Galaxy S21</v>
      </c>
      <c r="N327" s="3" t="str">
        <f>_xlfn.XLOOKUP(order[[#This Row],[product_id]],products!$A$2:$A$11,products!$C$2:$C$11)</f>
        <v>Electronics</v>
      </c>
      <c r="O327" s="3">
        <f>_xlfn.XLOOKUP(order[[#This Row],[product_id]],Table4[product_id],Table4[cost_price])</f>
        <v>45000</v>
      </c>
      <c r="P327" s="11">
        <f>_xlfn.XLOOKUP(order[[#This Row],[order_id]],shipment[order_id],shipment[ship_date])</f>
        <v>45489</v>
      </c>
      <c r="Q327" s="11">
        <f>_xlfn.XLOOKUP(order[[#This Row],[order_id]],shipment[order_id],shipment[delivery_date])</f>
        <v>45492</v>
      </c>
      <c r="R327" s="3" t="str">
        <f>_xlfn.XLOOKUP(order[[#This Row],[order_id]],shipment[shipment_id],shipment[courier])</f>
        <v>Ekart</v>
      </c>
      <c r="S327" s="3">
        <f>order[[#This Row],[selling_price]]-order[[#This Row],[cost_price]]*order[[#This Row],[quantity]]-order[[#This Row],[discount]]</f>
        <v>-126923</v>
      </c>
      <c r="T327" s="3">
        <f>order[[#This Row],[quantity]]*order[[#This Row],[selling_price]]</f>
        <v>35409</v>
      </c>
    </row>
    <row r="328" spans="1:20" x14ac:dyDescent="0.3">
      <c r="A328">
        <v>327</v>
      </c>
      <c r="B328" s="11">
        <v>45318</v>
      </c>
      <c r="C328">
        <v>102</v>
      </c>
      <c r="D328" t="str">
        <f>_xlfn.XLOOKUP(order[[#This Row],[customer_id]],customer[customer_id],customer[customer_name])</f>
        <v>Aarav Sharma</v>
      </c>
      <c r="E328">
        <v>209</v>
      </c>
      <c r="F328">
        <v>3</v>
      </c>
      <c r="G328">
        <v>62360</v>
      </c>
      <c r="H328">
        <v>3082</v>
      </c>
      <c r="I328" t="s">
        <v>11</v>
      </c>
      <c r="J328" t="s">
        <v>10</v>
      </c>
      <c r="K328" t="str">
        <f>_xlfn.XLOOKUP(order[[#This Row],[customer_id]],customer[customer_id],customer[city])</f>
        <v>Delhi</v>
      </c>
      <c r="L328" t="str">
        <f>_xlfn.XLOOKUP(order[[#This Row],[customer_id]],customer[customer_id],customer[state])</f>
        <v>Delhi</v>
      </c>
      <c r="M328" t="str">
        <f>_xlfn.XLOOKUP(order[[#This Row],[product_id]],products!$A$2:$A$11,products!$B$2:$B$11)</f>
        <v>Milton Thermosteel Bottle</v>
      </c>
      <c r="N328" s="3" t="str">
        <f>_xlfn.XLOOKUP(order[[#This Row],[product_id]],products!$A$2:$A$11,products!$C$2:$C$11)</f>
        <v>Home &amp; Kitchen</v>
      </c>
      <c r="O328" s="3">
        <f>_xlfn.XLOOKUP(order[[#This Row],[product_id]],Table4[product_id],Table4[cost_price])</f>
        <v>800</v>
      </c>
      <c r="P328" s="11">
        <f>_xlfn.XLOOKUP(order[[#This Row],[order_id]],shipment[order_id],shipment[ship_date])</f>
        <v>45301</v>
      </c>
      <c r="Q328" s="11">
        <f>_xlfn.XLOOKUP(order[[#This Row],[order_id]],shipment[order_id],shipment[delivery_date])</f>
        <v>45307</v>
      </c>
      <c r="R328" s="3" t="str">
        <f>_xlfn.XLOOKUP(order[[#This Row],[order_id]],shipment[shipment_id],shipment[courier])</f>
        <v>Ekart</v>
      </c>
      <c r="S328" s="3">
        <f>order[[#This Row],[selling_price]]-order[[#This Row],[cost_price]]*order[[#This Row],[quantity]]-order[[#This Row],[discount]]</f>
        <v>56878</v>
      </c>
      <c r="T328" s="3">
        <f>order[[#This Row],[quantity]]*order[[#This Row],[selling_price]]</f>
        <v>187080</v>
      </c>
    </row>
    <row r="329" spans="1:20" x14ac:dyDescent="0.3">
      <c r="A329">
        <v>454</v>
      </c>
      <c r="B329" s="11">
        <v>45443</v>
      </c>
      <c r="C329">
        <v>264</v>
      </c>
      <c r="D329" t="str">
        <f>_xlfn.XLOOKUP(order[[#This Row],[customer_id]],customer[customer_id],customer[customer_name])</f>
        <v>Ishita Bose</v>
      </c>
      <c r="E329">
        <v>202</v>
      </c>
      <c r="F329">
        <v>4</v>
      </c>
      <c r="G329">
        <v>69020</v>
      </c>
      <c r="H329">
        <v>3660</v>
      </c>
      <c r="I329" t="s">
        <v>11</v>
      </c>
      <c r="J329" t="s">
        <v>14</v>
      </c>
      <c r="K329" t="str">
        <f>_xlfn.XLOOKUP(order[[#This Row],[customer_id]],customer[customer_id],customer[city])</f>
        <v>Delhi</v>
      </c>
      <c r="L329" t="str">
        <f>_xlfn.XLOOKUP(order[[#This Row],[customer_id]],customer[customer_id],customer[state])</f>
        <v>Delhi</v>
      </c>
      <c r="M329" t="str">
        <f>_xlfn.XLOOKUP(order[[#This Row],[product_id]],products!$A$2:$A$11,products!$B$2:$B$11)</f>
        <v>Samsung Galaxy S21</v>
      </c>
      <c r="N329" s="3" t="str">
        <f>_xlfn.XLOOKUP(order[[#This Row],[product_id]],products!$A$2:$A$11,products!$C$2:$C$11)</f>
        <v>Electronics</v>
      </c>
      <c r="O329" s="3">
        <f>_xlfn.XLOOKUP(order[[#This Row],[product_id]],Table4[product_id],Table4[cost_price])</f>
        <v>45000</v>
      </c>
      <c r="P329" s="11">
        <f>_xlfn.XLOOKUP(order[[#This Row],[order_id]],shipment[order_id],shipment[ship_date])</f>
        <v>45416</v>
      </c>
      <c r="Q329" s="11">
        <f>_xlfn.XLOOKUP(order[[#This Row],[order_id]],shipment[order_id],shipment[delivery_date])</f>
        <v>45418</v>
      </c>
      <c r="R329" s="3" t="str">
        <f>_xlfn.XLOOKUP(order[[#This Row],[order_id]],shipment[shipment_id],shipment[courier])</f>
        <v>BlueDart</v>
      </c>
      <c r="S329" s="3">
        <f>order[[#This Row],[selling_price]]-order[[#This Row],[cost_price]]*order[[#This Row],[quantity]]-order[[#This Row],[discount]]</f>
        <v>-114640</v>
      </c>
      <c r="T329" s="3">
        <f>order[[#This Row],[quantity]]*order[[#This Row],[selling_price]]</f>
        <v>276080</v>
      </c>
    </row>
    <row r="330" spans="1:20" x14ac:dyDescent="0.3">
      <c r="A330">
        <v>535</v>
      </c>
      <c r="B330" s="11">
        <v>45520</v>
      </c>
      <c r="C330">
        <v>278</v>
      </c>
      <c r="D330" t="str">
        <f>_xlfn.XLOOKUP(order[[#This Row],[customer_id]],customer[customer_id],customer[customer_name])</f>
        <v>Neha Kapoor</v>
      </c>
      <c r="E330">
        <v>202</v>
      </c>
      <c r="F330">
        <v>1</v>
      </c>
      <c r="G330">
        <v>43994</v>
      </c>
      <c r="H330">
        <v>3562</v>
      </c>
      <c r="I330" t="s">
        <v>11</v>
      </c>
      <c r="J330" t="s">
        <v>14</v>
      </c>
      <c r="K330" t="str">
        <f>_xlfn.XLOOKUP(order[[#This Row],[customer_id]],customer[customer_id],customer[city])</f>
        <v>Hyderabad</v>
      </c>
      <c r="L330" t="str">
        <f>_xlfn.XLOOKUP(order[[#This Row],[customer_id]],customer[customer_id],customer[state])</f>
        <v>Telangana</v>
      </c>
      <c r="M330" t="str">
        <f>_xlfn.XLOOKUP(order[[#This Row],[product_id]],products!$A$2:$A$11,products!$B$2:$B$11)</f>
        <v>Samsung Galaxy S21</v>
      </c>
      <c r="N330" s="3" t="str">
        <f>_xlfn.XLOOKUP(order[[#This Row],[product_id]],products!$A$2:$A$11,products!$C$2:$C$11)</f>
        <v>Electronics</v>
      </c>
      <c r="O330" s="3">
        <f>_xlfn.XLOOKUP(order[[#This Row],[product_id]],Table4[product_id],Table4[cost_price])</f>
        <v>45000</v>
      </c>
      <c r="P330" s="11">
        <f>_xlfn.XLOOKUP(order[[#This Row],[order_id]],shipment[order_id],shipment[ship_date])</f>
        <v>45638</v>
      </c>
      <c r="Q330" s="11">
        <f>_xlfn.XLOOKUP(order[[#This Row],[order_id]],shipment[order_id],shipment[delivery_date])</f>
        <v>45648</v>
      </c>
      <c r="R330" s="3" t="str">
        <f>_xlfn.XLOOKUP(order[[#This Row],[order_id]],shipment[shipment_id],shipment[courier])</f>
        <v>BlueDart</v>
      </c>
      <c r="S330" s="3">
        <f>order[[#This Row],[selling_price]]-order[[#This Row],[cost_price]]*order[[#This Row],[quantity]]-order[[#This Row],[discount]]</f>
        <v>-4568</v>
      </c>
      <c r="T330" s="3">
        <f>order[[#This Row],[quantity]]*order[[#This Row],[selling_price]]</f>
        <v>43994</v>
      </c>
    </row>
    <row r="331" spans="1:20" x14ac:dyDescent="0.3">
      <c r="A331">
        <v>330</v>
      </c>
      <c r="B331" s="11">
        <v>45647</v>
      </c>
      <c r="C331">
        <v>184</v>
      </c>
      <c r="D331" t="str">
        <f>_xlfn.XLOOKUP(order[[#This Row],[customer_id]],customer[customer_id],customer[customer_name])</f>
        <v>Arjun Nair</v>
      </c>
      <c r="E331">
        <v>209</v>
      </c>
      <c r="F331">
        <v>1</v>
      </c>
      <c r="G331">
        <v>41949</v>
      </c>
      <c r="H331">
        <v>2294</v>
      </c>
      <c r="I331" t="s">
        <v>13</v>
      </c>
      <c r="J331" t="s">
        <v>10</v>
      </c>
      <c r="K331" t="str">
        <f>_xlfn.XLOOKUP(order[[#This Row],[customer_id]],customer[customer_id],customer[city])</f>
        <v>Delhi</v>
      </c>
      <c r="L331" t="str">
        <f>_xlfn.XLOOKUP(order[[#This Row],[customer_id]],customer[customer_id],customer[state])</f>
        <v>Delhi</v>
      </c>
      <c r="M331" t="str">
        <f>_xlfn.XLOOKUP(order[[#This Row],[product_id]],products!$A$2:$A$11,products!$B$2:$B$11)</f>
        <v>Milton Thermosteel Bottle</v>
      </c>
      <c r="N331" s="3" t="str">
        <f>_xlfn.XLOOKUP(order[[#This Row],[product_id]],products!$A$2:$A$11,products!$C$2:$C$11)</f>
        <v>Home &amp; Kitchen</v>
      </c>
      <c r="O331" s="3">
        <f>_xlfn.XLOOKUP(order[[#This Row],[product_id]],Table4[product_id],Table4[cost_price])</f>
        <v>800</v>
      </c>
      <c r="P331" s="11">
        <f>_xlfn.XLOOKUP(order[[#This Row],[order_id]],shipment[order_id],shipment[ship_date])</f>
        <v>45313</v>
      </c>
      <c r="Q331" s="11">
        <f>_xlfn.XLOOKUP(order[[#This Row],[order_id]],shipment[order_id],shipment[delivery_date])</f>
        <v>45319</v>
      </c>
      <c r="R331" s="3" t="str">
        <f>_xlfn.XLOOKUP(order[[#This Row],[order_id]],shipment[shipment_id],shipment[courier])</f>
        <v>DTDC</v>
      </c>
      <c r="S331" s="3">
        <f>order[[#This Row],[selling_price]]-order[[#This Row],[cost_price]]*order[[#This Row],[quantity]]-order[[#This Row],[discount]]</f>
        <v>38855</v>
      </c>
      <c r="T331" s="3">
        <f>order[[#This Row],[quantity]]*order[[#This Row],[selling_price]]</f>
        <v>41949</v>
      </c>
    </row>
    <row r="332" spans="1:20" x14ac:dyDescent="0.3">
      <c r="A332">
        <v>331</v>
      </c>
      <c r="B332" s="11">
        <v>45519</v>
      </c>
      <c r="C332">
        <v>286</v>
      </c>
      <c r="D332" t="str">
        <f>_xlfn.XLOOKUP(order[[#This Row],[customer_id]],customer[customer_id],customer[customer_name])</f>
        <v>Arjun Nair</v>
      </c>
      <c r="E332">
        <v>204</v>
      </c>
      <c r="F332">
        <v>2</v>
      </c>
      <c r="G332">
        <v>41084</v>
      </c>
      <c r="H332">
        <v>3799</v>
      </c>
      <c r="I332" t="s">
        <v>13</v>
      </c>
      <c r="J332" t="s">
        <v>10</v>
      </c>
      <c r="K332" t="str">
        <f>_xlfn.XLOOKUP(order[[#This Row],[customer_id]],customer[customer_id],customer[city])</f>
        <v>Hyderabad</v>
      </c>
      <c r="L332" t="str">
        <f>_xlfn.XLOOKUP(order[[#This Row],[customer_id]],customer[customer_id],customer[state])</f>
        <v>Telangana</v>
      </c>
      <c r="M332" t="str">
        <f>_xlfn.XLOOKUP(order[[#This Row],[product_id]],products!$A$2:$A$11,products!$B$2:$B$11)</f>
        <v>Levi's Slim Fit Jeans</v>
      </c>
      <c r="N332" s="3" t="str">
        <f>_xlfn.XLOOKUP(order[[#This Row],[product_id]],products!$A$2:$A$11,products!$C$2:$C$11)</f>
        <v>Fashion</v>
      </c>
      <c r="O332" s="3">
        <f>_xlfn.XLOOKUP(order[[#This Row],[product_id]],Table4[product_id],Table4[cost_price])</f>
        <v>1800</v>
      </c>
      <c r="P332" s="11">
        <f>_xlfn.XLOOKUP(order[[#This Row],[order_id]],shipment[order_id],shipment[ship_date])</f>
        <v>45360</v>
      </c>
      <c r="Q332" s="11">
        <f>_xlfn.XLOOKUP(order[[#This Row],[order_id]],shipment[order_id],shipment[delivery_date])</f>
        <v>45368</v>
      </c>
      <c r="R332" s="3" t="str">
        <f>_xlfn.XLOOKUP(order[[#This Row],[order_id]],shipment[shipment_id],shipment[courier])</f>
        <v>Delhivery</v>
      </c>
      <c r="S332" s="3">
        <f>order[[#This Row],[selling_price]]-order[[#This Row],[cost_price]]*order[[#This Row],[quantity]]-order[[#This Row],[discount]]</f>
        <v>33685</v>
      </c>
      <c r="T332" s="3">
        <f>order[[#This Row],[quantity]]*order[[#This Row],[selling_price]]</f>
        <v>82168</v>
      </c>
    </row>
    <row r="333" spans="1:20" x14ac:dyDescent="0.3">
      <c r="A333">
        <v>332</v>
      </c>
      <c r="B333" s="11">
        <v>45440</v>
      </c>
      <c r="C333">
        <v>208</v>
      </c>
      <c r="D333" t="str">
        <f>_xlfn.XLOOKUP(order[[#This Row],[customer_id]],customer[customer_id],customer[customer_name])</f>
        <v>Arjun Nair</v>
      </c>
      <c r="E333">
        <v>203</v>
      </c>
      <c r="F333">
        <v>2</v>
      </c>
      <c r="G333">
        <v>55121</v>
      </c>
      <c r="H333">
        <v>2614</v>
      </c>
      <c r="I333" t="s">
        <v>11</v>
      </c>
      <c r="J333" t="s">
        <v>14</v>
      </c>
      <c r="K333" t="str">
        <f>_xlfn.XLOOKUP(order[[#This Row],[customer_id]],customer[customer_id],customer[city])</f>
        <v>Mumbai</v>
      </c>
      <c r="L333" t="str">
        <f>_xlfn.XLOOKUP(order[[#This Row],[customer_id]],customer[customer_id],customer[state])</f>
        <v>Maharashtra</v>
      </c>
      <c r="M333" t="str">
        <f>_xlfn.XLOOKUP(order[[#This Row],[product_id]],products!$A$2:$A$11,products!$B$2:$B$11)</f>
        <v>Nike Air Max Shoes</v>
      </c>
      <c r="N333" s="3" t="str">
        <f>_xlfn.XLOOKUP(order[[#This Row],[product_id]],products!$A$2:$A$11,products!$C$2:$C$11)</f>
        <v>Fashion</v>
      </c>
      <c r="O333" s="3">
        <f>_xlfn.XLOOKUP(order[[#This Row],[product_id]],Table4[product_id],Table4[cost_price])</f>
        <v>4000</v>
      </c>
      <c r="P333" s="11">
        <f>_xlfn.XLOOKUP(order[[#This Row],[order_id]],shipment[order_id],shipment[ship_date])</f>
        <v>45374</v>
      </c>
      <c r="Q333" s="11">
        <f>_xlfn.XLOOKUP(order[[#This Row],[order_id]],shipment[order_id],shipment[delivery_date])</f>
        <v>45383</v>
      </c>
      <c r="R333" s="3" t="str">
        <f>_xlfn.XLOOKUP(order[[#This Row],[order_id]],shipment[shipment_id],shipment[courier])</f>
        <v>DTDC</v>
      </c>
      <c r="S333" s="3">
        <f>order[[#This Row],[selling_price]]-order[[#This Row],[cost_price]]*order[[#This Row],[quantity]]-order[[#This Row],[discount]]</f>
        <v>44507</v>
      </c>
      <c r="T333" s="3">
        <f>order[[#This Row],[quantity]]*order[[#This Row],[selling_price]]</f>
        <v>110242</v>
      </c>
    </row>
    <row r="334" spans="1:20" x14ac:dyDescent="0.3">
      <c r="A334">
        <v>333</v>
      </c>
      <c r="B334" s="11">
        <v>45355</v>
      </c>
      <c r="C334">
        <v>222</v>
      </c>
      <c r="D334" t="str">
        <f>_xlfn.XLOOKUP(order[[#This Row],[customer_id]],customer[customer_id],customer[customer_name])</f>
        <v>Ananya Gupta</v>
      </c>
      <c r="E334">
        <v>210</v>
      </c>
      <c r="F334">
        <v>1</v>
      </c>
      <c r="G334">
        <v>62768</v>
      </c>
      <c r="H334">
        <v>342</v>
      </c>
      <c r="I334" t="s">
        <v>13</v>
      </c>
      <c r="J334" t="s">
        <v>10</v>
      </c>
      <c r="K334" t="str">
        <f>_xlfn.XLOOKUP(order[[#This Row],[customer_id]],customer[customer_id],customer[city])</f>
        <v>Chennai</v>
      </c>
      <c r="L334" t="str">
        <f>_xlfn.XLOOKUP(order[[#This Row],[customer_id]],customer[customer_id],customer[state])</f>
        <v>Tamil Nadu</v>
      </c>
      <c r="M334" t="str">
        <f>_xlfn.XLOOKUP(order[[#This Row],[product_id]],products!$A$2:$A$11,products!$B$2:$B$11)</f>
        <v>LG 43 Inch Smart TV</v>
      </c>
      <c r="N334" s="3" t="str">
        <f>_xlfn.XLOOKUP(order[[#This Row],[product_id]],products!$A$2:$A$11,products!$C$2:$C$11)</f>
        <v>Electronics</v>
      </c>
      <c r="O334" s="3">
        <f>_xlfn.XLOOKUP(order[[#This Row],[product_id]],Table4[product_id],Table4[cost_price])</f>
        <v>30000</v>
      </c>
      <c r="P334" s="11">
        <f>_xlfn.XLOOKUP(order[[#This Row],[order_id]],shipment[order_id],shipment[ship_date])</f>
        <v>45654</v>
      </c>
      <c r="Q334" s="11">
        <f>_xlfn.XLOOKUP(order[[#This Row],[order_id]],shipment[order_id],shipment[delivery_date])</f>
        <v>45662</v>
      </c>
      <c r="R334" s="3" t="str">
        <f>_xlfn.XLOOKUP(order[[#This Row],[order_id]],shipment[shipment_id],shipment[courier])</f>
        <v>BlueDart</v>
      </c>
      <c r="S334" s="3">
        <f>order[[#This Row],[selling_price]]-order[[#This Row],[cost_price]]*order[[#This Row],[quantity]]-order[[#This Row],[discount]]</f>
        <v>32426</v>
      </c>
      <c r="T334" s="3">
        <f>order[[#This Row],[quantity]]*order[[#This Row],[selling_price]]</f>
        <v>62768</v>
      </c>
    </row>
    <row r="335" spans="1:20" x14ac:dyDescent="0.3">
      <c r="A335">
        <v>135</v>
      </c>
      <c r="B335" s="11">
        <v>45577</v>
      </c>
      <c r="C335">
        <v>214</v>
      </c>
      <c r="D335" t="str">
        <f>_xlfn.XLOOKUP(order[[#This Row],[customer_id]],customer[customer_id],customer[customer_name])</f>
        <v>Ishita Bose</v>
      </c>
      <c r="E335">
        <v>202</v>
      </c>
      <c r="F335">
        <v>1</v>
      </c>
      <c r="G335">
        <v>36548</v>
      </c>
      <c r="H335">
        <v>3539</v>
      </c>
      <c r="I335" t="s">
        <v>11</v>
      </c>
      <c r="J335" t="s">
        <v>14</v>
      </c>
      <c r="K335" t="str">
        <f>_xlfn.XLOOKUP(order[[#This Row],[customer_id]],customer[customer_id],customer[city])</f>
        <v>Mumbai</v>
      </c>
      <c r="L335" t="str">
        <f>_xlfn.XLOOKUP(order[[#This Row],[customer_id]],customer[customer_id],customer[state])</f>
        <v>Maharashtra</v>
      </c>
      <c r="M335" t="str">
        <f>_xlfn.XLOOKUP(order[[#This Row],[product_id]],products!$A$2:$A$11,products!$B$2:$B$11)</f>
        <v>Samsung Galaxy S21</v>
      </c>
      <c r="N335" s="3" t="str">
        <f>_xlfn.XLOOKUP(order[[#This Row],[product_id]],products!$A$2:$A$11,products!$C$2:$C$11)</f>
        <v>Electronics</v>
      </c>
      <c r="O335" s="3">
        <f>_xlfn.XLOOKUP(order[[#This Row],[product_id]],Table4[product_id],Table4[cost_price])</f>
        <v>45000</v>
      </c>
      <c r="P335" s="11">
        <f>_xlfn.XLOOKUP(order[[#This Row],[order_id]],shipment[order_id],shipment[ship_date])</f>
        <v>45539</v>
      </c>
      <c r="Q335" s="11">
        <f>_xlfn.XLOOKUP(order[[#This Row],[order_id]],shipment[order_id],shipment[delivery_date])</f>
        <v>45541</v>
      </c>
      <c r="R335" s="3" t="str">
        <f>_xlfn.XLOOKUP(order[[#This Row],[order_id]],shipment[shipment_id],shipment[courier])</f>
        <v>Ekart</v>
      </c>
      <c r="S335" s="3">
        <f>order[[#This Row],[selling_price]]-order[[#This Row],[cost_price]]*order[[#This Row],[quantity]]-order[[#This Row],[discount]]</f>
        <v>-11991</v>
      </c>
      <c r="T335" s="3">
        <f>order[[#This Row],[quantity]]*order[[#This Row],[selling_price]]</f>
        <v>36548</v>
      </c>
    </row>
    <row r="336" spans="1:20" x14ac:dyDescent="0.3">
      <c r="A336">
        <v>335</v>
      </c>
      <c r="B336" s="11">
        <v>45416</v>
      </c>
      <c r="C336">
        <v>136</v>
      </c>
      <c r="D336" t="str">
        <f>_xlfn.XLOOKUP(order[[#This Row],[customer_id]],customer[customer_id],customer[customer_name])</f>
        <v>Meera Joshi</v>
      </c>
      <c r="E336">
        <v>204</v>
      </c>
      <c r="F336">
        <v>2</v>
      </c>
      <c r="G336">
        <v>65054</v>
      </c>
      <c r="H336">
        <v>684</v>
      </c>
      <c r="I336" t="s">
        <v>13</v>
      </c>
      <c r="J336" t="s">
        <v>10</v>
      </c>
      <c r="K336" t="str">
        <f>_xlfn.XLOOKUP(order[[#This Row],[customer_id]],customer[customer_id],customer[city])</f>
        <v>Hyderabad</v>
      </c>
      <c r="L336" t="str">
        <f>_xlfn.XLOOKUP(order[[#This Row],[customer_id]],customer[customer_id],customer[state])</f>
        <v>Telangana</v>
      </c>
      <c r="M336" t="str">
        <f>_xlfn.XLOOKUP(order[[#This Row],[product_id]],products!$A$2:$A$11,products!$B$2:$B$11)</f>
        <v>Levi's Slim Fit Jeans</v>
      </c>
      <c r="N336" s="3" t="str">
        <f>_xlfn.XLOOKUP(order[[#This Row],[product_id]],products!$A$2:$A$11,products!$C$2:$C$11)</f>
        <v>Fashion</v>
      </c>
      <c r="O336" s="3">
        <f>_xlfn.XLOOKUP(order[[#This Row],[product_id]],Table4[product_id],Table4[cost_price])</f>
        <v>1800</v>
      </c>
      <c r="P336" s="11">
        <f>_xlfn.XLOOKUP(order[[#This Row],[order_id]],shipment[order_id],shipment[ship_date])</f>
        <v>45600</v>
      </c>
      <c r="Q336" s="11">
        <f>_xlfn.XLOOKUP(order[[#This Row],[order_id]],shipment[order_id],shipment[delivery_date])</f>
        <v>45606</v>
      </c>
      <c r="R336" s="3" t="str">
        <f>_xlfn.XLOOKUP(order[[#This Row],[order_id]],shipment[shipment_id],shipment[courier])</f>
        <v>BlueDart</v>
      </c>
      <c r="S336" s="3">
        <f>order[[#This Row],[selling_price]]-order[[#This Row],[cost_price]]*order[[#This Row],[quantity]]-order[[#This Row],[discount]]</f>
        <v>60770</v>
      </c>
      <c r="T336" s="3">
        <f>order[[#This Row],[quantity]]*order[[#This Row],[selling_price]]</f>
        <v>130108</v>
      </c>
    </row>
    <row r="337" spans="1:20" x14ac:dyDescent="0.3">
      <c r="A337">
        <v>336</v>
      </c>
      <c r="B337" s="11">
        <v>45472</v>
      </c>
      <c r="C337">
        <v>231</v>
      </c>
      <c r="D337" t="str">
        <f>_xlfn.XLOOKUP(order[[#This Row],[customer_id]],customer[customer_id],customer[customer_name])</f>
        <v>Neha Kapoor</v>
      </c>
      <c r="E337">
        <v>206</v>
      </c>
      <c r="F337">
        <v>2</v>
      </c>
      <c r="G337">
        <v>69284</v>
      </c>
      <c r="H337">
        <v>3090</v>
      </c>
      <c r="I337" t="s">
        <v>15</v>
      </c>
      <c r="J337" t="s">
        <v>14</v>
      </c>
      <c r="K337" t="str">
        <f>_xlfn.XLOOKUP(order[[#This Row],[customer_id]],customer[customer_id],customer[city])</f>
        <v>Hyderabad</v>
      </c>
      <c r="L337" t="str">
        <f>_xlfn.XLOOKUP(order[[#This Row],[customer_id]],customer[customer_id],customer[state])</f>
        <v>Telangana</v>
      </c>
      <c r="M337" t="str">
        <f>_xlfn.XLOOKUP(order[[#This Row],[product_id]],products!$A$2:$A$11,products!$B$2:$B$11)</f>
        <v>Philips Air Fryer</v>
      </c>
      <c r="N337" s="3" t="str">
        <f>_xlfn.XLOOKUP(order[[#This Row],[product_id]],products!$A$2:$A$11,products!$C$2:$C$11)</f>
        <v>Home &amp; Kitchen</v>
      </c>
      <c r="O337" s="3">
        <f>_xlfn.XLOOKUP(order[[#This Row],[product_id]],Table4[product_id],Table4[cost_price])</f>
        <v>7000</v>
      </c>
      <c r="P337" s="11">
        <f>_xlfn.XLOOKUP(order[[#This Row],[order_id]],shipment[order_id],shipment[ship_date])</f>
        <v>45480</v>
      </c>
      <c r="Q337" s="11">
        <f>_xlfn.XLOOKUP(order[[#This Row],[order_id]],shipment[order_id],shipment[delivery_date])</f>
        <v>45485</v>
      </c>
      <c r="R337" s="3" t="str">
        <f>_xlfn.XLOOKUP(order[[#This Row],[order_id]],shipment[shipment_id],shipment[courier])</f>
        <v>Delhivery</v>
      </c>
      <c r="S337" s="3">
        <f>order[[#This Row],[selling_price]]-order[[#This Row],[cost_price]]*order[[#This Row],[quantity]]-order[[#This Row],[discount]]</f>
        <v>52194</v>
      </c>
      <c r="T337" s="3">
        <f>order[[#This Row],[quantity]]*order[[#This Row],[selling_price]]</f>
        <v>138568</v>
      </c>
    </row>
    <row r="338" spans="1:20" x14ac:dyDescent="0.3">
      <c r="A338">
        <v>337</v>
      </c>
      <c r="B338" s="11">
        <v>45479</v>
      </c>
      <c r="C338">
        <v>133</v>
      </c>
      <c r="D338" t="str">
        <f>_xlfn.XLOOKUP(order[[#This Row],[customer_id]],customer[customer_id],customer[customer_name])</f>
        <v>Manish Yadav</v>
      </c>
      <c r="E338">
        <v>203</v>
      </c>
      <c r="F338">
        <v>2</v>
      </c>
      <c r="G338">
        <v>13554</v>
      </c>
      <c r="H338">
        <v>4192</v>
      </c>
      <c r="I338" t="s">
        <v>13</v>
      </c>
      <c r="J338" t="s">
        <v>10</v>
      </c>
      <c r="K338" t="str">
        <f>_xlfn.XLOOKUP(order[[#This Row],[customer_id]],customer[customer_id],customer[city])</f>
        <v>Hyderabad</v>
      </c>
      <c r="L338" t="str">
        <f>_xlfn.XLOOKUP(order[[#This Row],[customer_id]],customer[customer_id],customer[state])</f>
        <v>Telangana</v>
      </c>
      <c r="M338" t="str">
        <f>_xlfn.XLOOKUP(order[[#This Row],[product_id]],products!$A$2:$A$11,products!$B$2:$B$11)</f>
        <v>Nike Air Max Shoes</v>
      </c>
      <c r="N338" s="3" t="str">
        <f>_xlfn.XLOOKUP(order[[#This Row],[product_id]],products!$A$2:$A$11,products!$C$2:$C$11)</f>
        <v>Fashion</v>
      </c>
      <c r="O338" s="3">
        <f>_xlfn.XLOOKUP(order[[#This Row],[product_id]],Table4[product_id],Table4[cost_price])</f>
        <v>4000</v>
      </c>
      <c r="P338" s="11">
        <f>_xlfn.XLOOKUP(order[[#This Row],[order_id]],shipment[order_id],shipment[ship_date])</f>
        <v>45374</v>
      </c>
      <c r="Q338" s="11">
        <f>_xlfn.XLOOKUP(order[[#This Row],[order_id]],shipment[order_id],shipment[delivery_date])</f>
        <v>45382</v>
      </c>
      <c r="R338" s="3" t="str">
        <f>_xlfn.XLOOKUP(order[[#This Row],[order_id]],shipment[shipment_id],shipment[courier])</f>
        <v>Delhivery</v>
      </c>
      <c r="S338" s="3">
        <f>order[[#This Row],[selling_price]]-order[[#This Row],[cost_price]]*order[[#This Row],[quantity]]-order[[#This Row],[discount]]</f>
        <v>1362</v>
      </c>
      <c r="T338" s="3">
        <f>order[[#This Row],[quantity]]*order[[#This Row],[selling_price]]</f>
        <v>27108</v>
      </c>
    </row>
    <row r="339" spans="1:20" x14ac:dyDescent="0.3">
      <c r="A339">
        <v>338</v>
      </c>
      <c r="B339" s="11">
        <v>45597</v>
      </c>
      <c r="C339">
        <v>121</v>
      </c>
      <c r="D339" t="str">
        <f>_xlfn.XLOOKUP(order[[#This Row],[customer_id]],customer[customer_id],customer[customer_name])</f>
        <v>Rohit Verma</v>
      </c>
      <c r="E339">
        <v>205</v>
      </c>
      <c r="F339">
        <v>3</v>
      </c>
      <c r="G339">
        <v>65280</v>
      </c>
      <c r="H339">
        <v>2939</v>
      </c>
      <c r="I339" t="s">
        <v>11</v>
      </c>
      <c r="J339" t="s">
        <v>10</v>
      </c>
      <c r="K339" t="str">
        <f>_xlfn.XLOOKUP(order[[#This Row],[customer_id]],customer[customer_id],customer[city])</f>
        <v>Bangalore</v>
      </c>
      <c r="L339" t="str">
        <f>_xlfn.XLOOKUP(order[[#This Row],[customer_id]],customer[customer_id],customer[state])</f>
        <v>Karnataka</v>
      </c>
      <c r="M339" t="str">
        <f>_xlfn.XLOOKUP(order[[#This Row],[product_id]],products!$A$2:$A$11,products!$B$2:$B$11)</f>
        <v>Prestige Pressure Cooker 5L</v>
      </c>
      <c r="N339" s="3" t="str">
        <f>_xlfn.XLOOKUP(order[[#This Row],[product_id]],products!$A$2:$A$11,products!$C$2:$C$11)</f>
        <v>Home &amp; Kitchen</v>
      </c>
      <c r="O339" s="3">
        <f>_xlfn.XLOOKUP(order[[#This Row],[product_id]],Table4[product_id],Table4[cost_price])</f>
        <v>1200</v>
      </c>
      <c r="P339" s="11">
        <f>_xlfn.XLOOKUP(order[[#This Row],[order_id]],shipment[order_id],shipment[ship_date])</f>
        <v>45579</v>
      </c>
      <c r="Q339" s="11">
        <f>_xlfn.XLOOKUP(order[[#This Row],[order_id]],shipment[order_id],shipment[delivery_date])</f>
        <v>45585</v>
      </c>
      <c r="R339" s="3" t="str">
        <f>_xlfn.XLOOKUP(order[[#This Row],[order_id]],shipment[shipment_id],shipment[courier])</f>
        <v>DTDC</v>
      </c>
      <c r="S339" s="3">
        <f>order[[#This Row],[selling_price]]-order[[#This Row],[cost_price]]*order[[#This Row],[quantity]]-order[[#This Row],[discount]]</f>
        <v>58741</v>
      </c>
      <c r="T339" s="3">
        <f>order[[#This Row],[quantity]]*order[[#This Row],[selling_price]]</f>
        <v>195840</v>
      </c>
    </row>
    <row r="340" spans="1:20" x14ac:dyDescent="0.3">
      <c r="A340">
        <v>455</v>
      </c>
      <c r="B340" s="11">
        <v>45609</v>
      </c>
      <c r="C340">
        <v>255</v>
      </c>
      <c r="D340" t="str">
        <f>_xlfn.XLOOKUP(order[[#This Row],[customer_id]],customer[customer_id],customer[customer_name])</f>
        <v>Meera Joshi</v>
      </c>
      <c r="E340">
        <v>202</v>
      </c>
      <c r="F340">
        <v>4</v>
      </c>
      <c r="G340">
        <v>49409</v>
      </c>
      <c r="H340">
        <v>3463</v>
      </c>
      <c r="I340" t="s">
        <v>15</v>
      </c>
      <c r="J340" t="s">
        <v>12</v>
      </c>
      <c r="K340" t="str">
        <f>_xlfn.XLOOKUP(order[[#This Row],[customer_id]],customer[customer_id],customer[city])</f>
        <v>Ahmedabad</v>
      </c>
      <c r="L340" t="str">
        <f>_xlfn.XLOOKUP(order[[#This Row],[customer_id]],customer[customer_id],customer[state])</f>
        <v>Gujarat</v>
      </c>
      <c r="M340" t="str">
        <f>_xlfn.XLOOKUP(order[[#This Row],[product_id]],products!$A$2:$A$11,products!$B$2:$B$11)</f>
        <v>Samsung Galaxy S21</v>
      </c>
      <c r="N340" s="3" t="str">
        <f>_xlfn.XLOOKUP(order[[#This Row],[product_id]],products!$A$2:$A$11,products!$C$2:$C$11)</f>
        <v>Electronics</v>
      </c>
      <c r="O340" s="3">
        <f>_xlfn.XLOOKUP(order[[#This Row],[product_id]],Table4[product_id],Table4[cost_price])</f>
        <v>45000</v>
      </c>
      <c r="P340" s="11">
        <f>_xlfn.XLOOKUP(order[[#This Row],[order_id]],shipment[order_id],shipment[ship_date])</f>
        <v>45314</v>
      </c>
      <c r="Q340" s="11">
        <f>_xlfn.XLOOKUP(order[[#This Row],[order_id]],shipment[order_id],shipment[delivery_date])</f>
        <v>45319</v>
      </c>
      <c r="R340" s="3" t="str">
        <f>_xlfn.XLOOKUP(order[[#This Row],[order_id]],shipment[shipment_id],shipment[courier])</f>
        <v>BlueDart</v>
      </c>
      <c r="S340" s="3">
        <f>order[[#This Row],[selling_price]]-order[[#This Row],[cost_price]]*order[[#This Row],[quantity]]-order[[#This Row],[discount]]</f>
        <v>-134054</v>
      </c>
      <c r="T340" s="3">
        <f>order[[#This Row],[quantity]]*order[[#This Row],[selling_price]]</f>
        <v>197636</v>
      </c>
    </row>
    <row r="341" spans="1:20" x14ac:dyDescent="0.3">
      <c r="A341">
        <v>340</v>
      </c>
      <c r="B341" s="11">
        <v>45563</v>
      </c>
      <c r="C341">
        <v>182</v>
      </c>
      <c r="D341" t="str">
        <f>_xlfn.XLOOKUP(order[[#This Row],[customer_id]],customer[customer_id],customer[customer_name])</f>
        <v>Meera Joshi</v>
      </c>
      <c r="E341">
        <v>204</v>
      </c>
      <c r="F341">
        <v>4</v>
      </c>
      <c r="G341">
        <v>23493</v>
      </c>
      <c r="H341">
        <v>1626</v>
      </c>
      <c r="I341" t="s">
        <v>13</v>
      </c>
      <c r="J341" t="s">
        <v>12</v>
      </c>
      <c r="K341" t="str">
        <f>_xlfn.XLOOKUP(order[[#This Row],[customer_id]],customer[customer_id],customer[city])</f>
        <v>Delhi</v>
      </c>
      <c r="L341" t="str">
        <f>_xlfn.XLOOKUP(order[[#This Row],[customer_id]],customer[customer_id],customer[state])</f>
        <v>Delhi</v>
      </c>
      <c r="M341" t="str">
        <f>_xlfn.XLOOKUP(order[[#This Row],[product_id]],products!$A$2:$A$11,products!$B$2:$B$11)</f>
        <v>Levi's Slim Fit Jeans</v>
      </c>
      <c r="N341" s="3" t="str">
        <f>_xlfn.XLOOKUP(order[[#This Row],[product_id]],products!$A$2:$A$11,products!$C$2:$C$11)</f>
        <v>Fashion</v>
      </c>
      <c r="O341" s="3">
        <f>_xlfn.XLOOKUP(order[[#This Row],[product_id]],Table4[product_id],Table4[cost_price])</f>
        <v>1800</v>
      </c>
      <c r="P341" s="11">
        <f>_xlfn.XLOOKUP(order[[#This Row],[order_id]],shipment[order_id],shipment[ship_date])</f>
        <v>45380</v>
      </c>
      <c r="Q341" s="11">
        <f>_xlfn.XLOOKUP(order[[#This Row],[order_id]],shipment[order_id],shipment[delivery_date])</f>
        <v>45382</v>
      </c>
      <c r="R341" s="3" t="str">
        <f>_xlfn.XLOOKUP(order[[#This Row],[order_id]],shipment[shipment_id],shipment[courier])</f>
        <v>Ekart</v>
      </c>
      <c r="S341" s="3">
        <f>order[[#This Row],[selling_price]]-order[[#This Row],[cost_price]]*order[[#This Row],[quantity]]-order[[#This Row],[discount]]</f>
        <v>14667</v>
      </c>
      <c r="T341" s="3">
        <f>order[[#This Row],[quantity]]*order[[#This Row],[selling_price]]</f>
        <v>93972</v>
      </c>
    </row>
    <row r="342" spans="1:20" x14ac:dyDescent="0.3">
      <c r="A342">
        <v>109</v>
      </c>
      <c r="B342" s="11">
        <v>45609</v>
      </c>
      <c r="C342">
        <v>240</v>
      </c>
      <c r="D342" t="str">
        <f>_xlfn.XLOOKUP(order[[#This Row],[customer_id]],customer[customer_id],customer[customer_name])</f>
        <v>Ananya Gupta</v>
      </c>
      <c r="E342">
        <v>202</v>
      </c>
      <c r="F342">
        <v>2</v>
      </c>
      <c r="G342">
        <v>6357</v>
      </c>
      <c r="H342">
        <v>3441</v>
      </c>
      <c r="I342" t="s">
        <v>13</v>
      </c>
      <c r="J342" t="s">
        <v>12</v>
      </c>
      <c r="K342" t="str">
        <f>_xlfn.XLOOKUP(order[[#This Row],[customer_id]],customer[customer_id],customer[city])</f>
        <v>Ahmedabad</v>
      </c>
      <c r="L342" t="str">
        <f>_xlfn.XLOOKUP(order[[#This Row],[customer_id]],customer[customer_id],customer[state])</f>
        <v>Gujarat</v>
      </c>
      <c r="M342" t="str">
        <f>_xlfn.XLOOKUP(order[[#This Row],[product_id]],products!$A$2:$A$11,products!$B$2:$B$11)</f>
        <v>Samsung Galaxy S21</v>
      </c>
      <c r="N342" s="3" t="str">
        <f>_xlfn.XLOOKUP(order[[#This Row],[product_id]],products!$A$2:$A$11,products!$C$2:$C$11)</f>
        <v>Electronics</v>
      </c>
      <c r="O342" s="3">
        <f>_xlfn.XLOOKUP(order[[#This Row],[product_id]],Table4[product_id],Table4[cost_price])</f>
        <v>45000</v>
      </c>
      <c r="P342" s="11">
        <f>_xlfn.XLOOKUP(order[[#This Row],[order_id]],shipment[order_id],shipment[ship_date])</f>
        <v>45396</v>
      </c>
      <c r="Q342" s="11">
        <f>_xlfn.XLOOKUP(order[[#This Row],[order_id]],shipment[order_id],shipment[delivery_date])</f>
        <v>45397</v>
      </c>
      <c r="R342" s="3" t="str">
        <f>_xlfn.XLOOKUP(order[[#This Row],[order_id]],shipment[shipment_id],shipment[courier])</f>
        <v>Delhivery</v>
      </c>
      <c r="S342" s="3">
        <f>order[[#This Row],[selling_price]]-order[[#This Row],[cost_price]]*order[[#This Row],[quantity]]-order[[#This Row],[discount]]</f>
        <v>-87084</v>
      </c>
      <c r="T342" s="3">
        <f>order[[#This Row],[quantity]]*order[[#This Row],[selling_price]]</f>
        <v>12714</v>
      </c>
    </row>
    <row r="343" spans="1:20" x14ac:dyDescent="0.3">
      <c r="A343">
        <v>342</v>
      </c>
      <c r="B343" s="11">
        <v>45305</v>
      </c>
      <c r="C343">
        <v>278</v>
      </c>
      <c r="D343" t="str">
        <f>_xlfn.XLOOKUP(order[[#This Row],[customer_id]],customer[customer_id],customer[customer_name])</f>
        <v>Neha Kapoor</v>
      </c>
      <c r="E343">
        <v>205</v>
      </c>
      <c r="F343">
        <v>3</v>
      </c>
      <c r="G343">
        <v>64599</v>
      </c>
      <c r="H343">
        <v>152</v>
      </c>
      <c r="I343" t="s">
        <v>9</v>
      </c>
      <c r="J343" t="s">
        <v>10</v>
      </c>
      <c r="K343" t="str">
        <f>_xlfn.XLOOKUP(order[[#This Row],[customer_id]],customer[customer_id],customer[city])</f>
        <v>Hyderabad</v>
      </c>
      <c r="L343" t="str">
        <f>_xlfn.XLOOKUP(order[[#This Row],[customer_id]],customer[customer_id],customer[state])</f>
        <v>Telangana</v>
      </c>
      <c r="M343" t="str">
        <f>_xlfn.XLOOKUP(order[[#This Row],[product_id]],products!$A$2:$A$11,products!$B$2:$B$11)</f>
        <v>Prestige Pressure Cooker 5L</v>
      </c>
      <c r="N343" s="3" t="str">
        <f>_xlfn.XLOOKUP(order[[#This Row],[product_id]],products!$A$2:$A$11,products!$C$2:$C$11)</f>
        <v>Home &amp; Kitchen</v>
      </c>
      <c r="O343" s="3">
        <f>_xlfn.XLOOKUP(order[[#This Row],[product_id]],Table4[product_id],Table4[cost_price])</f>
        <v>1200</v>
      </c>
      <c r="P343" s="11">
        <f>_xlfn.XLOOKUP(order[[#This Row],[order_id]],shipment[order_id],shipment[ship_date])</f>
        <v>45442</v>
      </c>
      <c r="Q343" s="11">
        <f>_xlfn.XLOOKUP(order[[#This Row],[order_id]],shipment[order_id],shipment[delivery_date])</f>
        <v>45446</v>
      </c>
      <c r="R343" s="3" t="str">
        <f>_xlfn.XLOOKUP(order[[#This Row],[order_id]],shipment[shipment_id],shipment[courier])</f>
        <v>Delhivery</v>
      </c>
      <c r="S343" s="3">
        <f>order[[#This Row],[selling_price]]-order[[#This Row],[cost_price]]*order[[#This Row],[quantity]]-order[[#This Row],[discount]]</f>
        <v>60847</v>
      </c>
      <c r="T343" s="3">
        <f>order[[#This Row],[quantity]]*order[[#This Row],[selling_price]]</f>
        <v>193797</v>
      </c>
    </row>
    <row r="344" spans="1:20" x14ac:dyDescent="0.3">
      <c r="A344">
        <v>409</v>
      </c>
      <c r="B344" s="11">
        <v>45441</v>
      </c>
      <c r="C344">
        <v>270</v>
      </c>
      <c r="D344" t="str">
        <f>_xlfn.XLOOKUP(order[[#This Row],[customer_id]],customer[customer_id],customer[customer_name])</f>
        <v>Karan Patel</v>
      </c>
      <c r="E344">
        <v>202</v>
      </c>
      <c r="F344">
        <v>4</v>
      </c>
      <c r="G344">
        <v>42795</v>
      </c>
      <c r="H344">
        <v>3411</v>
      </c>
      <c r="I344" t="s">
        <v>13</v>
      </c>
      <c r="J344" t="s">
        <v>14</v>
      </c>
      <c r="K344" t="str">
        <f>_xlfn.XLOOKUP(order[[#This Row],[customer_id]],customer[customer_id],customer[city])</f>
        <v>Mumbai</v>
      </c>
      <c r="L344" t="str">
        <f>_xlfn.XLOOKUP(order[[#This Row],[customer_id]],customer[customer_id],customer[state])</f>
        <v>Maharashtra</v>
      </c>
      <c r="M344" t="str">
        <f>_xlfn.XLOOKUP(order[[#This Row],[product_id]],products!$A$2:$A$11,products!$B$2:$B$11)</f>
        <v>Samsung Galaxy S21</v>
      </c>
      <c r="N344" s="3" t="str">
        <f>_xlfn.XLOOKUP(order[[#This Row],[product_id]],products!$A$2:$A$11,products!$C$2:$C$11)</f>
        <v>Electronics</v>
      </c>
      <c r="O344" s="3">
        <f>_xlfn.XLOOKUP(order[[#This Row],[product_id]],Table4[product_id],Table4[cost_price])</f>
        <v>45000</v>
      </c>
      <c r="P344" s="11">
        <f>_xlfn.XLOOKUP(order[[#This Row],[order_id]],shipment[order_id],shipment[ship_date])</f>
        <v>45484</v>
      </c>
      <c r="Q344" s="11">
        <f>_xlfn.XLOOKUP(order[[#This Row],[order_id]],shipment[order_id],shipment[delivery_date])</f>
        <v>45487</v>
      </c>
      <c r="R344" s="3" t="str">
        <f>_xlfn.XLOOKUP(order[[#This Row],[order_id]],shipment[shipment_id],shipment[courier])</f>
        <v>DTDC</v>
      </c>
      <c r="S344" s="3">
        <f>order[[#This Row],[selling_price]]-order[[#This Row],[cost_price]]*order[[#This Row],[quantity]]-order[[#This Row],[discount]]</f>
        <v>-140616</v>
      </c>
      <c r="T344" s="3">
        <f>order[[#This Row],[quantity]]*order[[#This Row],[selling_price]]</f>
        <v>171180</v>
      </c>
    </row>
    <row r="345" spans="1:20" x14ac:dyDescent="0.3">
      <c r="A345">
        <v>344</v>
      </c>
      <c r="B345" s="11">
        <v>45514</v>
      </c>
      <c r="C345">
        <v>298</v>
      </c>
      <c r="D345" t="str">
        <f>_xlfn.XLOOKUP(order[[#This Row],[customer_id]],customer[customer_id],customer[customer_name])</f>
        <v>Karan Patel</v>
      </c>
      <c r="E345">
        <v>205</v>
      </c>
      <c r="F345">
        <v>3</v>
      </c>
      <c r="G345">
        <v>21703</v>
      </c>
      <c r="H345">
        <v>1847</v>
      </c>
      <c r="I345" t="s">
        <v>15</v>
      </c>
      <c r="J345" t="s">
        <v>12</v>
      </c>
      <c r="K345" t="str">
        <f>_xlfn.XLOOKUP(order[[#This Row],[customer_id]],customer[customer_id],customer[city])</f>
        <v>Bangalore</v>
      </c>
      <c r="L345" t="str">
        <f>_xlfn.XLOOKUP(order[[#This Row],[customer_id]],customer[customer_id],customer[state])</f>
        <v>Karnataka</v>
      </c>
      <c r="M345" t="str">
        <f>_xlfn.XLOOKUP(order[[#This Row],[product_id]],products!$A$2:$A$11,products!$B$2:$B$11)</f>
        <v>Prestige Pressure Cooker 5L</v>
      </c>
      <c r="N345" s="3" t="str">
        <f>_xlfn.XLOOKUP(order[[#This Row],[product_id]],products!$A$2:$A$11,products!$C$2:$C$11)</f>
        <v>Home &amp; Kitchen</v>
      </c>
      <c r="O345" s="3">
        <f>_xlfn.XLOOKUP(order[[#This Row],[product_id]],Table4[product_id],Table4[cost_price])</f>
        <v>1200</v>
      </c>
      <c r="P345" s="11">
        <f>_xlfn.XLOOKUP(order[[#This Row],[order_id]],shipment[order_id],shipment[ship_date])</f>
        <v>45388</v>
      </c>
      <c r="Q345" s="11">
        <f>_xlfn.XLOOKUP(order[[#This Row],[order_id]],shipment[order_id],shipment[delivery_date])</f>
        <v>45396</v>
      </c>
      <c r="R345" s="3" t="str">
        <f>_xlfn.XLOOKUP(order[[#This Row],[order_id]],shipment[shipment_id],shipment[courier])</f>
        <v>Delhivery</v>
      </c>
      <c r="S345" s="3">
        <f>order[[#This Row],[selling_price]]-order[[#This Row],[cost_price]]*order[[#This Row],[quantity]]-order[[#This Row],[discount]]</f>
        <v>16256</v>
      </c>
      <c r="T345" s="3">
        <f>order[[#This Row],[quantity]]*order[[#This Row],[selling_price]]</f>
        <v>65109</v>
      </c>
    </row>
    <row r="346" spans="1:20" x14ac:dyDescent="0.3">
      <c r="A346">
        <v>345</v>
      </c>
      <c r="B346" s="11">
        <v>45475</v>
      </c>
      <c r="C346">
        <v>160</v>
      </c>
      <c r="D346" t="str">
        <f>_xlfn.XLOOKUP(order[[#This Row],[customer_id]],customer[customer_id],customer[customer_name])</f>
        <v>Arjun Nair</v>
      </c>
      <c r="E346">
        <v>209</v>
      </c>
      <c r="F346">
        <v>3</v>
      </c>
      <c r="G346">
        <v>22281</v>
      </c>
      <c r="H346">
        <v>2675</v>
      </c>
      <c r="I346" t="s">
        <v>13</v>
      </c>
      <c r="J346" t="s">
        <v>14</v>
      </c>
      <c r="K346" t="str">
        <f>_xlfn.XLOOKUP(order[[#This Row],[customer_id]],customer[customer_id],customer[city])</f>
        <v>Delhi</v>
      </c>
      <c r="L346" t="str">
        <f>_xlfn.XLOOKUP(order[[#This Row],[customer_id]],customer[customer_id],customer[state])</f>
        <v>Delhi</v>
      </c>
      <c r="M346" t="str">
        <f>_xlfn.XLOOKUP(order[[#This Row],[product_id]],products!$A$2:$A$11,products!$B$2:$B$11)</f>
        <v>Milton Thermosteel Bottle</v>
      </c>
      <c r="N346" s="3" t="str">
        <f>_xlfn.XLOOKUP(order[[#This Row],[product_id]],products!$A$2:$A$11,products!$C$2:$C$11)</f>
        <v>Home &amp; Kitchen</v>
      </c>
      <c r="O346" s="3">
        <f>_xlfn.XLOOKUP(order[[#This Row],[product_id]],Table4[product_id],Table4[cost_price])</f>
        <v>800</v>
      </c>
      <c r="P346" s="11">
        <f>_xlfn.XLOOKUP(order[[#This Row],[order_id]],shipment[order_id],shipment[ship_date])</f>
        <v>45331</v>
      </c>
      <c r="Q346" s="11">
        <f>_xlfn.XLOOKUP(order[[#This Row],[order_id]],shipment[order_id],shipment[delivery_date])</f>
        <v>45340</v>
      </c>
      <c r="R346" s="3" t="str">
        <f>_xlfn.XLOOKUP(order[[#This Row],[order_id]],shipment[shipment_id],shipment[courier])</f>
        <v>Delhivery</v>
      </c>
      <c r="S346" s="3">
        <f>order[[#This Row],[selling_price]]-order[[#This Row],[cost_price]]*order[[#This Row],[quantity]]-order[[#This Row],[discount]]</f>
        <v>17206</v>
      </c>
      <c r="T346" s="3">
        <f>order[[#This Row],[quantity]]*order[[#This Row],[selling_price]]</f>
        <v>66843</v>
      </c>
    </row>
    <row r="347" spans="1:20" x14ac:dyDescent="0.3">
      <c r="A347">
        <v>346</v>
      </c>
      <c r="B347" s="11">
        <v>45521</v>
      </c>
      <c r="C347">
        <v>262</v>
      </c>
      <c r="D347" t="str">
        <f>_xlfn.XLOOKUP(order[[#This Row],[customer_id]],customer[customer_id],customer[customer_name])</f>
        <v>Karan Patel</v>
      </c>
      <c r="E347">
        <v>205</v>
      </c>
      <c r="F347">
        <v>4</v>
      </c>
      <c r="G347">
        <v>14710</v>
      </c>
      <c r="H347">
        <v>24</v>
      </c>
      <c r="I347" t="s">
        <v>11</v>
      </c>
      <c r="J347" t="s">
        <v>10</v>
      </c>
      <c r="K347" t="str">
        <f>_xlfn.XLOOKUP(order[[#This Row],[customer_id]],customer[customer_id],customer[city])</f>
        <v>Bangalore</v>
      </c>
      <c r="L347" t="str">
        <f>_xlfn.XLOOKUP(order[[#This Row],[customer_id]],customer[customer_id],customer[state])</f>
        <v>Karnataka</v>
      </c>
      <c r="M347" t="str">
        <f>_xlfn.XLOOKUP(order[[#This Row],[product_id]],products!$A$2:$A$11,products!$B$2:$B$11)</f>
        <v>Prestige Pressure Cooker 5L</v>
      </c>
      <c r="N347" s="3" t="str">
        <f>_xlfn.XLOOKUP(order[[#This Row],[product_id]],products!$A$2:$A$11,products!$C$2:$C$11)</f>
        <v>Home &amp; Kitchen</v>
      </c>
      <c r="O347" s="3">
        <f>_xlfn.XLOOKUP(order[[#This Row],[product_id]],Table4[product_id],Table4[cost_price])</f>
        <v>1200</v>
      </c>
      <c r="P347" s="11">
        <f>_xlfn.XLOOKUP(order[[#This Row],[order_id]],shipment[order_id],shipment[ship_date])</f>
        <v>45337</v>
      </c>
      <c r="Q347" s="11">
        <f>_xlfn.XLOOKUP(order[[#This Row],[order_id]],shipment[order_id],shipment[delivery_date])</f>
        <v>45344</v>
      </c>
      <c r="R347" s="3" t="str">
        <f>_xlfn.XLOOKUP(order[[#This Row],[order_id]],shipment[shipment_id],shipment[courier])</f>
        <v>Delhivery</v>
      </c>
      <c r="S347" s="3">
        <f>order[[#This Row],[selling_price]]-order[[#This Row],[cost_price]]*order[[#This Row],[quantity]]-order[[#This Row],[discount]]</f>
        <v>9886</v>
      </c>
      <c r="T347" s="3">
        <f>order[[#This Row],[quantity]]*order[[#This Row],[selling_price]]</f>
        <v>58840</v>
      </c>
    </row>
    <row r="348" spans="1:20" x14ac:dyDescent="0.3">
      <c r="A348">
        <v>913</v>
      </c>
      <c r="B348" s="11">
        <v>45617</v>
      </c>
      <c r="C348">
        <v>105</v>
      </c>
      <c r="D348" t="str">
        <f>_xlfn.XLOOKUP(order[[#This Row],[customer_id]],customer[customer_id],customer[customer_name])</f>
        <v>Vikram Singh</v>
      </c>
      <c r="E348">
        <v>202</v>
      </c>
      <c r="F348">
        <v>3</v>
      </c>
      <c r="G348">
        <v>24262</v>
      </c>
      <c r="H348">
        <v>3305</v>
      </c>
      <c r="I348" t="s">
        <v>9</v>
      </c>
      <c r="J348" t="s">
        <v>10</v>
      </c>
      <c r="K348" t="str">
        <f>_xlfn.XLOOKUP(order[[#This Row],[customer_id]],customer[customer_id],customer[city])</f>
        <v>Pune</v>
      </c>
      <c r="L348" t="str">
        <f>_xlfn.XLOOKUP(order[[#This Row],[customer_id]],customer[customer_id],customer[state])</f>
        <v>Maharashtra</v>
      </c>
      <c r="M348" t="str">
        <f>_xlfn.XLOOKUP(order[[#This Row],[product_id]],products!$A$2:$A$11,products!$B$2:$B$11)</f>
        <v>Samsung Galaxy S21</v>
      </c>
      <c r="N348" s="3" t="str">
        <f>_xlfn.XLOOKUP(order[[#This Row],[product_id]],products!$A$2:$A$11,products!$C$2:$C$11)</f>
        <v>Electronics</v>
      </c>
      <c r="O348" s="3">
        <f>_xlfn.XLOOKUP(order[[#This Row],[product_id]],Table4[product_id],Table4[cost_price])</f>
        <v>45000</v>
      </c>
      <c r="P348" s="11">
        <f>_xlfn.XLOOKUP(order[[#This Row],[order_id]],shipment[order_id],shipment[ship_date])</f>
        <v>45385</v>
      </c>
      <c r="Q348" s="11">
        <f>_xlfn.XLOOKUP(order[[#This Row],[order_id]],shipment[order_id],shipment[delivery_date])</f>
        <v>45395</v>
      </c>
      <c r="R348" s="3" t="str">
        <f>_xlfn.XLOOKUP(order[[#This Row],[order_id]],shipment[shipment_id],shipment[courier])</f>
        <v>BlueDart</v>
      </c>
      <c r="S348" s="3">
        <f>order[[#This Row],[selling_price]]-order[[#This Row],[cost_price]]*order[[#This Row],[quantity]]-order[[#This Row],[discount]]</f>
        <v>-114043</v>
      </c>
      <c r="T348" s="3">
        <f>order[[#This Row],[quantity]]*order[[#This Row],[selling_price]]</f>
        <v>72786</v>
      </c>
    </row>
    <row r="349" spans="1:20" x14ac:dyDescent="0.3">
      <c r="A349">
        <v>817</v>
      </c>
      <c r="B349" s="11">
        <v>45440</v>
      </c>
      <c r="C349">
        <v>260</v>
      </c>
      <c r="D349" t="str">
        <f>_xlfn.XLOOKUP(order[[#This Row],[customer_id]],customer[customer_id],customer[customer_name])</f>
        <v>Neha Kapoor</v>
      </c>
      <c r="E349">
        <v>202</v>
      </c>
      <c r="F349">
        <v>1</v>
      </c>
      <c r="G349">
        <v>9539</v>
      </c>
      <c r="H349">
        <v>3255</v>
      </c>
      <c r="I349" t="s">
        <v>11</v>
      </c>
      <c r="J349" t="s">
        <v>12</v>
      </c>
      <c r="K349" t="str">
        <f>_xlfn.XLOOKUP(order[[#This Row],[customer_id]],customer[customer_id],customer[city])</f>
        <v>Bangalore</v>
      </c>
      <c r="L349" t="str">
        <f>_xlfn.XLOOKUP(order[[#This Row],[customer_id]],customer[customer_id],customer[state])</f>
        <v>Karnataka</v>
      </c>
      <c r="M349" t="str">
        <f>_xlfn.XLOOKUP(order[[#This Row],[product_id]],products!$A$2:$A$11,products!$B$2:$B$11)</f>
        <v>Samsung Galaxy S21</v>
      </c>
      <c r="N349" s="3" t="str">
        <f>_xlfn.XLOOKUP(order[[#This Row],[product_id]],products!$A$2:$A$11,products!$C$2:$C$11)</f>
        <v>Electronics</v>
      </c>
      <c r="O349" s="3">
        <f>_xlfn.XLOOKUP(order[[#This Row],[product_id]],Table4[product_id],Table4[cost_price])</f>
        <v>45000</v>
      </c>
      <c r="P349" s="11">
        <f>_xlfn.XLOOKUP(order[[#This Row],[order_id]],shipment[order_id],shipment[ship_date])</f>
        <v>45375</v>
      </c>
      <c r="Q349" s="11">
        <f>_xlfn.XLOOKUP(order[[#This Row],[order_id]],shipment[order_id],shipment[delivery_date])</f>
        <v>45382</v>
      </c>
      <c r="R349" s="3" t="str">
        <f>_xlfn.XLOOKUP(order[[#This Row],[order_id]],shipment[shipment_id],shipment[courier])</f>
        <v>Ekart</v>
      </c>
      <c r="S349" s="3">
        <f>order[[#This Row],[selling_price]]-order[[#This Row],[cost_price]]*order[[#This Row],[quantity]]-order[[#This Row],[discount]]</f>
        <v>-38716</v>
      </c>
      <c r="T349" s="3">
        <f>order[[#This Row],[quantity]]*order[[#This Row],[selling_price]]</f>
        <v>9539</v>
      </c>
    </row>
    <row r="350" spans="1:20" x14ac:dyDescent="0.3">
      <c r="A350">
        <v>349</v>
      </c>
      <c r="B350" s="11">
        <v>45487</v>
      </c>
      <c r="C350">
        <v>144</v>
      </c>
      <c r="D350" t="str">
        <f>_xlfn.XLOOKUP(order[[#This Row],[customer_id]],customer[customer_id],customer[customer_name])</f>
        <v>Priya Reddy</v>
      </c>
      <c r="E350">
        <v>208</v>
      </c>
      <c r="F350">
        <v>1</v>
      </c>
      <c r="G350">
        <v>42918</v>
      </c>
      <c r="H350">
        <v>4849</v>
      </c>
      <c r="I350" t="s">
        <v>11</v>
      </c>
      <c r="J350" t="s">
        <v>14</v>
      </c>
      <c r="K350" t="str">
        <f>_xlfn.XLOOKUP(order[[#This Row],[customer_id]],customer[customer_id],customer[city])</f>
        <v>Bangalore</v>
      </c>
      <c r="L350" t="str">
        <f>_xlfn.XLOOKUP(order[[#This Row],[customer_id]],customer[customer_id],customer[state])</f>
        <v>Karnataka</v>
      </c>
      <c r="M350" t="str">
        <f>_xlfn.XLOOKUP(order[[#This Row],[product_id]],products!$A$2:$A$11,products!$B$2:$B$11)</f>
        <v>Adidas Ultraboost Shoes</v>
      </c>
      <c r="N350" s="3" t="str">
        <f>_xlfn.XLOOKUP(order[[#This Row],[product_id]],products!$A$2:$A$11,products!$C$2:$C$11)</f>
        <v>Fashion</v>
      </c>
      <c r="O350" s="3">
        <f>_xlfn.XLOOKUP(order[[#This Row],[product_id]],Table4[product_id],Table4[cost_price])</f>
        <v>9000</v>
      </c>
      <c r="P350" s="11">
        <f>_xlfn.XLOOKUP(order[[#This Row],[order_id]],shipment[order_id],shipment[ship_date])</f>
        <v>45308</v>
      </c>
      <c r="Q350" s="11">
        <f>_xlfn.XLOOKUP(order[[#This Row],[order_id]],shipment[order_id],shipment[delivery_date])</f>
        <v>45311</v>
      </c>
      <c r="R350" s="3" t="str">
        <f>_xlfn.XLOOKUP(order[[#This Row],[order_id]],shipment[shipment_id],shipment[courier])</f>
        <v>Delhivery</v>
      </c>
      <c r="S350" s="3">
        <f>order[[#This Row],[selling_price]]-order[[#This Row],[cost_price]]*order[[#This Row],[quantity]]-order[[#This Row],[discount]]</f>
        <v>29069</v>
      </c>
      <c r="T350" s="3">
        <f>order[[#This Row],[quantity]]*order[[#This Row],[selling_price]]</f>
        <v>42918</v>
      </c>
    </row>
    <row r="351" spans="1:20" x14ac:dyDescent="0.3">
      <c r="A351">
        <v>839</v>
      </c>
      <c r="B351" s="11">
        <v>45526</v>
      </c>
      <c r="C351">
        <v>280</v>
      </c>
      <c r="D351" t="str">
        <f>_xlfn.XLOOKUP(order[[#This Row],[customer_id]],customer[customer_id],customer[customer_name])</f>
        <v>Aarav Sharma</v>
      </c>
      <c r="E351">
        <v>202</v>
      </c>
      <c r="F351">
        <v>1</v>
      </c>
      <c r="G351">
        <v>32325</v>
      </c>
      <c r="H351">
        <v>3214</v>
      </c>
      <c r="I351" t="s">
        <v>11</v>
      </c>
      <c r="J351" t="s">
        <v>14</v>
      </c>
      <c r="K351" t="str">
        <f>_xlfn.XLOOKUP(order[[#This Row],[customer_id]],customer[customer_id],customer[city])</f>
        <v>Hyderabad</v>
      </c>
      <c r="L351" t="str">
        <f>_xlfn.XLOOKUP(order[[#This Row],[customer_id]],customer[customer_id],customer[state])</f>
        <v>Telangana</v>
      </c>
      <c r="M351" t="str">
        <f>_xlfn.XLOOKUP(order[[#This Row],[product_id]],products!$A$2:$A$11,products!$B$2:$B$11)</f>
        <v>Samsung Galaxy S21</v>
      </c>
      <c r="N351" s="3" t="str">
        <f>_xlfn.XLOOKUP(order[[#This Row],[product_id]],products!$A$2:$A$11,products!$C$2:$C$11)</f>
        <v>Electronics</v>
      </c>
      <c r="O351" s="3">
        <f>_xlfn.XLOOKUP(order[[#This Row],[product_id]],Table4[product_id],Table4[cost_price])</f>
        <v>45000</v>
      </c>
      <c r="P351" s="11">
        <f>_xlfn.XLOOKUP(order[[#This Row],[order_id]],shipment[order_id],shipment[ship_date])</f>
        <v>45556</v>
      </c>
      <c r="Q351" s="11">
        <f>_xlfn.XLOOKUP(order[[#This Row],[order_id]],shipment[order_id],shipment[delivery_date])</f>
        <v>45566</v>
      </c>
      <c r="R351" s="3" t="str">
        <f>_xlfn.XLOOKUP(order[[#This Row],[order_id]],shipment[shipment_id],shipment[courier])</f>
        <v>DTDC</v>
      </c>
      <c r="S351" s="3">
        <f>order[[#This Row],[selling_price]]-order[[#This Row],[cost_price]]*order[[#This Row],[quantity]]-order[[#This Row],[discount]]</f>
        <v>-15889</v>
      </c>
      <c r="T351" s="3">
        <f>order[[#This Row],[quantity]]*order[[#This Row],[selling_price]]</f>
        <v>32325</v>
      </c>
    </row>
    <row r="352" spans="1:20" x14ac:dyDescent="0.3">
      <c r="A352">
        <v>970</v>
      </c>
      <c r="B352" s="11">
        <v>45591</v>
      </c>
      <c r="C352">
        <v>273</v>
      </c>
      <c r="D352" t="str">
        <f>_xlfn.XLOOKUP(order[[#This Row],[customer_id]],customer[customer_id],customer[customer_name])</f>
        <v>Pooja Nair</v>
      </c>
      <c r="E352">
        <v>202</v>
      </c>
      <c r="F352">
        <v>1</v>
      </c>
      <c r="G352">
        <v>7789</v>
      </c>
      <c r="H352">
        <v>3205</v>
      </c>
      <c r="I352" t="s">
        <v>13</v>
      </c>
      <c r="J352" t="s">
        <v>14</v>
      </c>
      <c r="K352" t="str">
        <f>_xlfn.XLOOKUP(order[[#This Row],[customer_id]],customer[customer_id],customer[city])</f>
        <v>Bangalore</v>
      </c>
      <c r="L352" t="str">
        <f>_xlfn.XLOOKUP(order[[#This Row],[customer_id]],customer[customer_id],customer[state])</f>
        <v>Karnataka</v>
      </c>
      <c r="M352" t="str">
        <f>_xlfn.XLOOKUP(order[[#This Row],[product_id]],products!$A$2:$A$11,products!$B$2:$B$11)</f>
        <v>Samsung Galaxy S21</v>
      </c>
      <c r="N352" s="3" t="str">
        <f>_xlfn.XLOOKUP(order[[#This Row],[product_id]],products!$A$2:$A$11,products!$C$2:$C$11)</f>
        <v>Electronics</v>
      </c>
      <c r="O352" s="3">
        <f>_xlfn.XLOOKUP(order[[#This Row],[product_id]],Table4[product_id],Table4[cost_price])</f>
        <v>45000</v>
      </c>
      <c r="P352" s="11">
        <f>_xlfn.XLOOKUP(order[[#This Row],[order_id]],shipment[order_id],shipment[ship_date])</f>
        <v>45338</v>
      </c>
      <c r="Q352" s="11">
        <f>_xlfn.XLOOKUP(order[[#This Row],[order_id]],shipment[order_id],shipment[delivery_date])</f>
        <v>45339</v>
      </c>
      <c r="R352" s="3" t="str">
        <f>_xlfn.XLOOKUP(order[[#This Row],[order_id]],shipment[shipment_id],shipment[courier])</f>
        <v>Delhivery</v>
      </c>
      <c r="S352" s="3">
        <f>order[[#This Row],[selling_price]]-order[[#This Row],[cost_price]]*order[[#This Row],[quantity]]-order[[#This Row],[discount]]</f>
        <v>-40416</v>
      </c>
      <c r="T352" s="3">
        <f>order[[#This Row],[quantity]]*order[[#This Row],[selling_price]]</f>
        <v>7789</v>
      </c>
    </row>
    <row r="353" spans="1:20" x14ac:dyDescent="0.3">
      <c r="A353">
        <v>619</v>
      </c>
      <c r="B353" s="11">
        <v>45468</v>
      </c>
      <c r="C353">
        <v>266</v>
      </c>
      <c r="D353" t="str">
        <f>_xlfn.XLOOKUP(order[[#This Row],[customer_id]],customer[customer_id],customer[customer_name])</f>
        <v>Karan Patel</v>
      </c>
      <c r="E353">
        <v>202</v>
      </c>
      <c r="F353">
        <v>3</v>
      </c>
      <c r="G353">
        <v>42632</v>
      </c>
      <c r="H353">
        <v>3171</v>
      </c>
      <c r="I353" t="s">
        <v>9</v>
      </c>
      <c r="J353" t="s">
        <v>10</v>
      </c>
      <c r="K353" t="str">
        <f>_xlfn.XLOOKUP(order[[#This Row],[customer_id]],customer[customer_id],customer[city])</f>
        <v>Chennai</v>
      </c>
      <c r="L353" t="str">
        <f>_xlfn.XLOOKUP(order[[#This Row],[customer_id]],customer[customer_id],customer[state])</f>
        <v>Tamil Nadu</v>
      </c>
      <c r="M353" t="str">
        <f>_xlfn.XLOOKUP(order[[#This Row],[product_id]],products!$A$2:$A$11,products!$B$2:$B$11)</f>
        <v>Samsung Galaxy S21</v>
      </c>
      <c r="N353" s="3" t="str">
        <f>_xlfn.XLOOKUP(order[[#This Row],[product_id]],products!$A$2:$A$11,products!$C$2:$C$11)</f>
        <v>Electronics</v>
      </c>
      <c r="O353" s="3">
        <f>_xlfn.XLOOKUP(order[[#This Row],[product_id]],Table4[product_id],Table4[cost_price])</f>
        <v>45000</v>
      </c>
      <c r="P353" s="11">
        <f>_xlfn.XLOOKUP(order[[#This Row],[order_id]],shipment[order_id],shipment[ship_date])</f>
        <v>45559</v>
      </c>
      <c r="Q353" s="11">
        <f>_xlfn.XLOOKUP(order[[#This Row],[order_id]],shipment[order_id],shipment[delivery_date])</f>
        <v>45561</v>
      </c>
      <c r="R353" s="3" t="str">
        <f>_xlfn.XLOOKUP(order[[#This Row],[order_id]],shipment[shipment_id],shipment[courier])</f>
        <v>Delhivery</v>
      </c>
      <c r="S353" s="3">
        <f>order[[#This Row],[selling_price]]-order[[#This Row],[cost_price]]*order[[#This Row],[quantity]]-order[[#This Row],[discount]]</f>
        <v>-95539</v>
      </c>
      <c r="T353" s="3">
        <f>order[[#This Row],[quantity]]*order[[#This Row],[selling_price]]</f>
        <v>127896</v>
      </c>
    </row>
    <row r="354" spans="1:20" x14ac:dyDescent="0.3">
      <c r="A354">
        <v>353</v>
      </c>
      <c r="B354" s="11">
        <v>45367</v>
      </c>
      <c r="C354">
        <v>198</v>
      </c>
      <c r="D354" t="str">
        <f>_xlfn.XLOOKUP(order[[#This Row],[customer_id]],customer[customer_id],customer[customer_name])</f>
        <v>Ananya Gupta</v>
      </c>
      <c r="E354">
        <v>208</v>
      </c>
      <c r="F354">
        <v>2</v>
      </c>
      <c r="G354">
        <v>32529</v>
      </c>
      <c r="H354">
        <v>4437</v>
      </c>
      <c r="I354" t="s">
        <v>13</v>
      </c>
      <c r="J354" t="s">
        <v>12</v>
      </c>
      <c r="K354" t="str">
        <f>_xlfn.XLOOKUP(order[[#This Row],[customer_id]],customer[customer_id],customer[city])</f>
        <v>Bangalore</v>
      </c>
      <c r="L354" t="str">
        <f>_xlfn.XLOOKUP(order[[#This Row],[customer_id]],customer[customer_id],customer[state])</f>
        <v>Karnataka</v>
      </c>
      <c r="M354" t="str">
        <f>_xlfn.XLOOKUP(order[[#This Row],[product_id]],products!$A$2:$A$11,products!$B$2:$B$11)</f>
        <v>Adidas Ultraboost Shoes</v>
      </c>
      <c r="N354" s="3" t="str">
        <f>_xlfn.XLOOKUP(order[[#This Row],[product_id]],products!$A$2:$A$11,products!$C$2:$C$11)</f>
        <v>Fashion</v>
      </c>
      <c r="O354" s="3">
        <f>_xlfn.XLOOKUP(order[[#This Row],[product_id]],Table4[product_id],Table4[cost_price])</f>
        <v>9000</v>
      </c>
      <c r="P354" s="11">
        <f>_xlfn.XLOOKUP(order[[#This Row],[order_id]],shipment[order_id],shipment[ship_date])</f>
        <v>45431</v>
      </c>
      <c r="Q354" s="11">
        <f>_xlfn.XLOOKUP(order[[#This Row],[order_id]],shipment[order_id],shipment[delivery_date])</f>
        <v>45440</v>
      </c>
      <c r="R354" s="3" t="str">
        <f>_xlfn.XLOOKUP(order[[#This Row],[order_id]],shipment[shipment_id],shipment[courier])</f>
        <v>Ekart</v>
      </c>
      <c r="S354" s="3">
        <f>order[[#This Row],[selling_price]]-order[[#This Row],[cost_price]]*order[[#This Row],[quantity]]-order[[#This Row],[discount]]</f>
        <v>10092</v>
      </c>
      <c r="T354" s="3">
        <f>order[[#This Row],[quantity]]*order[[#This Row],[selling_price]]</f>
        <v>65058</v>
      </c>
    </row>
    <row r="355" spans="1:20" x14ac:dyDescent="0.3">
      <c r="A355">
        <v>1000</v>
      </c>
      <c r="B355" s="11">
        <v>45364</v>
      </c>
      <c r="C355">
        <v>148</v>
      </c>
      <c r="D355" t="str">
        <f>_xlfn.XLOOKUP(order[[#This Row],[customer_id]],customer[customer_id],customer[customer_name])</f>
        <v>Karan Patel</v>
      </c>
      <c r="E355">
        <v>202</v>
      </c>
      <c r="F355">
        <v>1</v>
      </c>
      <c r="G355">
        <v>43019</v>
      </c>
      <c r="H355">
        <v>3139</v>
      </c>
      <c r="I355" t="s">
        <v>9</v>
      </c>
      <c r="J355" t="s">
        <v>14</v>
      </c>
      <c r="K355" t="str">
        <f>_xlfn.XLOOKUP(order[[#This Row],[customer_id]],customer[customer_id],customer[city])</f>
        <v>Chennai</v>
      </c>
      <c r="L355" t="str">
        <f>_xlfn.XLOOKUP(order[[#This Row],[customer_id]],customer[customer_id],customer[state])</f>
        <v>Tamil Nadu</v>
      </c>
      <c r="M355" t="str">
        <f>_xlfn.XLOOKUP(order[[#This Row],[product_id]],products!$A$2:$A$11,products!$B$2:$B$11)</f>
        <v>Samsung Galaxy S21</v>
      </c>
      <c r="N355" s="3" t="str">
        <f>_xlfn.XLOOKUP(order[[#This Row],[product_id]],products!$A$2:$A$11,products!$C$2:$C$11)</f>
        <v>Electronics</v>
      </c>
      <c r="O355" s="3">
        <f>_xlfn.XLOOKUP(order[[#This Row],[product_id]],Table4[product_id],Table4[cost_price])</f>
        <v>45000</v>
      </c>
      <c r="P355" s="11">
        <f>_xlfn.XLOOKUP(order[[#This Row],[order_id]],shipment[order_id],shipment[ship_date])</f>
        <v>45524</v>
      </c>
      <c r="Q355" s="11">
        <f>_xlfn.XLOOKUP(order[[#This Row],[order_id]],shipment[order_id],shipment[delivery_date])</f>
        <v>45532</v>
      </c>
      <c r="R355" s="3" t="str">
        <f>_xlfn.XLOOKUP(order[[#This Row],[order_id]],shipment[shipment_id],shipment[courier])</f>
        <v>BlueDart</v>
      </c>
      <c r="S355" s="3">
        <f>order[[#This Row],[selling_price]]-order[[#This Row],[cost_price]]*order[[#This Row],[quantity]]-order[[#This Row],[discount]]</f>
        <v>-5120</v>
      </c>
      <c r="T355" s="3">
        <f>order[[#This Row],[quantity]]*order[[#This Row],[selling_price]]</f>
        <v>43019</v>
      </c>
    </row>
    <row r="356" spans="1:20" x14ac:dyDescent="0.3">
      <c r="A356">
        <v>355</v>
      </c>
      <c r="B356" s="11">
        <v>45437</v>
      </c>
      <c r="C356">
        <v>178</v>
      </c>
      <c r="D356" t="str">
        <f>_xlfn.XLOOKUP(order[[#This Row],[customer_id]],customer[customer_id],customer[customer_name])</f>
        <v>Meera Joshi</v>
      </c>
      <c r="E356">
        <v>209</v>
      </c>
      <c r="F356">
        <v>1</v>
      </c>
      <c r="G356">
        <v>26944</v>
      </c>
      <c r="H356">
        <v>2655</v>
      </c>
      <c r="I356" t="s">
        <v>13</v>
      </c>
      <c r="J356" t="s">
        <v>10</v>
      </c>
      <c r="K356" t="str">
        <f>_xlfn.XLOOKUP(order[[#This Row],[customer_id]],customer[customer_id],customer[city])</f>
        <v>Hyderabad</v>
      </c>
      <c r="L356" t="str">
        <f>_xlfn.XLOOKUP(order[[#This Row],[customer_id]],customer[customer_id],customer[state])</f>
        <v>Telangana</v>
      </c>
      <c r="M356" t="str">
        <f>_xlfn.XLOOKUP(order[[#This Row],[product_id]],products!$A$2:$A$11,products!$B$2:$B$11)</f>
        <v>Milton Thermosteel Bottle</v>
      </c>
      <c r="N356" s="3" t="str">
        <f>_xlfn.XLOOKUP(order[[#This Row],[product_id]],products!$A$2:$A$11,products!$C$2:$C$11)</f>
        <v>Home &amp; Kitchen</v>
      </c>
      <c r="O356" s="3">
        <f>_xlfn.XLOOKUP(order[[#This Row],[product_id]],Table4[product_id],Table4[cost_price])</f>
        <v>800</v>
      </c>
      <c r="P356" s="11">
        <f>_xlfn.XLOOKUP(order[[#This Row],[order_id]],shipment[order_id],shipment[ship_date])</f>
        <v>45321</v>
      </c>
      <c r="Q356" s="11">
        <f>_xlfn.XLOOKUP(order[[#This Row],[order_id]],shipment[order_id],shipment[delivery_date])</f>
        <v>45325</v>
      </c>
      <c r="R356" s="3" t="str">
        <f>_xlfn.XLOOKUP(order[[#This Row],[order_id]],shipment[shipment_id],shipment[courier])</f>
        <v>Ekart</v>
      </c>
      <c r="S356" s="3">
        <f>order[[#This Row],[selling_price]]-order[[#This Row],[cost_price]]*order[[#This Row],[quantity]]-order[[#This Row],[discount]]</f>
        <v>23489</v>
      </c>
      <c r="T356" s="3">
        <f>order[[#This Row],[quantity]]*order[[#This Row],[selling_price]]</f>
        <v>26944</v>
      </c>
    </row>
    <row r="357" spans="1:20" x14ac:dyDescent="0.3">
      <c r="A357">
        <v>356</v>
      </c>
      <c r="B357" s="11">
        <v>45325</v>
      </c>
      <c r="C357">
        <v>184</v>
      </c>
      <c r="D357" t="str">
        <f>_xlfn.XLOOKUP(order[[#This Row],[customer_id]],customer[customer_id],customer[customer_name])</f>
        <v>Arjun Nair</v>
      </c>
      <c r="E357">
        <v>203</v>
      </c>
      <c r="F357">
        <v>2</v>
      </c>
      <c r="G357">
        <v>12927</v>
      </c>
      <c r="H357">
        <v>2257</v>
      </c>
      <c r="I357" t="s">
        <v>9</v>
      </c>
      <c r="J357" t="s">
        <v>10</v>
      </c>
      <c r="K357" t="str">
        <f>_xlfn.XLOOKUP(order[[#This Row],[customer_id]],customer[customer_id],customer[city])</f>
        <v>Delhi</v>
      </c>
      <c r="L357" t="str">
        <f>_xlfn.XLOOKUP(order[[#This Row],[customer_id]],customer[customer_id],customer[state])</f>
        <v>Delhi</v>
      </c>
      <c r="M357" t="str">
        <f>_xlfn.XLOOKUP(order[[#This Row],[product_id]],products!$A$2:$A$11,products!$B$2:$B$11)</f>
        <v>Nike Air Max Shoes</v>
      </c>
      <c r="N357" s="3" t="str">
        <f>_xlfn.XLOOKUP(order[[#This Row],[product_id]],products!$A$2:$A$11,products!$C$2:$C$11)</f>
        <v>Fashion</v>
      </c>
      <c r="O357" s="3">
        <f>_xlfn.XLOOKUP(order[[#This Row],[product_id]],Table4[product_id],Table4[cost_price])</f>
        <v>4000</v>
      </c>
      <c r="P357" s="11">
        <f>_xlfn.XLOOKUP(order[[#This Row],[order_id]],shipment[order_id],shipment[ship_date])</f>
        <v>45634</v>
      </c>
      <c r="Q357" s="11">
        <f>_xlfn.XLOOKUP(order[[#This Row],[order_id]],shipment[order_id],shipment[delivery_date])</f>
        <v>45638</v>
      </c>
      <c r="R357" s="3" t="str">
        <f>_xlfn.XLOOKUP(order[[#This Row],[order_id]],shipment[shipment_id],shipment[courier])</f>
        <v>BlueDart</v>
      </c>
      <c r="S357" s="3">
        <f>order[[#This Row],[selling_price]]-order[[#This Row],[cost_price]]*order[[#This Row],[quantity]]-order[[#This Row],[discount]]</f>
        <v>2670</v>
      </c>
      <c r="T357" s="3">
        <f>order[[#This Row],[quantity]]*order[[#This Row],[selling_price]]</f>
        <v>25854</v>
      </c>
    </row>
    <row r="358" spans="1:20" x14ac:dyDescent="0.3">
      <c r="A358">
        <v>12</v>
      </c>
      <c r="B358" s="11">
        <v>45293</v>
      </c>
      <c r="C358">
        <v>184</v>
      </c>
      <c r="D358" t="str">
        <f>_xlfn.XLOOKUP(order[[#This Row],[customer_id]],customer[customer_id],customer[customer_name])</f>
        <v>Arjun Nair</v>
      </c>
      <c r="E358">
        <v>202</v>
      </c>
      <c r="F358">
        <v>3</v>
      </c>
      <c r="G358">
        <v>53081</v>
      </c>
      <c r="H358">
        <v>3072</v>
      </c>
      <c r="I358" t="s">
        <v>13</v>
      </c>
      <c r="J358" t="s">
        <v>10</v>
      </c>
      <c r="K358" t="str">
        <f>_xlfn.XLOOKUP(order[[#This Row],[customer_id]],customer[customer_id],customer[city])</f>
        <v>Delhi</v>
      </c>
      <c r="L358" t="str">
        <f>_xlfn.XLOOKUP(order[[#This Row],[customer_id]],customer[customer_id],customer[state])</f>
        <v>Delhi</v>
      </c>
      <c r="M358" t="str">
        <f>_xlfn.XLOOKUP(order[[#This Row],[product_id]],products!$A$2:$A$11,products!$B$2:$B$11)</f>
        <v>Samsung Galaxy S21</v>
      </c>
      <c r="N358" s="3" t="str">
        <f>_xlfn.XLOOKUP(order[[#This Row],[product_id]],products!$A$2:$A$11,products!$C$2:$C$11)</f>
        <v>Electronics</v>
      </c>
      <c r="O358" s="3">
        <f>_xlfn.XLOOKUP(order[[#This Row],[product_id]],Table4[product_id],Table4[cost_price])</f>
        <v>45000</v>
      </c>
      <c r="P358" s="11">
        <f>_xlfn.XLOOKUP(order[[#This Row],[order_id]],shipment[order_id],shipment[ship_date])</f>
        <v>45528</v>
      </c>
      <c r="Q358" s="11">
        <f>_xlfn.XLOOKUP(order[[#This Row],[order_id]],shipment[order_id],shipment[delivery_date])</f>
        <v>45531</v>
      </c>
      <c r="R358" s="3" t="str">
        <f>_xlfn.XLOOKUP(order[[#This Row],[order_id]],shipment[shipment_id],shipment[courier])</f>
        <v>Delhivery</v>
      </c>
      <c r="S358" s="3">
        <f>order[[#This Row],[selling_price]]-order[[#This Row],[cost_price]]*order[[#This Row],[quantity]]-order[[#This Row],[discount]]</f>
        <v>-84991</v>
      </c>
      <c r="T358" s="3">
        <f>order[[#This Row],[quantity]]*order[[#This Row],[selling_price]]</f>
        <v>159243</v>
      </c>
    </row>
    <row r="359" spans="1:20" x14ac:dyDescent="0.3">
      <c r="A359">
        <v>358</v>
      </c>
      <c r="B359" s="11">
        <v>45583</v>
      </c>
      <c r="C359">
        <v>151</v>
      </c>
      <c r="D359" t="str">
        <f>_xlfn.XLOOKUP(order[[#This Row],[customer_id]],customer[customer_id],customer[customer_name])</f>
        <v>Neha Kapoor</v>
      </c>
      <c r="E359">
        <v>204</v>
      </c>
      <c r="F359">
        <v>2</v>
      </c>
      <c r="G359">
        <v>8629</v>
      </c>
      <c r="H359">
        <v>2362</v>
      </c>
      <c r="I359" t="s">
        <v>9</v>
      </c>
      <c r="J359" t="s">
        <v>14</v>
      </c>
      <c r="K359" t="str">
        <f>_xlfn.XLOOKUP(order[[#This Row],[customer_id]],customer[customer_id],customer[city])</f>
        <v>Pune</v>
      </c>
      <c r="L359" t="str">
        <f>_xlfn.XLOOKUP(order[[#This Row],[customer_id]],customer[customer_id],customer[state])</f>
        <v>Maharashtra</v>
      </c>
      <c r="M359" t="str">
        <f>_xlfn.XLOOKUP(order[[#This Row],[product_id]],products!$A$2:$A$11,products!$B$2:$B$11)</f>
        <v>Levi's Slim Fit Jeans</v>
      </c>
      <c r="N359" s="3" t="str">
        <f>_xlfn.XLOOKUP(order[[#This Row],[product_id]],products!$A$2:$A$11,products!$C$2:$C$11)</f>
        <v>Fashion</v>
      </c>
      <c r="O359" s="3">
        <f>_xlfn.XLOOKUP(order[[#This Row],[product_id]],Table4[product_id],Table4[cost_price])</f>
        <v>1800</v>
      </c>
      <c r="P359" s="11">
        <f>_xlfn.XLOOKUP(order[[#This Row],[order_id]],shipment[order_id],shipment[ship_date])</f>
        <v>45519</v>
      </c>
      <c r="Q359" s="11">
        <f>_xlfn.XLOOKUP(order[[#This Row],[order_id]],shipment[order_id],shipment[delivery_date])</f>
        <v>45524</v>
      </c>
      <c r="R359" s="3" t="str">
        <f>_xlfn.XLOOKUP(order[[#This Row],[order_id]],shipment[shipment_id],shipment[courier])</f>
        <v>Ekart</v>
      </c>
      <c r="S359" s="3">
        <f>order[[#This Row],[selling_price]]-order[[#This Row],[cost_price]]*order[[#This Row],[quantity]]-order[[#This Row],[discount]]</f>
        <v>2667</v>
      </c>
      <c r="T359" s="3">
        <f>order[[#This Row],[quantity]]*order[[#This Row],[selling_price]]</f>
        <v>17258</v>
      </c>
    </row>
    <row r="360" spans="1:20" x14ac:dyDescent="0.3">
      <c r="A360">
        <v>732</v>
      </c>
      <c r="B360" s="11">
        <v>45359</v>
      </c>
      <c r="C360">
        <v>104</v>
      </c>
      <c r="D360" t="str">
        <f>_xlfn.XLOOKUP(order[[#This Row],[customer_id]],customer[customer_id],customer[customer_name])</f>
        <v>Aarav Sharma</v>
      </c>
      <c r="E360">
        <v>202</v>
      </c>
      <c r="F360">
        <v>2</v>
      </c>
      <c r="G360">
        <v>8381</v>
      </c>
      <c r="H360">
        <v>2970</v>
      </c>
      <c r="I360" t="s">
        <v>15</v>
      </c>
      <c r="J360" t="s">
        <v>12</v>
      </c>
      <c r="K360" t="str">
        <f>_xlfn.XLOOKUP(order[[#This Row],[customer_id]],customer[customer_id],customer[city])</f>
        <v>Bangalore</v>
      </c>
      <c r="L360" t="str">
        <f>_xlfn.XLOOKUP(order[[#This Row],[customer_id]],customer[customer_id],customer[state])</f>
        <v>Karnataka</v>
      </c>
      <c r="M360" t="str">
        <f>_xlfn.XLOOKUP(order[[#This Row],[product_id]],products!$A$2:$A$11,products!$B$2:$B$11)</f>
        <v>Samsung Galaxy S21</v>
      </c>
      <c r="N360" s="3" t="str">
        <f>_xlfn.XLOOKUP(order[[#This Row],[product_id]],products!$A$2:$A$11,products!$C$2:$C$11)</f>
        <v>Electronics</v>
      </c>
      <c r="O360" s="3">
        <f>_xlfn.XLOOKUP(order[[#This Row],[product_id]],Table4[product_id],Table4[cost_price])</f>
        <v>45000</v>
      </c>
      <c r="P360" s="11">
        <f>_xlfn.XLOOKUP(order[[#This Row],[order_id]],shipment[order_id],shipment[ship_date])</f>
        <v>45469</v>
      </c>
      <c r="Q360" s="11">
        <f>_xlfn.XLOOKUP(order[[#This Row],[order_id]],shipment[order_id],shipment[delivery_date])</f>
        <v>45473</v>
      </c>
      <c r="R360" s="3" t="str">
        <f>_xlfn.XLOOKUP(order[[#This Row],[order_id]],shipment[shipment_id],shipment[courier])</f>
        <v>Ekart</v>
      </c>
      <c r="S360" s="3">
        <f>order[[#This Row],[selling_price]]-order[[#This Row],[cost_price]]*order[[#This Row],[quantity]]-order[[#This Row],[discount]]</f>
        <v>-84589</v>
      </c>
      <c r="T360" s="3">
        <f>order[[#This Row],[quantity]]*order[[#This Row],[selling_price]]</f>
        <v>16762</v>
      </c>
    </row>
    <row r="361" spans="1:20" x14ac:dyDescent="0.3">
      <c r="A361">
        <v>360</v>
      </c>
      <c r="B361" s="11">
        <v>45342</v>
      </c>
      <c r="C361">
        <v>186</v>
      </c>
      <c r="D361" t="str">
        <f>_xlfn.XLOOKUP(order[[#This Row],[customer_id]],customer[customer_id],customer[customer_name])</f>
        <v>Meera Joshi</v>
      </c>
      <c r="E361">
        <v>203</v>
      </c>
      <c r="F361">
        <v>1</v>
      </c>
      <c r="G361">
        <v>41546</v>
      </c>
      <c r="H361">
        <v>300</v>
      </c>
      <c r="I361" t="s">
        <v>13</v>
      </c>
      <c r="J361" t="s">
        <v>10</v>
      </c>
      <c r="K361" t="str">
        <f>_xlfn.XLOOKUP(order[[#This Row],[customer_id]],customer[customer_id],customer[city])</f>
        <v>Mumbai</v>
      </c>
      <c r="L361" t="str">
        <f>_xlfn.XLOOKUP(order[[#This Row],[customer_id]],customer[customer_id],customer[state])</f>
        <v>Maharashtra</v>
      </c>
      <c r="M361" t="str">
        <f>_xlfn.XLOOKUP(order[[#This Row],[product_id]],products!$A$2:$A$11,products!$B$2:$B$11)</f>
        <v>Nike Air Max Shoes</v>
      </c>
      <c r="N361" s="3" t="str">
        <f>_xlfn.XLOOKUP(order[[#This Row],[product_id]],products!$A$2:$A$11,products!$C$2:$C$11)</f>
        <v>Fashion</v>
      </c>
      <c r="O361" s="3">
        <f>_xlfn.XLOOKUP(order[[#This Row],[product_id]],Table4[product_id],Table4[cost_price])</f>
        <v>4000</v>
      </c>
      <c r="P361" s="11">
        <f>_xlfn.XLOOKUP(order[[#This Row],[order_id]],shipment[order_id],shipment[ship_date])</f>
        <v>45430</v>
      </c>
      <c r="Q361" s="11">
        <f>_xlfn.XLOOKUP(order[[#This Row],[order_id]],shipment[order_id],shipment[delivery_date])</f>
        <v>45434</v>
      </c>
      <c r="R361" s="3" t="str">
        <f>_xlfn.XLOOKUP(order[[#This Row],[order_id]],shipment[shipment_id],shipment[courier])</f>
        <v>DTDC</v>
      </c>
      <c r="S361" s="3">
        <f>order[[#This Row],[selling_price]]-order[[#This Row],[cost_price]]*order[[#This Row],[quantity]]-order[[#This Row],[discount]]</f>
        <v>37246</v>
      </c>
      <c r="T361" s="3">
        <f>order[[#This Row],[quantity]]*order[[#This Row],[selling_price]]</f>
        <v>41546</v>
      </c>
    </row>
    <row r="362" spans="1:20" x14ac:dyDescent="0.3">
      <c r="A362">
        <v>967</v>
      </c>
      <c r="B362" s="11">
        <v>45525</v>
      </c>
      <c r="C362">
        <v>147</v>
      </c>
      <c r="D362" t="str">
        <f>_xlfn.XLOOKUP(order[[#This Row],[customer_id]],customer[customer_id],customer[customer_name])</f>
        <v>Priya Reddy</v>
      </c>
      <c r="E362">
        <v>202</v>
      </c>
      <c r="F362">
        <v>4</v>
      </c>
      <c r="G362">
        <v>33472</v>
      </c>
      <c r="H362">
        <v>2936</v>
      </c>
      <c r="I362" t="s">
        <v>9</v>
      </c>
      <c r="J362" t="s">
        <v>14</v>
      </c>
      <c r="K362" t="str">
        <f>_xlfn.XLOOKUP(order[[#This Row],[customer_id]],customer[customer_id],customer[city])</f>
        <v>Delhi</v>
      </c>
      <c r="L362" t="str">
        <f>_xlfn.XLOOKUP(order[[#This Row],[customer_id]],customer[customer_id],customer[state])</f>
        <v>Delhi</v>
      </c>
      <c r="M362" t="str">
        <f>_xlfn.XLOOKUP(order[[#This Row],[product_id]],products!$A$2:$A$11,products!$B$2:$B$11)</f>
        <v>Samsung Galaxy S21</v>
      </c>
      <c r="N362" s="3" t="str">
        <f>_xlfn.XLOOKUP(order[[#This Row],[product_id]],products!$A$2:$A$11,products!$C$2:$C$11)</f>
        <v>Electronics</v>
      </c>
      <c r="O362" s="3">
        <f>_xlfn.XLOOKUP(order[[#This Row],[product_id]],Table4[product_id],Table4[cost_price])</f>
        <v>45000</v>
      </c>
      <c r="P362" s="11">
        <f>_xlfn.XLOOKUP(order[[#This Row],[order_id]],shipment[order_id],shipment[ship_date])</f>
        <v>45601</v>
      </c>
      <c r="Q362" s="11">
        <f>_xlfn.XLOOKUP(order[[#This Row],[order_id]],shipment[order_id],shipment[delivery_date])</f>
        <v>45610</v>
      </c>
      <c r="R362" s="3" t="str">
        <f>_xlfn.XLOOKUP(order[[#This Row],[order_id]],shipment[shipment_id],shipment[courier])</f>
        <v>Ekart</v>
      </c>
      <c r="S362" s="3">
        <f>order[[#This Row],[selling_price]]-order[[#This Row],[cost_price]]*order[[#This Row],[quantity]]-order[[#This Row],[discount]]</f>
        <v>-149464</v>
      </c>
      <c r="T362" s="3">
        <f>order[[#This Row],[quantity]]*order[[#This Row],[selling_price]]</f>
        <v>133888</v>
      </c>
    </row>
    <row r="363" spans="1:20" x14ac:dyDescent="0.3">
      <c r="A363">
        <v>1179</v>
      </c>
      <c r="B363" s="11">
        <v>45602</v>
      </c>
      <c r="C363">
        <v>224</v>
      </c>
      <c r="D363" t="str">
        <f>_xlfn.XLOOKUP(order[[#This Row],[customer_id]],customer[customer_id],customer[customer_name])</f>
        <v>Ananya Gupta</v>
      </c>
      <c r="E363">
        <v>202</v>
      </c>
      <c r="F363">
        <v>3</v>
      </c>
      <c r="G363">
        <v>63101</v>
      </c>
      <c r="H363">
        <v>2918</v>
      </c>
      <c r="I363" t="s">
        <v>9</v>
      </c>
      <c r="J363" t="s">
        <v>12</v>
      </c>
      <c r="K363" t="str">
        <f>_xlfn.XLOOKUP(order[[#This Row],[customer_id]],customer[customer_id],customer[city])</f>
        <v>Delhi</v>
      </c>
      <c r="L363" t="str">
        <f>_xlfn.XLOOKUP(order[[#This Row],[customer_id]],customer[customer_id],customer[state])</f>
        <v>Delhi</v>
      </c>
      <c r="M363" t="str">
        <f>_xlfn.XLOOKUP(order[[#This Row],[product_id]],products!$A$2:$A$11,products!$B$2:$B$11)</f>
        <v>Samsung Galaxy S21</v>
      </c>
      <c r="N363" s="3" t="str">
        <f>_xlfn.XLOOKUP(order[[#This Row],[product_id]],products!$A$2:$A$11,products!$C$2:$C$11)</f>
        <v>Electronics</v>
      </c>
      <c r="O363" s="3">
        <f>_xlfn.XLOOKUP(order[[#This Row],[product_id]],Table4[product_id],Table4[cost_price])</f>
        <v>45000</v>
      </c>
      <c r="P363" s="11">
        <f>_xlfn.XLOOKUP(order[[#This Row],[order_id]],shipment[order_id],shipment[ship_date])</f>
        <v>45397</v>
      </c>
      <c r="Q363" s="11">
        <f>_xlfn.XLOOKUP(order[[#This Row],[order_id]],shipment[order_id],shipment[delivery_date])</f>
        <v>45404</v>
      </c>
      <c r="R363" s="3" t="str">
        <f>_xlfn.XLOOKUP(order[[#This Row],[order_id]],shipment[shipment_id],shipment[courier])</f>
        <v>Ekart</v>
      </c>
      <c r="S363" s="3">
        <f>order[[#This Row],[selling_price]]-order[[#This Row],[cost_price]]*order[[#This Row],[quantity]]-order[[#This Row],[discount]]</f>
        <v>-74817</v>
      </c>
      <c r="T363" s="3">
        <f>order[[#This Row],[quantity]]*order[[#This Row],[selling_price]]</f>
        <v>189303</v>
      </c>
    </row>
    <row r="364" spans="1:20" x14ac:dyDescent="0.3">
      <c r="A364">
        <v>363</v>
      </c>
      <c r="B364" s="11">
        <v>45312</v>
      </c>
      <c r="C364">
        <v>124</v>
      </c>
      <c r="D364" t="str">
        <f>_xlfn.XLOOKUP(order[[#This Row],[customer_id]],customer[customer_id],customer[customer_name])</f>
        <v>Neha Kapoor</v>
      </c>
      <c r="E364">
        <v>209</v>
      </c>
      <c r="F364">
        <v>2</v>
      </c>
      <c r="G364">
        <v>17498</v>
      </c>
      <c r="H364">
        <v>2287</v>
      </c>
      <c r="I364" t="s">
        <v>13</v>
      </c>
      <c r="J364" t="s">
        <v>12</v>
      </c>
      <c r="K364" t="str">
        <f>_xlfn.XLOOKUP(order[[#This Row],[customer_id]],customer[customer_id],customer[city])</f>
        <v>Mumbai</v>
      </c>
      <c r="L364" t="str">
        <f>_xlfn.XLOOKUP(order[[#This Row],[customer_id]],customer[customer_id],customer[state])</f>
        <v>Maharashtra</v>
      </c>
      <c r="M364" t="str">
        <f>_xlfn.XLOOKUP(order[[#This Row],[product_id]],products!$A$2:$A$11,products!$B$2:$B$11)</f>
        <v>Milton Thermosteel Bottle</v>
      </c>
      <c r="N364" s="3" t="str">
        <f>_xlfn.XLOOKUP(order[[#This Row],[product_id]],products!$A$2:$A$11,products!$C$2:$C$11)</f>
        <v>Home &amp; Kitchen</v>
      </c>
      <c r="O364" s="3">
        <f>_xlfn.XLOOKUP(order[[#This Row],[product_id]],Table4[product_id],Table4[cost_price])</f>
        <v>800</v>
      </c>
      <c r="P364" s="11">
        <f>_xlfn.XLOOKUP(order[[#This Row],[order_id]],shipment[order_id],shipment[ship_date])</f>
        <v>45604</v>
      </c>
      <c r="Q364" s="11">
        <f>_xlfn.XLOOKUP(order[[#This Row],[order_id]],shipment[order_id],shipment[delivery_date])</f>
        <v>45605</v>
      </c>
      <c r="R364" s="3" t="str">
        <f>_xlfn.XLOOKUP(order[[#This Row],[order_id]],shipment[shipment_id],shipment[courier])</f>
        <v>DTDC</v>
      </c>
      <c r="S364" s="3">
        <f>order[[#This Row],[selling_price]]-order[[#This Row],[cost_price]]*order[[#This Row],[quantity]]-order[[#This Row],[discount]]</f>
        <v>13611</v>
      </c>
      <c r="T364" s="3">
        <f>order[[#This Row],[quantity]]*order[[#This Row],[selling_price]]</f>
        <v>34996</v>
      </c>
    </row>
    <row r="365" spans="1:20" x14ac:dyDescent="0.3">
      <c r="A365">
        <v>175</v>
      </c>
      <c r="B365" s="11">
        <v>45350</v>
      </c>
      <c r="C365">
        <v>297</v>
      </c>
      <c r="D365" t="str">
        <f>_xlfn.XLOOKUP(order[[#This Row],[customer_id]],customer[customer_id],customer[customer_name])</f>
        <v>Meera Joshi</v>
      </c>
      <c r="E365">
        <v>202</v>
      </c>
      <c r="F365">
        <v>1</v>
      </c>
      <c r="G365">
        <v>18715</v>
      </c>
      <c r="H365">
        <v>2887</v>
      </c>
      <c r="I365" t="s">
        <v>11</v>
      </c>
      <c r="J365" t="s">
        <v>12</v>
      </c>
      <c r="K365" t="str">
        <f>_xlfn.XLOOKUP(order[[#This Row],[customer_id]],customer[customer_id],customer[city])</f>
        <v>Bangalore</v>
      </c>
      <c r="L365" t="str">
        <f>_xlfn.XLOOKUP(order[[#This Row],[customer_id]],customer[customer_id],customer[state])</f>
        <v>Karnataka</v>
      </c>
      <c r="M365" t="str">
        <f>_xlfn.XLOOKUP(order[[#This Row],[product_id]],products!$A$2:$A$11,products!$B$2:$B$11)</f>
        <v>Samsung Galaxy S21</v>
      </c>
      <c r="N365" s="3" t="str">
        <f>_xlfn.XLOOKUP(order[[#This Row],[product_id]],products!$A$2:$A$11,products!$C$2:$C$11)</f>
        <v>Electronics</v>
      </c>
      <c r="O365" s="3">
        <f>_xlfn.XLOOKUP(order[[#This Row],[product_id]],Table4[product_id],Table4[cost_price])</f>
        <v>45000</v>
      </c>
      <c r="P365" s="11">
        <f>_xlfn.XLOOKUP(order[[#This Row],[order_id]],shipment[order_id],shipment[ship_date])</f>
        <v>45401</v>
      </c>
      <c r="Q365" s="11">
        <f>_xlfn.XLOOKUP(order[[#This Row],[order_id]],shipment[order_id],shipment[delivery_date])</f>
        <v>45405</v>
      </c>
      <c r="R365" s="3" t="str">
        <f>_xlfn.XLOOKUP(order[[#This Row],[order_id]],shipment[shipment_id],shipment[courier])</f>
        <v>Delhivery</v>
      </c>
      <c r="S365" s="3">
        <f>order[[#This Row],[selling_price]]-order[[#This Row],[cost_price]]*order[[#This Row],[quantity]]-order[[#This Row],[discount]]</f>
        <v>-29172</v>
      </c>
      <c r="T365" s="3">
        <f>order[[#This Row],[quantity]]*order[[#This Row],[selling_price]]</f>
        <v>18715</v>
      </c>
    </row>
    <row r="366" spans="1:20" x14ac:dyDescent="0.3">
      <c r="A366">
        <v>365</v>
      </c>
      <c r="B366" s="11">
        <v>45565</v>
      </c>
      <c r="C366">
        <v>119</v>
      </c>
      <c r="D366" t="str">
        <f>_xlfn.XLOOKUP(order[[#This Row],[customer_id]],customer[customer_id],customer[customer_name])</f>
        <v>Pooja Nair</v>
      </c>
      <c r="E366">
        <v>203</v>
      </c>
      <c r="F366">
        <v>2</v>
      </c>
      <c r="G366">
        <v>52914</v>
      </c>
      <c r="H366">
        <v>203</v>
      </c>
      <c r="I366" t="s">
        <v>9</v>
      </c>
      <c r="J366" t="s">
        <v>12</v>
      </c>
      <c r="K366" t="str">
        <f>_xlfn.XLOOKUP(order[[#This Row],[customer_id]],customer[customer_id],customer[city])</f>
        <v>Bangalore</v>
      </c>
      <c r="L366" t="str">
        <f>_xlfn.XLOOKUP(order[[#This Row],[customer_id]],customer[customer_id],customer[state])</f>
        <v>Karnataka</v>
      </c>
      <c r="M366" t="str">
        <f>_xlfn.XLOOKUP(order[[#This Row],[product_id]],products!$A$2:$A$11,products!$B$2:$B$11)</f>
        <v>Nike Air Max Shoes</v>
      </c>
      <c r="N366" s="3" t="str">
        <f>_xlfn.XLOOKUP(order[[#This Row],[product_id]],products!$A$2:$A$11,products!$C$2:$C$11)</f>
        <v>Fashion</v>
      </c>
      <c r="O366" s="3">
        <f>_xlfn.XLOOKUP(order[[#This Row],[product_id]],Table4[product_id],Table4[cost_price])</f>
        <v>4000</v>
      </c>
      <c r="P366" s="11">
        <f>_xlfn.XLOOKUP(order[[#This Row],[order_id]],shipment[order_id],shipment[ship_date])</f>
        <v>45649</v>
      </c>
      <c r="Q366" s="11">
        <f>_xlfn.XLOOKUP(order[[#This Row],[order_id]],shipment[order_id],shipment[delivery_date])</f>
        <v>45651</v>
      </c>
      <c r="R366" s="3" t="str">
        <f>_xlfn.XLOOKUP(order[[#This Row],[order_id]],shipment[shipment_id],shipment[courier])</f>
        <v>Ekart</v>
      </c>
      <c r="S366" s="3">
        <f>order[[#This Row],[selling_price]]-order[[#This Row],[cost_price]]*order[[#This Row],[quantity]]-order[[#This Row],[discount]]</f>
        <v>44711</v>
      </c>
      <c r="T366" s="3">
        <f>order[[#This Row],[quantity]]*order[[#This Row],[selling_price]]</f>
        <v>105828</v>
      </c>
    </row>
    <row r="367" spans="1:20" x14ac:dyDescent="0.3">
      <c r="A367">
        <v>739</v>
      </c>
      <c r="B367" s="11">
        <v>45366</v>
      </c>
      <c r="C367">
        <v>242</v>
      </c>
      <c r="D367" t="str">
        <f>_xlfn.XLOOKUP(order[[#This Row],[customer_id]],customer[customer_id],customer[customer_name])</f>
        <v>Arjun Nair</v>
      </c>
      <c r="E367">
        <v>202</v>
      </c>
      <c r="F367">
        <v>4</v>
      </c>
      <c r="G367">
        <v>4434</v>
      </c>
      <c r="H367">
        <v>2821</v>
      </c>
      <c r="I367" t="s">
        <v>9</v>
      </c>
      <c r="J367" t="s">
        <v>10</v>
      </c>
      <c r="K367" t="str">
        <f>_xlfn.XLOOKUP(order[[#This Row],[customer_id]],customer[customer_id],customer[city])</f>
        <v>Bangalore</v>
      </c>
      <c r="L367" t="str">
        <f>_xlfn.XLOOKUP(order[[#This Row],[customer_id]],customer[customer_id],customer[state])</f>
        <v>Karnataka</v>
      </c>
      <c r="M367" t="str">
        <f>_xlfn.XLOOKUP(order[[#This Row],[product_id]],products!$A$2:$A$11,products!$B$2:$B$11)</f>
        <v>Samsung Galaxy S21</v>
      </c>
      <c r="N367" s="3" t="str">
        <f>_xlfn.XLOOKUP(order[[#This Row],[product_id]],products!$A$2:$A$11,products!$C$2:$C$11)</f>
        <v>Electronics</v>
      </c>
      <c r="O367" s="3">
        <f>_xlfn.XLOOKUP(order[[#This Row],[product_id]],Table4[product_id],Table4[cost_price])</f>
        <v>45000</v>
      </c>
      <c r="P367" s="11">
        <f>_xlfn.XLOOKUP(order[[#This Row],[order_id]],shipment[order_id],shipment[ship_date])</f>
        <v>45605</v>
      </c>
      <c r="Q367" s="11">
        <f>_xlfn.XLOOKUP(order[[#This Row],[order_id]],shipment[order_id],shipment[delivery_date])</f>
        <v>45606</v>
      </c>
      <c r="R367" s="3" t="str">
        <f>_xlfn.XLOOKUP(order[[#This Row],[order_id]],shipment[shipment_id],shipment[courier])</f>
        <v>Ekart</v>
      </c>
      <c r="S367" s="3">
        <f>order[[#This Row],[selling_price]]-order[[#This Row],[cost_price]]*order[[#This Row],[quantity]]-order[[#This Row],[discount]]</f>
        <v>-178387</v>
      </c>
      <c r="T367" s="3">
        <f>order[[#This Row],[quantity]]*order[[#This Row],[selling_price]]</f>
        <v>17736</v>
      </c>
    </row>
    <row r="368" spans="1:20" x14ac:dyDescent="0.3">
      <c r="A368">
        <v>1030</v>
      </c>
      <c r="B368" s="11">
        <v>45481</v>
      </c>
      <c r="C368">
        <v>217</v>
      </c>
      <c r="D368" t="str">
        <f>_xlfn.XLOOKUP(order[[#This Row],[customer_id]],customer[customer_id],customer[customer_name])</f>
        <v>Rahul Mehta</v>
      </c>
      <c r="E368">
        <v>202</v>
      </c>
      <c r="F368">
        <v>4</v>
      </c>
      <c r="G368">
        <v>59865</v>
      </c>
      <c r="H368">
        <v>2799</v>
      </c>
      <c r="I368" t="s">
        <v>9</v>
      </c>
      <c r="J368" t="s">
        <v>14</v>
      </c>
      <c r="K368" t="str">
        <f>_xlfn.XLOOKUP(order[[#This Row],[customer_id]],customer[customer_id],customer[city])</f>
        <v>Delhi</v>
      </c>
      <c r="L368" t="str">
        <f>_xlfn.XLOOKUP(order[[#This Row],[customer_id]],customer[customer_id],customer[state])</f>
        <v>Delhi</v>
      </c>
      <c r="M368" t="str">
        <f>_xlfn.XLOOKUP(order[[#This Row],[product_id]],products!$A$2:$A$11,products!$B$2:$B$11)</f>
        <v>Samsung Galaxy S21</v>
      </c>
      <c r="N368" s="3" t="str">
        <f>_xlfn.XLOOKUP(order[[#This Row],[product_id]],products!$A$2:$A$11,products!$C$2:$C$11)</f>
        <v>Electronics</v>
      </c>
      <c r="O368" s="3">
        <f>_xlfn.XLOOKUP(order[[#This Row],[product_id]],Table4[product_id],Table4[cost_price])</f>
        <v>45000</v>
      </c>
      <c r="P368" s="11">
        <f>_xlfn.XLOOKUP(order[[#This Row],[order_id]],shipment[order_id],shipment[ship_date])</f>
        <v>45440</v>
      </c>
      <c r="Q368" s="11">
        <f>_xlfn.XLOOKUP(order[[#This Row],[order_id]],shipment[order_id],shipment[delivery_date])</f>
        <v>45442</v>
      </c>
      <c r="R368" s="3" t="str">
        <f>_xlfn.XLOOKUP(order[[#This Row],[order_id]],shipment[shipment_id],shipment[courier])</f>
        <v>BlueDart</v>
      </c>
      <c r="S368" s="3">
        <f>order[[#This Row],[selling_price]]-order[[#This Row],[cost_price]]*order[[#This Row],[quantity]]-order[[#This Row],[discount]]</f>
        <v>-122934</v>
      </c>
      <c r="T368" s="3">
        <f>order[[#This Row],[quantity]]*order[[#This Row],[selling_price]]</f>
        <v>239460</v>
      </c>
    </row>
    <row r="369" spans="1:20" x14ac:dyDescent="0.3">
      <c r="A369">
        <v>368</v>
      </c>
      <c r="B369" s="11">
        <v>45478</v>
      </c>
      <c r="C369">
        <v>161</v>
      </c>
      <c r="D369" t="str">
        <f>_xlfn.XLOOKUP(order[[#This Row],[customer_id]],customer[customer_id],customer[customer_name])</f>
        <v>Arjun Nair</v>
      </c>
      <c r="E369">
        <v>203</v>
      </c>
      <c r="F369">
        <v>1</v>
      </c>
      <c r="G369">
        <v>27111</v>
      </c>
      <c r="H369">
        <v>3890</v>
      </c>
      <c r="I369" t="s">
        <v>15</v>
      </c>
      <c r="J369" t="s">
        <v>10</v>
      </c>
      <c r="K369" t="str">
        <f>_xlfn.XLOOKUP(order[[#This Row],[customer_id]],customer[customer_id],customer[city])</f>
        <v>Hyderabad</v>
      </c>
      <c r="L369" t="str">
        <f>_xlfn.XLOOKUP(order[[#This Row],[customer_id]],customer[customer_id],customer[state])</f>
        <v>Telangana</v>
      </c>
      <c r="M369" t="str">
        <f>_xlfn.XLOOKUP(order[[#This Row],[product_id]],products!$A$2:$A$11,products!$B$2:$B$11)</f>
        <v>Nike Air Max Shoes</v>
      </c>
      <c r="N369" s="3" t="str">
        <f>_xlfn.XLOOKUP(order[[#This Row],[product_id]],products!$A$2:$A$11,products!$C$2:$C$11)</f>
        <v>Fashion</v>
      </c>
      <c r="O369" s="3">
        <f>_xlfn.XLOOKUP(order[[#This Row],[product_id]],Table4[product_id],Table4[cost_price])</f>
        <v>4000</v>
      </c>
      <c r="P369" s="11">
        <f>_xlfn.XLOOKUP(order[[#This Row],[order_id]],shipment[order_id],shipment[ship_date])</f>
        <v>45318</v>
      </c>
      <c r="Q369" s="11">
        <f>_xlfn.XLOOKUP(order[[#This Row],[order_id]],shipment[order_id],shipment[delivery_date])</f>
        <v>45323</v>
      </c>
      <c r="R369" s="3" t="str">
        <f>_xlfn.XLOOKUP(order[[#This Row],[order_id]],shipment[shipment_id],shipment[courier])</f>
        <v>Ekart</v>
      </c>
      <c r="S369" s="3">
        <f>order[[#This Row],[selling_price]]-order[[#This Row],[cost_price]]*order[[#This Row],[quantity]]-order[[#This Row],[discount]]</f>
        <v>19221</v>
      </c>
      <c r="T369" s="3">
        <f>order[[#This Row],[quantity]]*order[[#This Row],[selling_price]]</f>
        <v>27111</v>
      </c>
    </row>
    <row r="370" spans="1:20" x14ac:dyDescent="0.3">
      <c r="A370">
        <v>1004</v>
      </c>
      <c r="B370" s="11">
        <v>45592</v>
      </c>
      <c r="C370">
        <v>187</v>
      </c>
      <c r="D370" t="str">
        <f>_xlfn.XLOOKUP(order[[#This Row],[customer_id]],customer[customer_id],customer[customer_name])</f>
        <v>Pooja Nair</v>
      </c>
      <c r="E370">
        <v>202</v>
      </c>
      <c r="F370">
        <v>2</v>
      </c>
      <c r="G370">
        <v>19471</v>
      </c>
      <c r="H370">
        <v>2793</v>
      </c>
      <c r="I370" t="s">
        <v>13</v>
      </c>
      <c r="J370" t="s">
        <v>14</v>
      </c>
      <c r="K370" t="str">
        <f>_xlfn.XLOOKUP(order[[#This Row],[customer_id]],customer[customer_id],customer[city])</f>
        <v>Ahmedabad</v>
      </c>
      <c r="L370" t="str">
        <f>_xlfn.XLOOKUP(order[[#This Row],[customer_id]],customer[customer_id],customer[state])</f>
        <v>Gujarat</v>
      </c>
      <c r="M370" t="str">
        <f>_xlfn.XLOOKUP(order[[#This Row],[product_id]],products!$A$2:$A$11,products!$B$2:$B$11)</f>
        <v>Samsung Galaxy S21</v>
      </c>
      <c r="N370" s="3" t="str">
        <f>_xlfn.XLOOKUP(order[[#This Row],[product_id]],products!$A$2:$A$11,products!$C$2:$C$11)</f>
        <v>Electronics</v>
      </c>
      <c r="O370" s="3">
        <f>_xlfn.XLOOKUP(order[[#This Row],[product_id]],Table4[product_id],Table4[cost_price])</f>
        <v>45000</v>
      </c>
      <c r="P370" s="11">
        <f>_xlfn.XLOOKUP(order[[#This Row],[order_id]],shipment[order_id],shipment[ship_date])</f>
        <v>45572</v>
      </c>
      <c r="Q370" s="11">
        <f>_xlfn.XLOOKUP(order[[#This Row],[order_id]],shipment[order_id],shipment[delivery_date])</f>
        <v>45577</v>
      </c>
      <c r="R370" s="3" t="str">
        <f>_xlfn.XLOOKUP(order[[#This Row],[order_id]],shipment[shipment_id],shipment[courier])</f>
        <v>DTDC</v>
      </c>
      <c r="S370" s="3">
        <f>order[[#This Row],[selling_price]]-order[[#This Row],[cost_price]]*order[[#This Row],[quantity]]-order[[#This Row],[discount]]</f>
        <v>-73322</v>
      </c>
      <c r="T370" s="3">
        <f>order[[#This Row],[quantity]]*order[[#This Row],[selling_price]]</f>
        <v>38942</v>
      </c>
    </row>
    <row r="371" spans="1:20" x14ac:dyDescent="0.3">
      <c r="A371">
        <v>370</v>
      </c>
      <c r="B371" s="11">
        <v>45646</v>
      </c>
      <c r="C371">
        <v>296</v>
      </c>
      <c r="D371" t="str">
        <f>_xlfn.XLOOKUP(order[[#This Row],[customer_id]],customer[customer_id],customer[customer_name])</f>
        <v>Rohit Verma</v>
      </c>
      <c r="E371">
        <v>206</v>
      </c>
      <c r="F371">
        <v>4</v>
      </c>
      <c r="G371">
        <v>47602</v>
      </c>
      <c r="H371">
        <v>4767</v>
      </c>
      <c r="I371" t="s">
        <v>13</v>
      </c>
      <c r="J371" t="s">
        <v>10</v>
      </c>
      <c r="K371" t="str">
        <f>_xlfn.XLOOKUP(order[[#This Row],[customer_id]],customer[customer_id],customer[city])</f>
        <v>Pune</v>
      </c>
      <c r="L371" t="str">
        <f>_xlfn.XLOOKUP(order[[#This Row],[customer_id]],customer[customer_id],customer[state])</f>
        <v>Maharashtra</v>
      </c>
      <c r="M371" t="str">
        <f>_xlfn.XLOOKUP(order[[#This Row],[product_id]],products!$A$2:$A$11,products!$B$2:$B$11)</f>
        <v>Philips Air Fryer</v>
      </c>
      <c r="N371" s="3" t="str">
        <f>_xlfn.XLOOKUP(order[[#This Row],[product_id]],products!$A$2:$A$11,products!$C$2:$C$11)</f>
        <v>Home &amp; Kitchen</v>
      </c>
      <c r="O371" s="3">
        <f>_xlfn.XLOOKUP(order[[#This Row],[product_id]],Table4[product_id],Table4[cost_price])</f>
        <v>7000</v>
      </c>
      <c r="P371" s="11">
        <f>_xlfn.XLOOKUP(order[[#This Row],[order_id]],shipment[order_id],shipment[ship_date])</f>
        <v>45648</v>
      </c>
      <c r="Q371" s="11">
        <f>_xlfn.XLOOKUP(order[[#This Row],[order_id]],shipment[order_id],shipment[delivery_date])</f>
        <v>45649</v>
      </c>
      <c r="R371" s="3" t="str">
        <f>_xlfn.XLOOKUP(order[[#This Row],[order_id]],shipment[shipment_id],shipment[courier])</f>
        <v>DTDC</v>
      </c>
      <c r="S371" s="3">
        <f>order[[#This Row],[selling_price]]-order[[#This Row],[cost_price]]*order[[#This Row],[quantity]]-order[[#This Row],[discount]]</f>
        <v>14835</v>
      </c>
      <c r="T371" s="3">
        <f>order[[#This Row],[quantity]]*order[[#This Row],[selling_price]]</f>
        <v>190408</v>
      </c>
    </row>
    <row r="372" spans="1:20" x14ac:dyDescent="0.3">
      <c r="A372">
        <v>371</v>
      </c>
      <c r="B372" s="11">
        <v>45486</v>
      </c>
      <c r="C372">
        <v>126</v>
      </c>
      <c r="D372" t="str">
        <f>_xlfn.XLOOKUP(order[[#This Row],[customer_id]],customer[customer_id],customer[customer_name])</f>
        <v>Meera Joshi</v>
      </c>
      <c r="E372">
        <v>207</v>
      </c>
      <c r="F372">
        <v>1</v>
      </c>
      <c r="G372">
        <v>32598</v>
      </c>
      <c r="H372">
        <v>1549</v>
      </c>
      <c r="I372" t="s">
        <v>11</v>
      </c>
      <c r="J372" t="s">
        <v>14</v>
      </c>
      <c r="K372" t="str">
        <f>_xlfn.XLOOKUP(order[[#This Row],[customer_id]],customer[customer_id],customer[city])</f>
        <v>Mumbai</v>
      </c>
      <c r="L372" t="str">
        <f>_xlfn.XLOOKUP(order[[#This Row],[customer_id]],customer[customer_id],customer[state])</f>
        <v>Maharashtra</v>
      </c>
      <c r="M372" t="str">
        <f>_xlfn.XLOOKUP(order[[#This Row],[product_id]],products!$A$2:$A$11,products!$B$2:$B$11)</f>
        <v>Sony WH-1000XM4 Headphones</v>
      </c>
      <c r="N372" s="3" t="str">
        <f>_xlfn.XLOOKUP(order[[#This Row],[product_id]],products!$A$2:$A$11,products!$C$2:$C$11)</f>
        <v>Electronics</v>
      </c>
      <c r="O372" s="3">
        <f>_xlfn.XLOOKUP(order[[#This Row],[product_id]],Table4[product_id],Table4[cost_price])</f>
        <v>20000</v>
      </c>
      <c r="P372" s="11">
        <f>_xlfn.XLOOKUP(order[[#This Row],[order_id]],shipment[order_id],shipment[ship_date])</f>
        <v>45346</v>
      </c>
      <c r="Q372" s="11">
        <f>_xlfn.XLOOKUP(order[[#This Row],[order_id]],shipment[order_id],shipment[delivery_date])</f>
        <v>45356</v>
      </c>
      <c r="R372" s="3" t="str">
        <f>_xlfn.XLOOKUP(order[[#This Row],[order_id]],shipment[shipment_id],shipment[courier])</f>
        <v>BlueDart</v>
      </c>
      <c r="S372" s="3">
        <f>order[[#This Row],[selling_price]]-order[[#This Row],[cost_price]]*order[[#This Row],[quantity]]-order[[#This Row],[discount]]</f>
        <v>11049</v>
      </c>
      <c r="T372" s="3">
        <f>order[[#This Row],[quantity]]*order[[#This Row],[selling_price]]</f>
        <v>32598</v>
      </c>
    </row>
    <row r="373" spans="1:20" x14ac:dyDescent="0.3">
      <c r="A373">
        <v>372</v>
      </c>
      <c r="B373" s="11">
        <v>45404</v>
      </c>
      <c r="C373">
        <v>171</v>
      </c>
      <c r="D373" t="str">
        <f>_xlfn.XLOOKUP(order[[#This Row],[customer_id]],customer[customer_id],customer[customer_name])</f>
        <v>Vikram Singh</v>
      </c>
      <c r="E373">
        <v>206</v>
      </c>
      <c r="F373">
        <v>3</v>
      </c>
      <c r="G373">
        <v>24572</v>
      </c>
      <c r="H373">
        <v>2188</v>
      </c>
      <c r="I373" t="s">
        <v>15</v>
      </c>
      <c r="J373" t="s">
        <v>14</v>
      </c>
      <c r="K373" t="str">
        <f>_xlfn.XLOOKUP(order[[#This Row],[customer_id]],customer[customer_id],customer[city])</f>
        <v>Pune</v>
      </c>
      <c r="L373" t="str">
        <f>_xlfn.XLOOKUP(order[[#This Row],[customer_id]],customer[customer_id],customer[state])</f>
        <v>Maharashtra</v>
      </c>
      <c r="M373" t="str">
        <f>_xlfn.XLOOKUP(order[[#This Row],[product_id]],products!$A$2:$A$11,products!$B$2:$B$11)</f>
        <v>Philips Air Fryer</v>
      </c>
      <c r="N373" s="3" t="str">
        <f>_xlfn.XLOOKUP(order[[#This Row],[product_id]],products!$A$2:$A$11,products!$C$2:$C$11)</f>
        <v>Home &amp; Kitchen</v>
      </c>
      <c r="O373" s="3">
        <f>_xlfn.XLOOKUP(order[[#This Row],[product_id]],Table4[product_id],Table4[cost_price])</f>
        <v>7000</v>
      </c>
      <c r="P373" s="11">
        <f>_xlfn.XLOOKUP(order[[#This Row],[order_id]],shipment[order_id],shipment[ship_date])</f>
        <v>45476</v>
      </c>
      <c r="Q373" s="11">
        <f>_xlfn.XLOOKUP(order[[#This Row],[order_id]],shipment[order_id],shipment[delivery_date])</f>
        <v>45483</v>
      </c>
      <c r="R373" s="3" t="str">
        <f>_xlfn.XLOOKUP(order[[#This Row],[order_id]],shipment[shipment_id],shipment[courier])</f>
        <v>DTDC</v>
      </c>
      <c r="S373" s="3">
        <f>order[[#This Row],[selling_price]]-order[[#This Row],[cost_price]]*order[[#This Row],[quantity]]-order[[#This Row],[discount]]</f>
        <v>1384</v>
      </c>
      <c r="T373" s="3">
        <f>order[[#This Row],[quantity]]*order[[#This Row],[selling_price]]</f>
        <v>73716</v>
      </c>
    </row>
    <row r="374" spans="1:20" x14ac:dyDescent="0.3">
      <c r="A374">
        <v>373</v>
      </c>
      <c r="B374" s="11">
        <v>45602</v>
      </c>
      <c r="C374">
        <v>146</v>
      </c>
      <c r="D374" t="str">
        <f>_xlfn.XLOOKUP(order[[#This Row],[customer_id]],customer[customer_id],customer[customer_name])</f>
        <v>Siddharth Jain</v>
      </c>
      <c r="E374">
        <v>202</v>
      </c>
      <c r="F374">
        <v>1</v>
      </c>
      <c r="G374">
        <v>49312</v>
      </c>
      <c r="H374">
        <v>1519</v>
      </c>
      <c r="I374" t="s">
        <v>13</v>
      </c>
      <c r="J374" t="s">
        <v>10</v>
      </c>
      <c r="K374" t="str">
        <f>_xlfn.XLOOKUP(order[[#This Row],[customer_id]],customer[customer_id],customer[city])</f>
        <v>Hyderabad</v>
      </c>
      <c r="L374" t="str">
        <f>_xlfn.XLOOKUP(order[[#This Row],[customer_id]],customer[customer_id],customer[state])</f>
        <v>Telangana</v>
      </c>
      <c r="M374" t="str">
        <f>_xlfn.XLOOKUP(order[[#This Row],[product_id]],products!$A$2:$A$11,products!$B$2:$B$11)</f>
        <v>Samsung Galaxy S21</v>
      </c>
      <c r="N374" s="3" t="str">
        <f>_xlfn.XLOOKUP(order[[#This Row],[product_id]],products!$A$2:$A$11,products!$C$2:$C$11)</f>
        <v>Electronics</v>
      </c>
      <c r="O374" s="3">
        <f>_xlfn.XLOOKUP(order[[#This Row],[product_id]],Table4[product_id],Table4[cost_price])</f>
        <v>45000</v>
      </c>
      <c r="P374" s="11">
        <f>_xlfn.XLOOKUP(order[[#This Row],[order_id]],shipment[order_id],shipment[ship_date])</f>
        <v>45354</v>
      </c>
      <c r="Q374" s="11">
        <f>_xlfn.XLOOKUP(order[[#This Row],[order_id]],shipment[order_id],shipment[delivery_date])</f>
        <v>45357</v>
      </c>
      <c r="R374" s="3" t="str">
        <f>_xlfn.XLOOKUP(order[[#This Row],[order_id]],shipment[shipment_id],shipment[courier])</f>
        <v>DTDC</v>
      </c>
      <c r="S374" s="3">
        <f>order[[#This Row],[selling_price]]-order[[#This Row],[cost_price]]*order[[#This Row],[quantity]]-order[[#This Row],[discount]]</f>
        <v>2793</v>
      </c>
      <c r="T374" s="3">
        <f>order[[#This Row],[quantity]]*order[[#This Row],[selling_price]]</f>
        <v>49312</v>
      </c>
    </row>
    <row r="375" spans="1:20" x14ac:dyDescent="0.3">
      <c r="A375">
        <v>374</v>
      </c>
      <c r="B375" s="11">
        <v>45400</v>
      </c>
      <c r="C375">
        <v>295</v>
      </c>
      <c r="D375" t="str">
        <f>_xlfn.XLOOKUP(order[[#This Row],[customer_id]],customer[customer_id],customer[customer_name])</f>
        <v>Aarav Sharma</v>
      </c>
      <c r="E375">
        <v>209</v>
      </c>
      <c r="F375">
        <v>1</v>
      </c>
      <c r="G375">
        <v>40242</v>
      </c>
      <c r="H375">
        <v>859</v>
      </c>
      <c r="I375" t="s">
        <v>13</v>
      </c>
      <c r="J375" t="s">
        <v>12</v>
      </c>
      <c r="K375" t="str">
        <f>_xlfn.XLOOKUP(order[[#This Row],[customer_id]],customer[customer_id],customer[city])</f>
        <v>Chennai</v>
      </c>
      <c r="L375" t="str">
        <f>_xlfn.XLOOKUP(order[[#This Row],[customer_id]],customer[customer_id],customer[state])</f>
        <v>Tamil Nadu</v>
      </c>
      <c r="M375" t="str">
        <f>_xlfn.XLOOKUP(order[[#This Row],[product_id]],products!$A$2:$A$11,products!$B$2:$B$11)</f>
        <v>Milton Thermosteel Bottle</v>
      </c>
      <c r="N375" s="3" t="str">
        <f>_xlfn.XLOOKUP(order[[#This Row],[product_id]],products!$A$2:$A$11,products!$C$2:$C$11)</f>
        <v>Home &amp; Kitchen</v>
      </c>
      <c r="O375" s="3">
        <f>_xlfn.XLOOKUP(order[[#This Row],[product_id]],Table4[product_id],Table4[cost_price])</f>
        <v>800</v>
      </c>
      <c r="P375" s="11">
        <f>_xlfn.XLOOKUP(order[[#This Row],[order_id]],shipment[order_id],shipment[ship_date])</f>
        <v>45499</v>
      </c>
      <c r="Q375" s="11">
        <f>_xlfn.XLOOKUP(order[[#This Row],[order_id]],shipment[order_id],shipment[delivery_date])</f>
        <v>45507</v>
      </c>
      <c r="R375" s="3" t="str">
        <f>_xlfn.XLOOKUP(order[[#This Row],[order_id]],shipment[shipment_id],shipment[courier])</f>
        <v>Delhivery</v>
      </c>
      <c r="S375" s="3">
        <f>order[[#This Row],[selling_price]]-order[[#This Row],[cost_price]]*order[[#This Row],[quantity]]-order[[#This Row],[discount]]</f>
        <v>38583</v>
      </c>
      <c r="T375" s="3">
        <f>order[[#This Row],[quantity]]*order[[#This Row],[selling_price]]</f>
        <v>40242</v>
      </c>
    </row>
    <row r="376" spans="1:20" x14ac:dyDescent="0.3">
      <c r="A376">
        <v>375</v>
      </c>
      <c r="B376" s="11">
        <v>45303</v>
      </c>
      <c r="C376">
        <v>134</v>
      </c>
      <c r="D376" t="str">
        <f>_xlfn.XLOOKUP(order[[#This Row],[customer_id]],customer[customer_id],customer[customer_name])</f>
        <v>Rohit Verma</v>
      </c>
      <c r="E376">
        <v>206</v>
      </c>
      <c r="F376">
        <v>1</v>
      </c>
      <c r="G376">
        <v>36863</v>
      </c>
      <c r="H376">
        <v>1804</v>
      </c>
      <c r="I376" t="s">
        <v>13</v>
      </c>
      <c r="J376" t="s">
        <v>12</v>
      </c>
      <c r="K376" t="str">
        <f>_xlfn.XLOOKUP(order[[#This Row],[customer_id]],customer[customer_id],customer[city])</f>
        <v>Hyderabad</v>
      </c>
      <c r="L376" t="str">
        <f>_xlfn.XLOOKUP(order[[#This Row],[customer_id]],customer[customer_id],customer[state])</f>
        <v>Telangana</v>
      </c>
      <c r="M376" t="str">
        <f>_xlfn.XLOOKUP(order[[#This Row],[product_id]],products!$A$2:$A$11,products!$B$2:$B$11)</f>
        <v>Philips Air Fryer</v>
      </c>
      <c r="N376" s="3" t="str">
        <f>_xlfn.XLOOKUP(order[[#This Row],[product_id]],products!$A$2:$A$11,products!$C$2:$C$11)</f>
        <v>Home &amp; Kitchen</v>
      </c>
      <c r="O376" s="3">
        <f>_xlfn.XLOOKUP(order[[#This Row],[product_id]],Table4[product_id],Table4[cost_price])</f>
        <v>7000</v>
      </c>
      <c r="P376" s="11">
        <f>_xlfn.XLOOKUP(order[[#This Row],[order_id]],shipment[order_id],shipment[ship_date])</f>
        <v>45508</v>
      </c>
      <c r="Q376" s="11">
        <f>_xlfn.XLOOKUP(order[[#This Row],[order_id]],shipment[order_id],shipment[delivery_date])</f>
        <v>45510</v>
      </c>
      <c r="R376" s="3" t="str">
        <f>_xlfn.XLOOKUP(order[[#This Row],[order_id]],shipment[shipment_id],shipment[courier])</f>
        <v>BlueDart</v>
      </c>
      <c r="S376" s="3">
        <f>order[[#This Row],[selling_price]]-order[[#This Row],[cost_price]]*order[[#This Row],[quantity]]-order[[#This Row],[discount]]</f>
        <v>28059</v>
      </c>
      <c r="T376" s="3">
        <f>order[[#This Row],[quantity]]*order[[#This Row],[selling_price]]</f>
        <v>36863</v>
      </c>
    </row>
    <row r="377" spans="1:20" x14ac:dyDescent="0.3">
      <c r="A377">
        <v>423</v>
      </c>
      <c r="B377" s="11">
        <v>45340</v>
      </c>
      <c r="C377">
        <v>214</v>
      </c>
      <c r="D377" t="str">
        <f>_xlfn.XLOOKUP(order[[#This Row],[customer_id]],customer[customer_id],customer[customer_name])</f>
        <v>Ishita Bose</v>
      </c>
      <c r="E377">
        <v>202</v>
      </c>
      <c r="F377">
        <v>3</v>
      </c>
      <c r="G377">
        <v>61019</v>
      </c>
      <c r="H377">
        <v>2721</v>
      </c>
      <c r="I377" t="s">
        <v>13</v>
      </c>
      <c r="J377" t="s">
        <v>14</v>
      </c>
      <c r="K377" t="str">
        <f>_xlfn.XLOOKUP(order[[#This Row],[customer_id]],customer[customer_id],customer[city])</f>
        <v>Mumbai</v>
      </c>
      <c r="L377" t="str">
        <f>_xlfn.XLOOKUP(order[[#This Row],[customer_id]],customer[customer_id],customer[state])</f>
        <v>Maharashtra</v>
      </c>
      <c r="M377" t="str">
        <f>_xlfn.XLOOKUP(order[[#This Row],[product_id]],products!$A$2:$A$11,products!$B$2:$B$11)</f>
        <v>Samsung Galaxy S21</v>
      </c>
      <c r="N377" s="3" t="str">
        <f>_xlfn.XLOOKUP(order[[#This Row],[product_id]],products!$A$2:$A$11,products!$C$2:$C$11)</f>
        <v>Electronics</v>
      </c>
      <c r="O377" s="3">
        <f>_xlfn.XLOOKUP(order[[#This Row],[product_id]],Table4[product_id],Table4[cost_price])</f>
        <v>45000</v>
      </c>
      <c r="P377" s="11">
        <f>_xlfn.XLOOKUP(order[[#This Row],[order_id]],shipment[order_id],shipment[ship_date])</f>
        <v>45451</v>
      </c>
      <c r="Q377" s="11">
        <f>_xlfn.XLOOKUP(order[[#This Row],[order_id]],shipment[order_id],shipment[delivery_date])</f>
        <v>45457</v>
      </c>
      <c r="R377" s="3" t="str">
        <f>_xlfn.XLOOKUP(order[[#This Row],[order_id]],shipment[shipment_id],shipment[courier])</f>
        <v>BlueDart</v>
      </c>
      <c r="S377" s="3">
        <f>order[[#This Row],[selling_price]]-order[[#This Row],[cost_price]]*order[[#This Row],[quantity]]-order[[#This Row],[discount]]</f>
        <v>-76702</v>
      </c>
      <c r="T377" s="3">
        <f>order[[#This Row],[quantity]]*order[[#This Row],[selling_price]]</f>
        <v>183057</v>
      </c>
    </row>
    <row r="378" spans="1:20" x14ac:dyDescent="0.3">
      <c r="A378">
        <v>377</v>
      </c>
      <c r="B378" s="11">
        <v>45413</v>
      </c>
      <c r="C378">
        <v>181</v>
      </c>
      <c r="D378" t="str">
        <f>_xlfn.XLOOKUP(order[[#This Row],[customer_id]],customer[customer_id],customer[customer_name])</f>
        <v>Manish Yadav</v>
      </c>
      <c r="E378">
        <v>209</v>
      </c>
      <c r="F378">
        <v>1</v>
      </c>
      <c r="G378">
        <v>8255</v>
      </c>
      <c r="H378">
        <v>4383</v>
      </c>
      <c r="I378" t="s">
        <v>15</v>
      </c>
      <c r="J378" t="s">
        <v>10</v>
      </c>
      <c r="K378" t="str">
        <f>_xlfn.XLOOKUP(order[[#This Row],[customer_id]],customer[customer_id],customer[city])</f>
        <v>Delhi</v>
      </c>
      <c r="L378" t="str">
        <f>_xlfn.XLOOKUP(order[[#This Row],[customer_id]],customer[customer_id],customer[state])</f>
        <v>Delhi</v>
      </c>
      <c r="M378" t="str">
        <f>_xlfn.XLOOKUP(order[[#This Row],[product_id]],products!$A$2:$A$11,products!$B$2:$B$11)</f>
        <v>Milton Thermosteel Bottle</v>
      </c>
      <c r="N378" s="3" t="str">
        <f>_xlfn.XLOOKUP(order[[#This Row],[product_id]],products!$A$2:$A$11,products!$C$2:$C$11)</f>
        <v>Home &amp; Kitchen</v>
      </c>
      <c r="O378" s="3">
        <f>_xlfn.XLOOKUP(order[[#This Row],[product_id]],Table4[product_id],Table4[cost_price])</f>
        <v>800</v>
      </c>
      <c r="P378" s="11">
        <f>_xlfn.XLOOKUP(order[[#This Row],[order_id]],shipment[order_id],shipment[ship_date])</f>
        <v>45543</v>
      </c>
      <c r="Q378" s="11">
        <f>_xlfn.XLOOKUP(order[[#This Row],[order_id]],shipment[order_id],shipment[delivery_date])</f>
        <v>45545</v>
      </c>
      <c r="R378" s="3" t="str">
        <f>_xlfn.XLOOKUP(order[[#This Row],[order_id]],shipment[shipment_id],shipment[courier])</f>
        <v>BlueDart</v>
      </c>
      <c r="S378" s="3">
        <f>order[[#This Row],[selling_price]]-order[[#This Row],[cost_price]]*order[[#This Row],[quantity]]-order[[#This Row],[discount]]</f>
        <v>3072</v>
      </c>
      <c r="T378" s="3">
        <f>order[[#This Row],[quantity]]*order[[#This Row],[selling_price]]</f>
        <v>8255</v>
      </c>
    </row>
    <row r="379" spans="1:20" x14ac:dyDescent="0.3">
      <c r="A379">
        <v>378</v>
      </c>
      <c r="B379" s="11">
        <v>45405</v>
      </c>
      <c r="C379">
        <v>165</v>
      </c>
      <c r="D379" t="str">
        <f>_xlfn.XLOOKUP(order[[#This Row],[customer_id]],customer[customer_id],customer[customer_name])</f>
        <v>Ishita Bose</v>
      </c>
      <c r="E379">
        <v>204</v>
      </c>
      <c r="F379">
        <v>4</v>
      </c>
      <c r="G379">
        <v>10954</v>
      </c>
      <c r="H379">
        <v>375</v>
      </c>
      <c r="I379" t="s">
        <v>9</v>
      </c>
      <c r="J379" t="s">
        <v>12</v>
      </c>
      <c r="K379" t="str">
        <f>_xlfn.XLOOKUP(order[[#This Row],[customer_id]],customer[customer_id],customer[city])</f>
        <v>Pune</v>
      </c>
      <c r="L379" t="str">
        <f>_xlfn.XLOOKUP(order[[#This Row],[customer_id]],customer[customer_id],customer[state])</f>
        <v>Maharashtra</v>
      </c>
      <c r="M379" t="str">
        <f>_xlfn.XLOOKUP(order[[#This Row],[product_id]],products!$A$2:$A$11,products!$B$2:$B$11)</f>
        <v>Levi's Slim Fit Jeans</v>
      </c>
      <c r="N379" s="3" t="str">
        <f>_xlfn.XLOOKUP(order[[#This Row],[product_id]],products!$A$2:$A$11,products!$C$2:$C$11)</f>
        <v>Fashion</v>
      </c>
      <c r="O379" s="3">
        <f>_xlfn.XLOOKUP(order[[#This Row],[product_id]],Table4[product_id],Table4[cost_price])</f>
        <v>1800</v>
      </c>
      <c r="P379" s="11">
        <f>_xlfn.XLOOKUP(order[[#This Row],[order_id]],shipment[order_id],shipment[ship_date])</f>
        <v>45306</v>
      </c>
      <c r="Q379" s="11">
        <f>_xlfn.XLOOKUP(order[[#This Row],[order_id]],shipment[order_id],shipment[delivery_date])</f>
        <v>45307</v>
      </c>
      <c r="R379" s="3" t="str">
        <f>_xlfn.XLOOKUP(order[[#This Row],[order_id]],shipment[shipment_id],shipment[courier])</f>
        <v>Delhivery</v>
      </c>
      <c r="S379" s="3">
        <f>order[[#This Row],[selling_price]]-order[[#This Row],[cost_price]]*order[[#This Row],[quantity]]-order[[#This Row],[discount]]</f>
        <v>3379</v>
      </c>
      <c r="T379" s="3">
        <f>order[[#This Row],[quantity]]*order[[#This Row],[selling_price]]</f>
        <v>43816</v>
      </c>
    </row>
    <row r="380" spans="1:20" x14ac:dyDescent="0.3">
      <c r="A380">
        <v>379</v>
      </c>
      <c r="B380" s="11">
        <v>45594</v>
      </c>
      <c r="C380">
        <v>255</v>
      </c>
      <c r="D380" t="str">
        <f>_xlfn.XLOOKUP(order[[#This Row],[customer_id]],customer[customer_id],customer[customer_name])</f>
        <v>Meera Joshi</v>
      </c>
      <c r="E380">
        <v>204</v>
      </c>
      <c r="F380">
        <v>1</v>
      </c>
      <c r="G380">
        <v>13024</v>
      </c>
      <c r="H380">
        <v>942</v>
      </c>
      <c r="I380" t="s">
        <v>9</v>
      </c>
      <c r="J380" t="s">
        <v>14</v>
      </c>
      <c r="K380" t="str">
        <f>_xlfn.XLOOKUP(order[[#This Row],[customer_id]],customer[customer_id],customer[city])</f>
        <v>Ahmedabad</v>
      </c>
      <c r="L380" t="str">
        <f>_xlfn.XLOOKUP(order[[#This Row],[customer_id]],customer[customer_id],customer[state])</f>
        <v>Gujarat</v>
      </c>
      <c r="M380" t="str">
        <f>_xlfn.XLOOKUP(order[[#This Row],[product_id]],products!$A$2:$A$11,products!$B$2:$B$11)</f>
        <v>Levi's Slim Fit Jeans</v>
      </c>
      <c r="N380" s="3" t="str">
        <f>_xlfn.XLOOKUP(order[[#This Row],[product_id]],products!$A$2:$A$11,products!$C$2:$C$11)</f>
        <v>Fashion</v>
      </c>
      <c r="O380" s="3">
        <f>_xlfn.XLOOKUP(order[[#This Row],[product_id]],Table4[product_id],Table4[cost_price])</f>
        <v>1800</v>
      </c>
      <c r="P380" s="11">
        <f>_xlfn.XLOOKUP(order[[#This Row],[order_id]],shipment[order_id],shipment[ship_date])</f>
        <v>45302</v>
      </c>
      <c r="Q380" s="11">
        <f>_xlfn.XLOOKUP(order[[#This Row],[order_id]],shipment[order_id],shipment[delivery_date])</f>
        <v>45310</v>
      </c>
      <c r="R380" s="3" t="str">
        <f>_xlfn.XLOOKUP(order[[#This Row],[order_id]],shipment[shipment_id],shipment[courier])</f>
        <v>Ekart</v>
      </c>
      <c r="S380" s="3">
        <f>order[[#This Row],[selling_price]]-order[[#This Row],[cost_price]]*order[[#This Row],[quantity]]-order[[#This Row],[discount]]</f>
        <v>10282</v>
      </c>
      <c r="T380" s="3">
        <f>order[[#This Row],[quantity]]*order[[#This Row],[selling_price]]</f>
        <v>13024</v>
      </c>
    </row>
    <row r="381" spans="1:20" x14ac:dyDescent="0.3">
      <c r="A381">
        <v>809</v>
      </c>
      <c r="B381" s="11">
        <v>45310</v>
      </c>
      <c r="C381">
        <v>115</v>
      </c>
      <c r="D381" t="str">
        <f>_xlfn.XLOOKUP(order[[#This Row],[customer_id]],customer[customer_id],customer[customer_name])</f>
        <v>Siddharth Jain</v>
      </c>
      <c r="E381">
        <v>202</v>
      </c>
      <c r="F381">
        <v>1</v>
      </c>
      <c r="G381">
        <v>40895</v>
      </c>
      <c r="H381">
        <v>2719</v>
      </c>
      <c r="I381" t="s">
        <v>11</v>
      </c>
      <c r="J381" t="s">
        <v>12</v>
      </c>
      <c r="K381" t="str">
        <f>_xlfn.XLOOKUP(order[[#This Row],[customer_id]],customer[customer_id],customer[city])</f>
        <v>Delhi</v>
      </c>
      <c r="L381" t="str">
        <f>_xlfn.XLOOKUP(order[[#This Row],[customer_id]],customer[customer_id],customer[state])</f>
        <v>Delhi</v>
      </c>
      <c r="M381" t="str">
        <f>_xlfn.XLOOKUP(order[[#This Row],[product_id]],products!$A$2:$A$11,products!$B$2:$B$11)</f>
        <v>Samsung Galaxy S21</v>
      </c>
      <c r="N381" s="3" t="str">
        <f>_xlfn.XLOOKUP(order[[#This Row],[product_id]],products!$A$2:$A$11,products!$C$2:$C$11)</f>
        <v>Electronics</v>
      </c>
      <c r="O381" s="3">
        <f>_xlfn.XLOOKUP(order[[#This Row],[product_id]],Table4[product_id],Table4[cost_price])</f>
        <v>45000</v>
      </c>
      <c r="P381" s="11">
        <f>_xlfn.XLOOKUP(order[[#This Row],[order_id]],shipment[order_id],shipment[ship_date])</f>
        <v>45304</v>
      </c>
      <c r="Q381" s="11">
        <f>_xlfn.XLOOKUP(order[[#This Row],[order_id]],shipment[order_id],shipment[delivery_date])</f>
        <v>45307</v>
      </c>
      <c r="R381" s="3" t="str">
        <f>_xlfn.XLOOKUP(order[[#This Row],[order_id]],shipment[shipment_id],shipment[courier])</f>
        <v>Ekart</v>
      </c>
      <c r="S381" s="3">
        <f>order[[#This Row],[selling_price]]-order[[#This Row],[cost_price]]*order[[#This Row],[quantity]]-order[[#This Row],[discount]]</f>
        <v>-6824</v>
      </c>
      <c r="T381" s="3">
        <f>order[[#This Row],[quantity]]*order[[#This Row],[selling_price]]</f>
        <v>40895</v>
      </c>
    </row>
    <row r="382" spans="1:20" x14ac:dyDescent="0.3">
      <c r="A382">
        <v>381</v>
      </c>
      <c r="B382" s="11">
        <v>45571</v>
      </c>
      <c r="C382">
        <v>279</v>
      </c>
      <c r="D382" t="str">
        <f>_xlfn.XLOOKUP(order[[#This Row],[customer_id]],customer[customer_id],customer[customer_name])</f>
        <v>Rohit Verma</v>
      </c>
      <c r="E382">
        <v>203</v>
      </c>
      <c r="F382">
        <v>3</v>
      </c>
      <c r="G382">
        <v>59558</v>
      </c>
      <c r="H382">
        <v>2155</v>
      </c>
      <c r="I382" t="s">
        <v>15</v>
      </c>
      <c r="J382" t="s">
        <v>14</v>
      </c>
      <c r="K382" t="str">
        <f>_xlfn.XLOOKUP(order[[#This Row],[customer_id]],customer[customer_id],customer[city])</f>
        <v>Pune</v>
      </c>
      <c r="L382" t="str">
        <f>_xlfn.XLOOKUP(order[[#This Row],[customer_id]],customer[customer_id],customer[state])</f>
        <v>Maharashtra</v>
      </c>
      <c r="M382" t="str">
        <f>_xlfn.XLOOKUP(order[[#This Row],[product_id]],products!$A$2:$A$11,products!$B$2:$B$11)</f>
        <v>Nike Air Max Shoes</v>
      </c>
      <c r="N382" s="3" t="str">
        <f>_xlfn.XLOOKUP(order[[#This Row],[product_id]],products!$A$2:$A$11,products!$C$2:$C$11)</f>
        <v>Fashion</v>
      </c>
      <c r="O382" s="3">
        <f>_xlfn.XLOOKUP(order[[#This Row],[product_id]],Table4[product_id],Table4[cost_price])</f>
        <v>4000</v>
      </c>
      <c r="P382" s="11">
        <f>_xlfn.XLOOKUP(order[[#This Row],[order_id]],shipment[order_id],shipment[ship_date])</f>
        <v>45449</v>
      </c>
      <c r="Q382" s="11">
        <f>_xlfn.XLOOKUP(order[[#This Row],[order_id]],shipment[order_id],shipment[delivery_date])</f>
        <v>45456</v>
      </c>
      <c r="R382" s="3" t="str">
        <f>_xlfn.XLOOKUP(order[[#This Row],[order_id]],shipment[shipment_id],shipment[courier])</f>
        <v>Ekart</v>
      </c>
      <c r="S382" s="3">
        <f>order[[#This Row],[selling_price]]-order[[#This Row],[cost_price]]*order[[#This Row],[quantity]]-order[[#This Row],[discount]]</f>
        <v>45403</v>
      </c>
      <c r="T382" s="3">
        <f>order[[#This Row],[quantity]]*order[[#This Row],[selling_price]]</f>
        <v>178674</v>
      </c>
    </row>
    <row r="383" spans="1:20" x14ac:dyDescent="0.3">
      <c r="A383">
        <v>382</v>
      </c>
      <c r="B383" s="11">
        <v>45585</v>
      </c>
      <c r="C383">
        <v>176</v>
      </c>
      <c r="D383" t="str">
        <f>_xlfn.XLOOKUP(order[[#This Row],[customer_id]],customer[customer_id],customer[customer_name])</f>
        <v>Manish Yadav</v>
      </c>
      <c r="E383">
        <v>208</v>
      </c>
      <c r="F383">
        <v>1</v>
      </c>
      <c r="G383">
        <v>57200</v>
      </c>
      <c r="H383">
        <v>2926</v>
      </c>
      <c r="I383" t="s">
        <v>11</v>
      </c>
      <c r="J383" t="s">
        <v>12</v>
      </c>
      <c r="K383" t="str">
        <f>_xlfn.XLOOKUP(order[[#This Row],[customer_id]],customer[customer_id],customer[city])</f>
        <v>Pune</v>
      </c>
      <c r="L383" t="str">
        <f>_xlfn.XLOOKUP(order[[#This Row],[customer_id]],customer[customer_id],customer[state])</f>
        <v>Maharashtra</v>
      </c>
      <c r="M383" t="str">
        <f>_xlfn.XLOOKUP(order[[#This Row],[product_id]],products!$A$2:$A$11,products!$B$2:$B$11)</f>
        <v>Adidas Ultraboost Shoes</v>
      </c>
      <c r="N383" s="3" t="str">
        <f>_xlfn.XLOOKUP(order[[#This Row],[product_id]],products!$A$2:$A$11,products!$C$2:$C$11)</f>
        <v>Fashion</v>
      </c>
      <c r="O383" s="3">
        <f>_xlfn.XLOOKUP(order[[#This Row],[product_id]],Table4[product_id],Table4[cost_price])</f>
        <v>9000</v>
      </c>
      <c r="P383" s="11">
        <f>_xlfn.XLOOKUP(order[[#This Row],[order_id]],shipment[order_id],shipment[ship_date])</f>
        <v>45589</v>
      </c>
      <c r="Q383" s="11">
        <f>_xlfn.XLOOKUP(order[[#This Row],[order_id]],shipment[order_id],shipment[delivery_date])</f>
        <v>45592</v>
      </c>
      <c r="R383" s="3" t="str">
        <f>_xlfn.XLOOKUP(order[[#This Row],[order_id]],shipment[shipment_id],shipment[courier])</f>
        <v>Delhivery</v>
      </c>
      <c r="S383" s="3">
        <f>order[[#This Row],[selling_price]]-order[[#This Row],[cost_price]]*order[[#This Row],[quantity]]-order[[#This Row],[discount]]</f>
        <v>45274</v>
      </c>
      <c r="T383" s="3">
        <f>order[[#This Row],[quantity]]*order[[#This Row],[selling_price]]</f>
        <v>57200</v>
      </c>
    </row>
    <row r="384" spans="1:20" x14ac:dyDescent="0.3">
      <c r="A384">
        <v>383</v>
      </c>
      <c r="B384" s="11">
        <v>45480</v>
      </c>
      <c r="C384">
        <v>216</v>
      </c>
      <c r="D384" t="str">
        <f>_xlfn.XLOOKUP(order[[#This Row],[customer_id]],customer[customer_id],customer[customer_name])</f>
        <v>Karan Patel</v>
      </c>
      <c r="E384">
        <v>209</v>
      </c>
      <c r="F384">
        <v>2</v>
      </c>
      <c r="G384">
        <v>12787</v>
      </c>
      <c r="H384">
        <v>3226</v>
      </c>
      <c r="I384" t="s">
        <v>13</v>
      </c>
      <c r="J384" t="s">
        <v>10</v>
      </c>
      <c r="K384" t="str">
        <f>_xlfn.XLOOKUP(order[[#This Row],[customer_id]],customer[customer_id],customer[city])</f>
        <v>Pune</v>
      </c>
      <c r="L384" t="str">
        <f>_xlfn.XLOOKUP(order[[#This Row],[customer_id]],customer[customer_id],customer[state])</f>
        <v>Maharashtra</v>
      </c>
      <c r="M384" t="str">
        <f>_xlfn.XLOOKUP(order[[#This Row],[product_id]],products!$A$2:$A$11,products!$B$2:$B$11)</f>
        <v>Milton Thermosteel Bottle</v>
      </c>
      <c r="N384" s="3" t="str">
        <f>_xlfn.XLOOKUP(order[[#This Row],[product_id]],products!$A$2:$A$11,products!$C$2:$C$11)</f>
        <v>Home &amp; Kitchen</v>
      </c>
      <c r="O384" s="3">
        <f>_xlfn.XLOOKUP(order[[#This Row],[product_id]],Table4[product_id],Table4[cost_price])</f>
        <v>800</v>
      </c>
      <c r="P384" s="11">
        <f>_xlfn.XLOOKUP(order[[#This Row],[order_id]],shipment[order_id],shipment[ship_date])</f>
        <v>45343</v>
      </c>
      <c r="Q384" s="11">
        <f>_xlfn.XLOOKUP(order[[#This Row],[order_id]],shipment[order_id],shipment[delivery_date])</f>
        <v>45345</v>
      </c>
      <c r="R384" s="3" t="str">
        <f>_xlfn.XLOOKUP(order[[#This Row],[order_id]],shipment[shipment_id],shipment[courier])</f>
        <v>Delhivery</v>
      </c>
      <c r="S384" s="3">
        <f>order[[#This Row],[selling_price]]-order[[#This Row],[cost_price]]*order[[#This Row],[quantity]]-order[[#This Row],[discount]]</f>
        <v>7961</v>
      </c>
      <c r="T384" s="3">
        <f>order[[#This Row],[quantity]]*order[[#This Row],[selling_price]]</f>
        <v>25574</v>
      </c>
    </row>
    <row r="385" spans="1:20" x14ac:dyDescent="0.3">
      <c r="A385">
        <v>144</v>
      </c>
      <c r="B385" s="11">
        <v>45335</v>
      </c>
      <c r="C385">
        <v>125</v>
      </c>
      <c r="D385" t="str">
        <f>_xlfn.XLOOKUP(order[[#This Row],[customer_id]],customer[customer_id],customer[customer_name])</f>
        <v>Vikram Singh</v>
      </c>
      <c r="E385">
        <v>202</v>
      </c>
      <c r="F385">
        <v>4</v>
      </c>
      <c r="G385">
        <v>28918</v>
      </c>
      <c r="H385">
        <v>2663</v>
      </c>
      <c r="I385" t="s">
        <v>15</v>
      </c>
      <c r="J385" t="s">
        <v>12</v>
      </c>
      <c r="K385" t="str">
        <f>_xlfn.XLOOKUP(order[[#This Row],[customer_id]],customer[customer_id],customer[city])</f>
        <v>Chennai</v>
      </c>
      <c r="L385" t="str">
        <f>_xlfn.XLOOKUP(order[[#This Row],[customer_id]],customer[customer_id],customer[state])</f>
        <v>Tamil Nadu</v>
      </c>
      <c r="M385" t="str">
        <f>_xlfn.XLOOKUP(order[[#This Row],[product_id]],products!$A$2:$A$11,products!$B$2:$B$11)</f>
        <v>Samsung Galaxy S21</v>
      </c>
      <c r="N385" s="3" t="str">
        <f>_xlfn.XLOOKUP(order[[#This Row],[product_id]],products!$A$2:$A$11,products!$C$2:$C$11)</f>
        <v>Electronics</v>
      </c>
      <c r="O385" s="3">
        <f>_xlfn.XLOOKUP(order[[#This Row],[product_id]],Table4[product_id],Table4[cost_price])</f>
        <v>45000</v>
      </c>
      <c r="P385" s="11">
        <f>_xlfn.XLOOKUP(order[[#This Row],[order_id]],shipment[order_id],shipment[ship_date])</f>
        <v>45491</v>
      </c>
      <c r="Q385" s="11">
        <f>_xlfn.XLOOKUP(order[[#This Row],[order_id]],shipment[order_id],shipment[delivery_date])</f>
        <v>45494</v>
      </c>
      <c r="R385" s="3" t="str">
        <f>_xlfn.XLOOKUP(order[[#This Row],[order_id]],shipment[shipment_id],shipment[courier])</f>
        <v>Delhivery</v>
      </c>
      <c r="S385" s="3">
        <f>order[[#This Row],[selling_price]]-order[[#This Row],[cost_price]]*order[[#This Row],[quantity]]-order[[#This Row],[discount]]</f>
        <v>-153745</v>
      </c>
      <c r="T385" s="3">
        <f>order[[#This Row],[quantity]]*order[[#This Row],[selling_price]]</f>
        <v>115672</v>
      </c>
    </row>
    <row r="386" spans="1:20" x14ac:dyDescent="0.3">
      <c r="A386">
        <v>196</v>
      </c>
      <c r="B386" s="11">
        <v>45647</v>
      </c>
      <c r="C386">
        <v>250</v>
      </c>
      <c r="D386" t="str">
        <f>_xlfn.XLOOKUP(order[[#This Row],[customer_id]],customer[customer_id],customer[customer_name])</f>
        <v>Vikram Singh</v>
      </c>
      <c r="E386">
        <v>202</v>
      </c>
      <c r="F386">
        <v>3</v>
      </c>
      <c r="G386">
        <v>30875</v>
      </c>
      <c r="H386">
        <v>2640</v>
      </c>
      <c r="I386" t="s">
        <v>11</v>
      </c>
      <c r="J386" t="s">
        <v>10</v>
      </c>
      <c r="K386" t="str">
        <f>_xlfn.XLOOKUP(order[[#This Row],[customer_id]],customer[customer_id],customer[city])</f>
        <v>Bangalore</v>
      </c>
      <c r="L386" t="str">
        <f>_xlfn.XLOOKUP(order[[#This Row],[customer_id]],customer[customer_id],customer[state])</f>
        <v>Karnataka</v>
      </c>
      <c r="M386" t="str">
        <f>_xlfn.XLOOKUP(order[[#This Row],[product_id]],products!$A$2:$A$11,products!$B$2:$B$11)</f>
        <v>Samsung Galaxy S21</v>
      </c>
      <c r="N386" s="3" t="str">
        <f>_xlfn.XLOOKUP(order[[#This Row],[product_id]],products!$A$2:$A$11,products!$C$2:$C$11)</f>
        <v>Electronics</v>
      </c>
      <c r="O386" s="3">
        <f>_xlfn.XLOOKUP(order[[#This Row],[product_id]],Table4[product_id],Table4[cost_price])</f>
        <v>45000</v>
      </c>
      <c r="P386" s="11">
        <f>_xlfn.XLOOKUP(order[[#This Row],[order_id]],shipment[order_id],shipment[ship_date])</f>
        <v>45587</v>
      </c>
      <c r="Q386" s="11">
        <f>_xlfn.XLOOKUP(order[[#This Row],[order_id]],shipment[order_id],shipment[delivery_date])</f>
        <v>45590</v>
      </c>
      <c r="R386" s="3" t="str">
        <f>_xlfn.XLOOKUP(order[[#This Row],[order_id]],shipment[shipment_id],shipment[courier])</f>
        <v>Delhivery</v>
      </c>
      <c r="S386" s="3">
        <f>order[[#This Row],[selling_price]]-order[[#This Row],[cost_price]]*order[[#This Row],[quantity]]-order[[#This Row],[discount]]</f>
        <v>-106765</v>
      </c>
      <c r="T386" s="3">
        <f>order[[#This Row],[quantity]]*order[[#This Row],[selling_price]]</f>
        <v>92625</v>
      </c>
    </row>
    <row r="387" spans="1:20" x14ac:dyDescent="0.3">
      <c r="A387">
        <v>511</v>
      </c>
      <c r="B387" s="11">
        <v>45307</v>
      </c>
      <c r="C387">
        <v>256</v>
      </c>
      <c r="D387" t="str">
        <f>_xlfn.XLOOKUP(order[[#This Row],[customer_id]],customer[customer_id],customer[customer_name])</f>
        <v>Priya Reddy</v>
      </c>
      <c r="E387">
        <v>202</v>
      </c>
      <c r="F387">
        <v>2</v>
      </c>
      <c r="G387">
        <v>18852</v>
      </c>
      <c r="H387">
        <v>2494</v>
      </c>
      <c r="I387" t="s">
        <v>9</v>
      </c>
      <c r="J387" t="s">
        <v>10</v>
      </c>
      <c r="K387" t="str">
        <f>_xlfn.XLOOKUP(order[[#This Row],[customer_id]],customer[customer_id],customer[city])</f>
        <v>Hyderabad</v>
      </c>
      <c r="L387" t="str">
        <f>_xlfn.XLOOKUP(order[[#This Row],[customer_id]],customer[customer_id],customer[state])</f>
        <v>Telangana</v>
      </c>
      <c r="M387" t="str">
        <f>_xlfn.XLOOKUP(order[[#This Row],[product_id]],products!$A$2:$A$11,products!$B$2:$B$11)</f>
        <v>Samsung Galaxy S21</v>
      </c>
      <c r="N387" s="3" t="str">
        <f>_xlfn.XLOOKUP(order[[#This Row],[product_id]],products!$A$2:$A$11,products!$C$2:$C$11)</f>
        <v>Electronics</v>
      </c>
      <c r="O387" s="3">
        <f>_xlfn.XLOOKUP(order[[#This Row],[product_id]],Table4[product_id],Table4[cost_price])</f>
        <v>45000</v>
      </c>
      <c r="P387" s="11">
        <f>_xlfn.XLOOKUP(order[[#This Row],[order_id]],shipment[order_id],shipment[ship_date])</f>
        <v>45567</v>
      </c>
      <c r="Q387" s="11">
        <f>_xlfn.XLOOKUP(order[[#This Row],[order_id]],shipment[order_id],shipment[delivery_date])</f>
        <v>45572</v>
      </c>
      <c r="R387" s="3" t="str">
        <f>_xlfn.XLOOKUP(order[[#This Row],[order_id]],shipment[shipment_id],shipment[courier])</f>
        <v>Ekart</v>
      </c>
      <c r="S387" s="3">
        <f>order[[#This Row],[selling_price]]-order[[#This Row],[cost_price]]*order[[#This Row],[quantity]]-order[[#This Row],[discount]]</f>
        <v>-73642</v>
      </c>
      <c r="T387" s="3">
        <f>order[[#This Row],[quantity]]*order[[#This Row],[selling_price]]</f>
        <v>37704</v>
      </c>
    </row>
    <row r="388" spans="1:20" x14ac:dyDescent="0.3">
      <c r="A388">
        <v>387</v>
      </c>
      <c r="B388" s="11">
        <v>45503</v>
      </c>
      <c r="C388">
        <v>253</v>
      </c>
      <c r="D388" t="str">
        <f>_xlfn.XLOOKUP(order[[#This Row],[customer_id]],customer[customer_id],customer[customer_name])</f>
        <v>Neha Kapoor</v>
      </c>
      <c r="E388">
        <v>205</v>
      </c>
      <c r="F388">
        <v>4</v>
      </c>
      <c r="G388">
        <v>5672</v>
      </c>
      <c r="H388">
        <v>521</v>
      </c>
      <c r="I388" t="s">
        <v>9</v>
      </c>
      <c r="J388" t="s">
        <v>10</v>
      </c>
      <c r="K388" t="str">
        <f>_xlfn.XLOOKUP(order[[#This Row],[customer_id]],customer[customer_id],customer[city])</f>
        <v>Mumbai</v>
      </c>
      <c r="L388" t="str">
        <f>_xlfn.XLOOKUP(order[[#This Row],[customer_id]],customer[customer_id],customer[state])</f>
        <v>Maharashtra</v>
      </c>
      <c r="M388" t="str">
        <f>_xlfn.XLOOKUP(order[[#This Row],[product_id]],products!$A$2:$A$11,products!$B$2:$B$11)</f>
        <v>Prestige Pressure Cooker 5L</v>
      </c>
      <c r="N388" s="3" t="str">
        <f>_xlfn.XLOOKUP(order[[#This Row],[product_id]],products!$A$2:$A$11,products!$C$2:$C$11)</f>
        <v>Home &amp; Kitchen</v>
      </c>
      <c r="O388" s="3">
        <f>_xlfn.XLOOKUP(order[[#This Row],[product_id]],Table4[product_id],Table4[cost_price])</f>
        <v>1200</v>
      </c>
      <c r="P388" s="11">
        <f>_xlfn.XLOOKUP(order[[#This Row],[order_id]],shipment[order_id],shipment[ship_date])</f>
        <v>45315</v>
      </c>
      <c r="Q388" s="11">
        <f>_xlfn.XLOOKUP(order[[#This Row],[order_id]],shipment[order_id],shipment[delivery_date])</f>
        <v>45316</v>
      </c>
      <c r="R388" s="3" t="str">
        <f>_xlfn.XLOOKUP(order[[#This Row],[order_id]],shipment[shipment_id],shipment[courier])</f>
        <v>Delhivery</v>
      </c>
      <c r="S388" s="3">
        <f>order[[#This Row],[selling_price]]-order[[#This Row],[cost_price]]*order[[#This Row],[quantity]]-order[[#This Row],[discount]]</f>
        <v>351</v>
      </c>
      <c r="T388" s="3">
        <f>order[[#This Row],[quantity]]*order[[#This Row],[selling_price]]</f>
        <v>22688</v>
      </c>
    </row>
    <row r="389" spans="1:20" x14ac:dyDescent="0.3">
      <c r="A389">
        <v>996</v>
      </c>
      <c r="B389" s="11">
        <v>45552</v>
      </c>
      <c r="C389">
        <v>255</v>
      </c>
      <c r="D389" t="str">
        <f>_xlfn.XLOOKUP(order[[#This Row],[customer_id]],customer[customer_id],customer[customer_name])</f>
        <v>Meera Joshi</v>
      </c>
      <c r="E389">
        <v>202</v>
      </c>
      <c r="F389">
        <v>2</v>
      </c>
      <c r="G389">
        <v>25558</v>
      </c>
      <c r="H389">
        <v>2416</v>
      </c>
      <c r="I389" t="s">
        <v>11</v>
      </c>
      <c r="J389" t="s">
        <v>12</v>
      </c>
      <c r="K389" t="str">
        <f>_xlfn.XLOOKUP(order[[#This Row],[customer_id]],customer[customer_id],customer[city])</f>
        <v>Ahmedabad</v>
      </c>
      <c r="L389" t="str">
        <f>_xlfn.XLOOKUP(order[[#This Row],[customer_id]],customer[customer_id],customer[state])</f>
        <v>Gujarat</v>
      </c>
      <c r="M389" t="str">
        <f>_xlfn.XLOOKUP(order[[#This Row],[product_id]],products!$A$2:$A$11,products!$B$2:$B$11)</f>
        <v>Samsung Galaxy S21</v>
      </c>
      <c r="N389" s="3" t="str">
        <f>_xlfn.XLOOKUP(order[[#This Row],[product_id]],products!$A$2:$A$11,products!$C$2:$C$11)</f>
        <v>Electronics</v>
      </c>
      <c r="O389" s="3">
        <f>_xlfn.XLOOKUP(order[[#This Row],[product_id]],Table4[product_id],Table4[cost_price])</f>
        <v>45000</v>
      </c>
      <c r="P389" s="11">
        <f>_xlfn.XLOOKUP(order[[#This Row],[order_id]],shipment[order_id],shipment[ship_date])</f>
        <v>45471</v>
      </c>
      <c r="Q389" s="11">
        <f>_xlfn.XLOOKUP(order[[#This Row],[order_id]],shipment[order_id],shipment[delivery_date])</f>
        <v>45472</v>
      </c>
      <c r="R389" s="3" t="str">
        <f>_xlfn.XLOOKUP(order[[#This Row],[order_id]],shipment[shipment_id],shipment[courier])</f>
        <v>DTDC</v>
      </c>
      <c r="S389" s="3">
        <f>order[[#This Row],[selling_price]]-order[[#This Row],[cost_price]]*order[[#This Row],[quantity]]-order[[#This Row],[discount]]</f>
        <v>-66858</v>
      </c>
      <c r="T389" s="3">
        <f>order[[#This Row],[quantity]]*order[[#This Row],[selling_price]]</f>
        <v>51116</v>
      </c>
    </row>
    <row r="390" spans="1:20" x14ac:dyDescent="0.3">
      <c r="A390">
        <v>389</v>
      </c>
      <c r="B390" s="11">
        <v>45521</v>
      </c>
      <c r="C390">
        <v>149</v>
      </c>
      <c r="D390" t="str">
        <f>_xlfn.XLOOKUP(order[[#This Row],[customer_id]],customer[customer_id],customer[customer_name])</f>
        <v>Karan Patel</v>
      </c>
      <c r="E390">
        <v>206</v>
      </c>
      <c r="F390">
        <v>1</v>
      </c>
      <c r="G390">
        <v>22271</v>
      </c>
      <c r="H390">
        <v>611</v>
      </c>
      <c r="I390" t="s">
        <v>9</v>
      </c>
      <c r="J390" t="s">
        <v>10</v>
      </c>
      <c r="K390" t="str">
        <f>_xlfn.XLOOKUP(order[[#This Row],[customer_id]],customer[customer_id],customer[city])</f>
        <v>Delhi</v>
      </c>
      <c r="L390" t="str">
        <f>_xlfn.XLOOKUP(order[[#This Row],[customer_id]],customer[customer_id],customer[state])</f>
        <v>Delhi</v>
      </c>
      <c r="M390" t="str">
        <f>_xlfn.XLOOKUP(order[[#This Row],[product_id]],products!$A$2:$A$11,products!$B$2:$B$11)</f>
        <v>Philips Air Fryer</v>
      </c>
      <c r="N390" s="3" t="str">
        <f>_xlfn.XLOOKUP(order[[#This Row],[product_id]],products!$A$2:$A$11,products!$C$2:$C$11)</f>
        <v>Home &amp; Kitchen</v>
      </c>
      <c r="O390" s="3">
        <f>_xlfn.XLOOKUP(order[[#This Row],[product_id]],Table4[product_id],Table4[cost_price])</f>
        <v>7000</v>
      </c>
      <c r="P390" s="11">
        <f>_xlfn.XLOOKUP(order[[#This Row],[order_id]],shipment[order_id],shipment[ship_date])</f>
        <v>45331</v>
      </c>
      <c r="Q390" s="11">
        <f>_xlfn.XLOOKUP(order[[#This Row],[order_id]],shipment[order_id],shipment[delivery_date])</f>
        <v>45341</v>
      </c>
      <c r="R390" s="3" t="str">
        <f>_xlfn.XLOOKUP(order[[#This Row],[order_id]],shipment[shipment_id],shipment[courier])</f>
        <v>BlueDart</v>
      </c>
      <c r="S390" s="3">
        <f>order[[#This Row],[selling_price]]-order[[#This Row],[cost_price]]*order[[#This Row],[quantity]]-order[[#This Row],[discount]]</f>
        <v>14660</v>
      </c>
      <c r="T390" s="3">
        <f>order[[#This Row],[quantity]]*order[[#This Row],[selling_price]]</f>
        <v>22271</v>
      </c>
    </row>
    <row r="391" spans="1:20" x14ac:dyDescent="0.3">
      <c r="A391">
        <v>390</v>
      </c>
      <c r="B391" s="11">
        <v>45324</v>
      </c>
      <c r="C391">
        <v>250</v>
      </c>
      <c r="D391" t="str">
        <f>_xlfn.XLOOKUP(order[[#This Row],[customer_id]],customer[customer_id],customer[customer_name])</f>
        <v>Vikram Singh</v>
      </c>
      <c r="E391">
        <v>209</v>
      </c>
      <c r="F391">
        <v>2</v>
      </c>
      <c r="G391">
        <v>45956</v>
      </c>
      <c r="H391">
        <v>2076</v>
      </c>
      <c r="I391" t="s">
        <v>13</v>
      </c>
      <c r="J391" t="s">
        <v>10</v>
      </c>
      <c r="K391" t="str">
        <f>_xlfn.XLOOKUP(order[[#This Row],[customer_id]],customer[customer_id],customer[city])</f>
        <v>Bangalore</v>
      </c>
      <c r="L391" t="str">
        <f>_xlfn.XLOOKUP(order[[#This Row],[customer_id]],customer[customer_id],customer[state])</f>
        <v>Karnataka</v>
      </c>
      <c r="M391" t="str">
        <f>_xlfn.XLOOKUP(order[[#This Row],[product_id]],products!$A$2:$A$11,products!$B$2:$B$11)</f>
        <v>Milton Thermosteel Bottle</v>
      </c>
      <c r="N391" s="3" t="str">
        <f>_xlfn.XLOOKUP(order[[#This Row],[product_id]],products!$A$2:$A$11,products!$C$2:$C$11)</f>
        <v>Home &amp; Kitchen</v>
      </c>
      <c r="O391" s="3">
        <f>_xlfn.XLOOKUP(order[[#This Row],[product_id]],Table4[product_id],Table4[cost_price])</f>
        <v>800</v>
      </c>
      <c r="P391" s="11">
        <f>_xlfn.XLOOKUP(order[[#This Row],[order_id]],shipment[order_id],shipment[ship_date])</f>
        <v>45411</v>
      </c>
      <c r="Q391" s="11">
        <f>_xlfn.XLOOKUP(order[[#This Row],[order_id]],shipment[order_id],shipment[delivery_date])</f>
        <v>45418</v>
      </c>
      <c r="R391" s="3" t="str">
        <f>_xlfn.XLOOKUP(order[[#This Row],[order_id]],shipment[shipment_id],shipment[courier])</f>
        <v>DTDC</v>
      </c>
      <c r="S391" s="3">
        <f>order[[#This Row],[selling_price]]-order[[#This Row],[cost_price]]*order[[#This Row],[quantity]]-order[[#This Row],[discount]]</f>
        <v>42280</v>
      </c>
      <c r="T391" s="3">
        <f>order[[#This Row],[quantity]]*order[[#This Row],[selling_price]]</f>
        <v>91912</v>
      </c>
    </row>
    <row r="392" spans="1:20" x14ac:dyDescent="0.3">
      <c r="A392">
        <v>391</v>
      </c>
      <c r="B392" s="11">
        <v>45353</v>
      </c>
      <c r="C392">
        <v>213</v>
      </c>
      <c r="D392" t="str">
        <f>_xlfn.XLOOKUP(order[[#This Row],[customer_id]],customer[customer_id],customer[customer_name])</f>
        <v>Arjun Nair</v>
      </c>
      <c r="E392">
        <v>203</v>
      </c>
      <c r="F392">
        <v>2</v>
      </c>
      <c r="G392">
        <v>57364</v>
      </c>
      <c r="H392">
        <v>3618</v>
      </c>
      <c r="I392" t="s">
        <v>15</v>
      </c>
      <c r="J392" t="s">
        <v>12</v>
      </c>
      <c r="K392" t="str">
        <f>_xlfn.XLOOKUP(order[[#This Row],[customer_id]],customer[customer_id],customer[city])</f>
        <v>Ahmedabad</v>
      </c>
      <c r="L392" t="str">
        <f>_xlfn.XLOOKUP(order[[#This Row],[customer_id]],customer[customer_id],customer[state])</f>
        <v>Gujarat</v>
      </c>
      <c r="M392" t="str">
        <f>_xlfn.XLOOKUP(order[[#This Row],[product_id]],products!$A$2:$A$11,products!$B$2:$B$11)</f>
        <v>Nike Air Max Shoes</v>
      </c>
      <c r="N392" s="3" t="str">
        <f>_xlfn.XLOOKUP(order[[#This Row],[product_id]],products!$A$2:$A$11,products!$C$2:$C$11)</f>
        <v>Fashion</v>
      </c>
      <c r="O392" s="3">
        <f>_xlfn.XLOOKUP(order[[#This Row],[product_id]],Table4[product_id],Table4[cost_price])</f>
        <v>4000</v>
      </c>
      <c r="P392" s="11">
        <f>_xlfn.XLOOKUP(order[[#This Row],[order_id]],shipment[order_id],shipment[ship_date])</f>
        <v>45503</v>
      </c>
      <c r="Q392" s="11">
        <f>_xlfn.XLOOKUP(order[[#This Row],[order_id]],shipment[order_id],shipment[delivery_date])</f>
        <v>45510</v>
      </c>
      <c r="R392" s="3" t="str">
        <f>_xlfn.XLOOKUP(order[[#This Row],[order_id]],shipment[shipment_id],shipment[courier])</f>
        <v>BlueDart</v>
      </c>
      <c r="S392" s="3">
        <f>order[[#This Row],[selling_price]]-order[[#This Row],[cost_price]]*order[[#This Row],[quantity]]-order[[#This Row],[discount]]</f>
        <v>45746</v>
      </c>
      <c r="T392" s="3">
        <f>order[[#This Row],[quantity]]*order[[#This Row],[selling_price]]</f>
        <v>114728</v>
      </c>
    </row>
    <row r="393" spans="1:20" x14ac:dyDescent="0.3">
      <c r="A393">
        <v>392</v>
      </c>
      <c r="B393" s="11">
        <v>45619</v>
      </c>
      <c r="C393">
        <v>228</v>
      </c>
      <c r="D393" t="str">
        <f>_xlfn.XLOOKUP(order[[#This Row],[customer_id]],customer[customer_id],customer[customer_name])</f>
        <v>Priya Reddy</v>
      </c>
      <c r="E393">
        <v>205</v>
      </c>
      <c r="F393">
        <v>2</v>
      </c>
      <c r="G393">
        <v>61489</v>
      </c>
      <c r="H393">
        <v>2283</v>
      </c>
      <c r="I393" t="s">
        <v>11</v>
      </c>
      <c r="J393" t="s">
        <v>14</v>
      </c>
      <c r="K393" t="str">
        <f>_xlfn.XLOOKUP(order[[#This Row],[customer_id]],customer[customer_id],customer[city])</f>
        <v>Chennai</v>
      </c>
      <c r="L393" t="str">
        <f>_xlfn.XLOOKUP(order[[#This Row],[customer_id]],customer[customer_id],customer[state])</f>
        <v>Tamil Nadu</v>
      </c>
      <c r="M393" t="str">
        <f>_xlfn.XLOOKUP(order[[#This Row],[product_id]],products!$A$2:$A$11,products!$B$2:$B$11)</f>
        <v>Prestige Pressure Cooker 5L</v>
      </c>
      <c r="N393" s="3" t="str">
        <f>_xlfn.XLOOKUP(order[[#This Row],[product_id]],products!$A$2:$A$11,products!$C$2:$C$11)</f>
        <v>Home &amp; Kitchen</v>
      </c>
      <c r="O393" s="3">
        <f>_xlfn.XLOOKUP(order[[#This Row],[product_id]],Table4[product_id],Table4[cost_price])</f>
        <v>1200</v>
      </c>
      <c r="P393" s="11">
        <f>_xlfn.XLOOKUP(order[[#This Row],[order_id]],shipment[order_id],shipment[ship_date])</f>
        <v>45604</v>
      </c>
      <c r="Q393" s="11">
        <f>_xlfn.XLOOKUP(order[[#This Row],[order_id]],shipment[order_id],shipment[delivery_date])</f>
        <v>45606</v>
      </c>
      <c r="R393" s="3" t="str">
        <f>_xlfn.XLOOKUP(order[[#This Row],[order_id]],shipment[shipment_id],shipment[courier])</f>
        <v>Ekart</v>
      </c>
      <c r="S393" s="3">
        <f>order[[#This Row],[selling_price]]-order[[#This Row],[cost_price]]*order[[#This Row],[quantity]]-order[[#This Row],[discount]]</f>
        <v>56806</v>
      </c>
      <c r="T393" s="3">
        <f>order[[#This Row],[quantity]]*order[[#This Row],[selling_price]]</f>
        <v>122978</v>
      </c>
    </row>
    <row r="394" spans="1:20" x14ac:dyDescent="0.3">
      <c r="A394">
        <v>393</v>
      </c>
      <c r="B394" s="11">
        <v>45298</v>
      </c>
      <c r="C394">
        <v>243</v>
      </c>
      <c r="D394" t="str">
        <f>_xlfn.XLOOKUP(order[[#This Row],[customer_id]],customer[customer_id],customer[customer_name])</f>
        <v>Ananya Gupta</v>
      </c>
      <c r="E394">
        <v>205</v>
      </c>
      <c r="F394">
        <v>3</v>
      </c>
      <c r="G394">
        <v>43209</v>
      </c>
      <c r="H394">
        <v>4742</v>
      </c>
      <c r="I394" t="s">
        <v>9</v>
      </c>
      <c r="J394" t="s">
        <v>10</v>
      </c>
      <c r="K394" t="str">
        <f>_xlfn.XLOOKUP(order[[#This Row],[customer_id]],customer[customer_id],customer[city])</f>
        <v>Ahmedabad</v>
      </c>
      <c r="L394" t="str">
        <f>_xlfn.XLOOKUP(order[[#This Row],[customer_id]],customer[customer_id],customer[state])</f>
        <v>Gujarat</v>
      </c>
      <c r="M394" t="str">
        <f>_xlfn.XLOOKUP(order[[#This Row],[product_id]],products!$A$2:$A$11,products!$B$2:$B$11)</f>
        <v>Prestige Pressure Cooker 5L</v>
      </c>
      <c r="N394" s="3" t="str">
        <f>_xlfn.XLOOKUP(order[[#This Row],[product_id]],products!$A$2:$A$11,products!$C$2:$C$11)</f>
        <v>Home &amp; Kitchen</v>
      </c>
      <c r="O394" s="3">
        <f>_xlfn.XLOOKUP(order[[#This Row],[product_id]],Table4[product_id],Table4[cost_price])</f>
        <v>1200</v>
      </c>
      <c r="P394" s="11">
        <f>_xlfn.XLOOKUP(order[[#This Row],[order_id]],shipment[order_id],shipment[ship_date])</f>
        <v>45352</v>
      </c>
      <c r="Q394" s="11">
        <f>_xlfn.XLOOKUP(order[[#This Row],[order_id]],shipment[order_id],shipment[delivery_date])</f>
        <v>45357</v>
      </c>
      <c r="R394" s="3" t="str">
        <f>_xlfn.XLOOKUP(order[[#This Row],[order_id]],shipment[shipment_id],shipment[courier])</f>
        <v>Ekart</v>
      </c>
      <c r="S394" s="3">
        <f>order[[#This Row],[selling_price]]-order[[#This Row],[cost_price]]*order[[#This Row],[quantity]]-order[[#This Row],[discount]]</f>
        <v>34867</v>
      </c>
      <c r="T394" s="3">
        <f>order[[#This Row],[quantity]]*order[[#This Row],[selling_price]]</f>
        <v>129627</v>
      </c>
    </row>
    <row r="395" spans="1:20" x14ac:dyDescent="0.3">
      <c r="A395">
        <v>1192</v>
      </c>
      <c r="B395" s="11">
        <v>45292</v>
      </c>
      <c r="C395">
        <v>127</v>
      </c>
      <c r="D395" t="str">
        <f>_xlfn.XLOOKUP(order[[#This Row],[customer_id]],customer[customer_id],customer[customer_name])</f>
        <v>Neha Kapoor</v>
      </c>
      <c r="E395">
        <v>202</v>
      </c>
      <c r="F395">
        <v>3</v>
      </c>
      <c r="G395">
        <v>8271</v>
      </c>
      <c r="H395">
        <v>2405</v>
      </c>
      <c r="I395" t="s">
        <v>9</v>
      </c>
      <c r="J395" t="s">
        <v>10</v>
      </c>
      <c r="K395" t="str">
        <f>_xlfn.XLOOKUP(order[[#This Row],[customer_id]],customer[customer_id],customer[city])</f>
        <v>Hyderabad</v>
      </c>
      <c r="L395" t="str">
        <f>_xlfn.XLOOKUP(order[[#This Row],[customer_id]],customer[customer_id],customer[state])</f>
        <v>Telangana</v>
      </c>
      <c r="M395" t="str">
        <f>_xlfn.XLOOKUP(order[[#This Row],[product_id]],products!$A$2:$A$11,products!$B$2:$B$11)</f>
        <v>Samsung Galaxy S21</v>
      </c>
      <c r="N395" s="3" t="str">
        <f>_xlfn.XLOOKUP(order[[#This Row],[product_id]],products!$A$2:$A$11,products!$C$2:$C$11)</f>
        <v>Electronics</v>
      </c>
      <c r="O395" s="3">
        <f>_xlfn.XLOOKUP(order[[#This Row],[product_id]],Table4[product_id],Table4[cost_price])</f>
        <v>45000</v>
      </c>
      <c r="P395" s="11">
        <f>_xlfn.XLOOKUP(order[[#This Row],[order_id]],shipment[order_id],shipment[ship_date])</f>
        <v>45561</v>
      </c>
      <c r="Q395" s="11">
        <f>_xlfn.XLOOKUP(order[[#This Row],[order_id]],shipment[order_id],shipment[delivery_date])</f>
        <v>45562</v>
      </c>
      <c r="R395" s="3" t="str">
        <f>_xlfn.XLOOKUP(order[[#This Row],[order_id]],shipment[shipment_id],shipment[courier])</f>
        <v>Ekart</v>
      </c>
      <c r="S395" s="3">
        <f>order[[#This Row],[selling_price]]-order[[#This Row],[cost_price]]*order[[#This Row],[quantity]]-order[[#This Row],[discount]]</f>
        <v>-129134</v>
      </c>
      <c r="T395" s="3">
        <f>order[[#This Row],[quantity]]*order[[#This Row],[selling_price]]</f>
        <v>24813</v>
      </c>
    </row>
    <row r="396" spans="1:20" x14ac:dyDescent="0.3">
      <c r="A396">
        <v>395</v>
      </c>
      <c r="B396" s="11">
        <v>45495</v>
      </c>
      <c r="C396">
        <v>120</v>
      </c>
      <c r="D396" t="str">
        <f>_xlfn.XLOOKUP(order[[#This Row],[customer_id]],customer[customer_id],customer[customer_name])</f>
        <v>Aarav Sharma</v>
      </c>
      <c r="E396">
        <v>206</v>
      </c>
      <c r="F396">
        <v>2</v>
      </c>
      <c r="G396">
        <v>58740</v>
      </c>
      <c r="H396">
        <v>1686</v>
      </c>
      <c r="I396" t="s">
        <v>13</v>
      </c>
      <c r="J396" t="s">
        <v>14</v>
      </c>
      <c r="K396" t="str">
        <f>_xlfn.XLOOKUP(order[[#This Row],[customer_id]],customer[customer_id],customer[city])</f>
        <v>Ahmedabad</v>
      </c>
      <c r="L396" t="str">
        <f>_xlfn.XLOOKUP(order[[#This Row],[customer_id]],customer[customer_id],customer[state])</f>
        <v>Gujarat</v>
      </c>
      <c r="M396" t="str">
        <f>_xlfn.XLOOKUP(order[[#This Row],[product_id]],products!$A$2:$A$11,products!$B$2:$B$11)</f>
        <v>Philips Air Fryer</v>
      </c>
      <c r="N396" s="3" t="str">
        <f>_xlfn.XLOOKUP(order[[#This Row],[product_id]],products!$A$2:$A$11,products!$C$2:$C$11)</f>
        <v>Home &amp; Kitchen</v>
      </c>
      <c r="O396" s="3">
        <f>_xlfn.XLOOKUP(order[[#This Row],[product_id]],Table4[product_id],Table4[cost_price])</f>
        <v>7000</v>
      </c>
      <c r="P396" s="11">
        <f>_xlfn.XLOOKUP(order[[#This Row],[order_id]],shipment[order_id],shipment[ship_date])</f>
        <v>45648</v>
      </c>
      <c r="Q396" s="11">
        <f>_xlfn.XLOOKUP(order[[#This Row],[order_id]],shipment[order_id],shipment[delivery_date])</f>
        <v>45653</v>
      </c>
      <c r="R396" s="3" t="str">
        <f>_xlfn.XLOOKUP(order[[#This Row],[order_id]],shipment[shipment_id],shipment[courier])</f>
        <v>Delhivery</v>
      </c>
      <c r="S396" s="3">
        <f>order[[#This Row],[selling_price]]-order[[#This Row],[cost_price]]*order[[#This Row],[quantity]]-order[[#This Row],[discount]]</f>
        <v>43054</v>
      </c>
      <c r="T396" s="3">
        <f>order[[#This Row],[quantity]]*order[[#This Row],[selling_price]]</f>
        <v>117480</v>
      </c>
    </row>
    <row r="397" spans="1:20" x14ac:dyDescent="0.3">
      <c r="A397">
        <v>396</v>
      </c>
      <c r="B397" s="11">
        <v>45542</v>
      </c>
      <c r="C397">
        <v>254</v>
      </c>
      <c r="D397" t="str">
        <f>_xlfn.XLOOKUP(order[[#This Row],[customer_id]],customer[customer_id],customer[customer_name])</f>
        <v>Neha Kapoor</v>
      </c>
      <c r="E397">
        <v>206</v>
      </c>
      <c r="F397">
        <v>2</v>
      </c>
      <c r="G397">
        <v>20100</v>
      </c>
      <c r="H397">
        <v>3385</v>
      </c>
      <c r="I397" t="s">
        <v>9</v>
      </c>
      <c r="J397" t="s">
        <v>12</v>
      </c>
      <c r="K397" t="str">
        <f>_xlfn.XLOOKUP(order[[#This Row],[customer_id]],customer[customer_id],customer[city])</f>
        <v>Bangalore</v>
      </c>
      <c r="L397" t="str">
        <f>_xlfn.XLOOKUP(order[[#This Row],[customer_id]],customer[customer_id],customer[state])</f>
        <v>Karnataka</v>
      </c>
      <c r="M397" t="str">
        <f>_xlfn.XLOOKUP(order[[#This Row],[product_id]],products!$A$2:$A$11,products!$B$2:$B$11)</f>
        <v>Philips Air Fryer</v>
      </c>
      <c r="N397" s="3" t="str">
        <f>_xlfn.XLOOKUP(order[[#This Row],[product_id]],products!$A$2:$A$11,products!$C$2:$C$11)</f>
        <v>Home &amp; Kitchen</v>
      </c>
      <c r="O397" s="3">
        <f>_xlfn.XLOOKUP(order[[#This Row],[product_id]],Table4[product_id],Table4[cost_price])</f>
        <v>7000</v>
      </c>
      <c r="P397" s="11">
        <f>_xlfn.XLOOKUP(order[[#This Row],[order_id]],shipment[order_id],shipment[ship_date])</f>
        <v>45633</v>
      </c>
      <c r="Q397" s="11">
        <f>_xlfn.XLOOKUP(order[[#This Row],[order_id]],shipment[order_id],shipment[delivery_date])</f>
        <v>45634</v>
      </c>
      <c r="R397" s="3" t="str">
        <f>_xlfn.XLOOKUP(order[[#This Row],[order_id]],shipment[shipment_id],shipment[courier])</f>
        <v>BlueDart</v>
      </c>
      <c r="S397" s="3">
        <f>order[[#This Row],[selling_price]]-order[[#This Row],[cost_price]]*order[[#This Row],[quantity]]-order[[#This Row],[discount]]</f>
        <v>2715</v>
      </c>
      <c r="T397" s="3">
        <f>order[[#This Row],[quantity]]*order[[#This Row],[selling_price]]</f>
        <v>40200</v>
      </c>
    </row>
    <row r="398" spans="1:20" x14ac:dyDescent="0.3">
      <c r="A398">
        <v>1189</v>
      </c>
      <c r="B398" s="11">
        <v>45358</v>
      </c>
      <c r="C398">
        <v>103</v>
      </c>
      <c r="D398" t="str">
        <f>_xlfn.XLOOKUP(order[[#This Row],[customer_id]],customer[customer_id],customer[customer_name])</f>
        <v>Vikram Singh</v>
      </c>
      <c r="E398">
        <v>202</v>
      </c>
      <c r="F398">
        <v>3</v>
      </c>
      <c r="G398">
        <v>54269</v>
      </c>
      <c r="H398">
        <v>2401</v>
      </c>
      <c r="I398" t="s">
        <v>11</v>
      </c>
      <c r="J398" t="s">
        <v>12</v>
      </c>
      <c r="K398" t="str">
        <f>_xlfn.XLOOKUP(order[[#This Row],[customer_id]],customer[customer_id],customer[city])</f>
        <v>Delhi</v>
      </c>
      <c r="L398" t="str">
        <f>_xlfn.XLOOKUP(order[[#This Row],[customer_id]],customer[customer_id],customer[state])</f>
        <v>Delhi</v>
      </c>
      <c r="M398" t="str">
        <f>_xlfn.XLOOKUP(order[[#This Row],[product_id]],products!$A$2:$A$11,products!$B$2:$B$11)</f>
        <v>Samsung Galaxy S21</v>
      </c>
      <c r="N398" s="3" t="str">
        <f>_xlfn.XLOOKUP(order[[#This Row],[product_id]],products!$A$2:$A$11,products!$C$2:$C$11)</f>
        <v>Electronics</v>
      </c>
      <c r="O398" s="3">
        <f>_xlfn.XLOOKUP(order[[#This Row],[product_id]],Table4[product_id],Table4[cost_price])</f>
        <v>45000</v>
      </c>
      <c r="P398" s="11">
        <f>_xlfn.XLOOKUP(order[[#This Row],[order_id]],shipment[order_id],shipment[ship_date])</f>
        <v>45650</v>
      </c>
      <c r="Q398" s="11">
        <f>_xlfn.XLOOKUP(order[[#This Row],[order_id]],shipment[order_id],shipment[delivery_date])</f>
        <v>45655</v>
      </c>
      <c r="R398" s="3" t="str">
        <f>_xlfn.XLOOKUP(order[[#This Row],[order_id]],shipment[shipment_id],shipment[courier])</f>
        <v>Ekart</v>
      </c>
      <c r="S398" s="3">
        <f>order[[#This Row],[selling_price]]-order[[#This Row],[cost_price]]*order[[#This Row],[quantity]]-order[[#This Row],[discount]]</f>
        <v>-83132</v>
      </c>
      <c r="T398" s="3">
        <f>order[[#This Row],[quantity]]*order[[#This Row],[selling_price]]</f>
        <v>162807</v>
      </c>
    </row>
    <row r="399" spans="1:20" x14ac:dyDescent="0.3">
      <c r="A399">
        <v>596</v>
      </c>
      <c r="B399" s="11">
        <v>45298</v>
      </c>
      <c r="C399">
        <v>108</v>
      </c>
      <c r="D399" t="str">
        <f>_xlfn.XLOOKUP(order[[#This Row],[customer_id]],customer[customer_id],customer[customer_name])</f>
        <v>Arjun Nair</v>
      </c>
      <c r="E399">
        <v>202</v>
      </c>
      <c r="F399">
        <v>1</v>
      </c>
      <c r="G399">
        <v>21055</v>
      </c>
      <c r="H399">
        <v>2370</v>
      </c>
      <c r="I399" t="s">
        <v>13</v>
      </c>
      <c r="J399" t="s">
        <v>12</v>
      </c>
      <c r="K399" t="str">
        <f>_xlfn.XLOOKUP(order[[#This Row],[customer_id]],customer[customer_id],customer[city])</f>
        <v>Ahmedabad</v>
      </c>
      <c r="L399" t="str">
        <f>_xlfn.XLOOKUP(order[[#This Row],[customer_id]],customer[customer_id],customer[state])</f>
        <v>Gujarat</v>
      </c>
      <c r="M399" t="str">
        <f>_xlfn.XLOOKUP(order[[#This Row],[product_id]],products!$A$2:$A$11,products!$B$2:$B$11)</f>
        <v>Samsung Galaxy S21</v>
      </c>
      <c r="N399" s="3" t="str">
        <f>_xlfn.XLOOKUP(order[[#This Row],[product_id]],products!$A$2:$A$11,products!$C$2:$C$11)</f>
        <v>Electronics</v>
      </c>
      <c r="O399" s="3">
        <f>_xlfn.XLOOKUP(order[[#This Row],[product_id]],Table4[product_id],Table4[cost_price])</f>
        <v>45000</v>
      </c>
      <c r="P399" s="11">
        <f>_xlfn.XLOOKUP(order[[#This Row],[order_id]],shipment[order_id],shipment[ship_date])</f>
        <v>45475</v>
      </c>
      <c r="Q399" s="11">
        <f>_xlfn.XLOOKUP(order[[#This Row],[order_id]],shipment[order_id],shipment[delivery_date])</f>
        <v>45476</v>
      </c>
      <c r="R399" s="3" t="str">
        <f>_xlfn.XLOOKUP(order[[#This Row],[order_id]],shipment[shipment_id],shipment[courier])</f>
        <v>Ekart</v>
      </c>
      <c r="S399" s="3">
        <f>order[[#This Row],[selling_price]]-order[[#This Row],[cost_price]]*order[[#This Row],[quantity]]-order[[#This Row],[discount]]</f>
        <v>-26315</v>
      </c>
      <c r="T399" s="3">
        <f>order[[#This Row],[quantity]]*order[[#This Row],[selling_price]]</f>
        <v>21055</v>
      </c>
    </row>
    <row r="400" spans="1:20" x14ac:dyDescent="0.3">
      <c r="A400">
        <v>934</v>
      </c>
      <c r="B400" s="11">
        <v>45347</v>
      </c>
      <c r="C400">
        <v>193</v>
      </c>
      <c r="D400" t="str">
        <f>_xlfn.XLOOKUP(order[[#This Row],[customer_id]],customer[customer_id],customer[customer_name])</f>
        <v>Vikram Singh</v>
      </c>
      <c r="E400">
        <v>202</v>
      </c>
      <c r="F400">
        <v>2</v>
      </c>
      <c r="G400">
        <v>68856</v>
      </c>
      <c r="H400">
        <v>2266</v>
      </c>
      <c r="I400" t="s">
        <v>13</v>
      </c>
      <c r="J400" t="s">
        <v>10</v>
      </c>
      <c r="K400" t="str">
        <f>_xlfn.XLOOKUP(order[[#This Row],[customer_id]],customer[customer_id],customer[city])</f>
        <v>Mumbai</v>
      </c>
      <c r="L400" t="str">
        <f>_xlfn.XLOOKUP(order[[#This Row],[customer_id]],customer[customer_id],customer[state])</f>
        <v>Maharashtra</v>
      </c>
      <c r="M400" t="str">
        <f>_xlfn.XLOOKUP(order[[#This Row],[product_id]],products!$A$2:$A$11,products!$B$2:$B$11)</f>
        <v>Samsung Galaxy S21</v>
      </c>
      <c r="N400" s="3" t="str">
        <f>_xlfn.XLOOKUP(order[[#This Row],[product_id]],products!$A$2:$A$11,products!$C$2:$C$11)</f>
        <v>Electronics</v>
      </c>
      <c r="O400" s="3">
        <f>_xlfn.XLOOKUP(order[[#This Row],[product_id]],Table4[product_id],Table4[cost_price])</f>
        <v>45000</v>
      </c>
      <c r="P400" s="11">
        <f>_xlfn.XLOOKUP(order[[#This Row],[order_id]],shipment[order_id],shipment[ship_date])</f>
        <v>45618</v>
      </c>
      <c r="Q400" s="11">
        <f>_xlfn.XLOOKUP(order[[#This Row],[order_id]],shipment[order_id],shipment[delivery_date])</f>
        <v>45628</v>
      </c>
      <c r="R400" s="3" t="str">
        <f>_xlfn.XLOOKUP(order[[#This Row],[order_id]],shipment[shipment_id],shipment[courier])</f>
        <v>BlueDart</v>
      </c>
      <c r="S400" s="3">
        <f>order[[#This Row],[selling_price]]-order[[#This Row],[cost_price]]*order[[#This Row],[quantity]]-order[[#This Row],[discount]]</f>
        <v>-23410</v>
      </c>
      <c r="T400" s="3">
        <f>order[[#This Row],[quantity]]*order[[#This Row],[selling_price]]</f>
        <v>137712</v>
      </c>
    </row>
    <row r="401" spans="1:20" x14ac:dyDescent="0.3">
      <c r="A401">
        <v>400</v>
      </c>
      <c r="B401" s="11">
        <v>45435</v>
      </c>
      <c r="C401">
        <v>134</v>
      </c>
      <c r="D401" t="str">
        <f>_xlfn.XLOOKUP(order[[#This Row],[customer_id]],customer[customer_id],customer[customer_name])</f>
        <v>Rohit Verma</v>
      </c>
      <c r="E401">
        <v>201</v>
      </c>
      <c r="F401">
        <v>1</v>
      </c>
      <c r="G401">
        <v>57537</v>
      </c>
      <c r="H401">
        <v>2032</v>
      </c>
      <c r="I401" t="s">
        <v>11</v>
      </c>
      <c r="J401" t="s">
        <v>10</v>
      </c>
      <c r="K401" t="str">
        <f>_xlfn.XLOOKUP(order[[#This Row],[customer_id]],customer[customer_id],customer[city])</f>
        <v>Hyderabad</v>
      </c>
      <c r="L401" t="str">
        <f>_xlfn.XLOOKUP(order[[#This Row],[customer_id]],customer[customer_id],customer[state])</f>
        <v>Telangana</v>
      </c>
      <c r="M401" t="str">
        <f>_xlfn.XLOOKUP(order[[#This Row],[product_id]],products!$A$2:$A$11,products!$B$2:$B$11)</f>
        <v>iPhone 13</v>
      </c>
      <c r="N401" s="3" t="str">
        <f>_xlfn.XLOOKUP(order[[#This Row],[product_id]],products!$A$2:$A$11,products!$C$2:$C$11)</f>
        <v>Electronics</v>
      </c>
      <c r="O401" s="3">
        <f>_xlfn.XLOOKUP(order[[#This Row],[product_id]],Table4[product_id],Table4[cost_price])</f>
        <v>52000</v>
      </c>
      <c r="P401" s="11">
        <f>_xlfn.XLOOKUP(order[[#This Row],[order_id]],shipment[order_id],shipment[ship_date])</f>
        <v>45487</v>
      </c>
      <c r="Q401" s="11">
        <f>_xlfn.XLOOKUP(order[[#This Row],[order_id]],shipment[order_id],shipment[delivery_date])</f>
        <v>45490</v>
      </c>
      <c r="R401" s="3" t="str">
        <f>_xlfn.XLOOKUP(order[[#This Row],[order_id]],shipment[shipment_id],shipment[courier])</f>
        <v>BlueDart</v>
      </c>
      <c r="S401" s="3">
        <f>order[[#This Row],[selling_price]]-order[[#This Row],[cost_price]]*order[[#This Row],[quantity]]-order[[#This Row],[discount]]</f>
        <v>3505</v>
      </c>
      <c r="T401" s="3">
        <f>order[[#This Row],[quantity]]*order[[#This Row],[selling_price]]</f>
        <v>57537</v>
      </c>
    </row>
    <row r="402" spans="1:20" x14ac:dyDescent="0.3">
      <c r="A402">
        <v>401</v>
      </c>
      <c r="B402" s="11">
        <v>45312</v>
      </c>
      <c r="C402">
        <v>219</v>
      </c>
      <c r="D402" t="str">
        <f>_xlfn.XLOOKUP(order[[#This Row],[customer_id]],customer[customer_id],customer[customer_name])</f>
        <v>Meera Joshi</v>
      </c>
      <c r="E402">
        <v>208</v>
      </c>
      <c r="F402">
        <v>1</v>
      </c>
      <c r="G402">
        <v>55984</v>
      </c>
      <c r="H402">
        <v>1601</v>
      </c>
      <c r="I402" t="s">
        <v>13</v>
      </c>
      <c r="J402" t="s">
        <v>10</v>
      </c>
      <c r="K402" t="str">
        <f>_xlfn.XLOOKUP(order[[#This Row],[customer_id]],customer[customer_id],customer[city])</f>
        <v>Bangalore</v>
      </c>
      <c r="L402" t="str">
        <f>_xlfn.XLOOKUP(order[[#This Row],[customer_id]],customer[customer_id],customer[state])</f>
        <v>Karnataka</v>
      </c>
      <c r="M402" t="str">
        <f>_xlfn.XLOOKUP(order[[#This Row],[product_id]],products!$A$2:$A$11,products!$B$2:$B$11)</f>
        <v>Adidas Ultraboost Shoes</v>
      </c>
      <c r="N402" s="3" t="str">
        <f>_xlfn.XLOOKUP(order[[#This Row],[product_id]],products!$A$2:$A$11,products!$C$2:$C$11)</f>
        <v>Fashion</v>
      </c>
      <c r="O402" s="3">
        <f>_xlfn.XLOOKUP(order[[#This Row],[product_id]],Table4[product_id],Table4[cost_price])</f>
        <v>9000</v>
      </c>
      <c r="P402" s="11">
        <f>_xlfn.XLOOKUP(order[[#This Row],[order_id]],shipment[order_id],shipment[ship_date])</f>
        <v>45496</v>
      </c>
      <c r="Q402" s="11">
        <f>_xlfn.XLOOKUP(order[[#This Row],[order_id]],shipment[order_id],shipment[delivery_date])</f>
        <v>45502</v>
      </c>
      <c r="R402" s="3" t="str">
        <f>_xlfn.XLOOKUP(order[[#This Row],[order_id]],shipment[shipment_id],shipment[courier])</f>
        <v>Ekart</v>
      </c>
      <c r="S402" s="3">
        <f>order[[#This Row],[selling_price]]-order[[#This Row],[cost_price]]*order[[#This Row],[quantity]]-order[[#This Row],[discount]]</f>
        <v>45383</v>
      </c>
      <c r="T402" s="3">
        <f>order[[#This Row],[quantity]]*order[[#This Row],[selling_price]]</f>
        <v>55984</v>
      </c>
    </row>
    <row r="403" spans="1:20" x14ac:dyDescent="0.3">
      <c r="A403">
        <v>467</v>
      </c>
      <c r="B403" s="11">
        <v>45608</v>
      </c>
      <c r="C403">
        <v>237</v>
      </c>
      <c r="D403" t="str">
        <f>_xlfn.XLOOKUP(order[[#This Row],[customer_id]],customer[customer_id],customer[customer_name])</f>
        <v>Ananya Gupta</v>
      </c>
      <c r="E403">
        <v>202</v>
      </c>
      <c r="F403">
        <v>2</v>
      </c>
      <c r="G403">
        <v>47610</v>
      </c>
      <c r="H403">
        <v>2259</v>
      </c>
      <c r="I403" t="s">
        <v>11</v>
      </c>
      <c r="J403" t="s">
        <v>14</v>
      </c>
      <c r="K403" t="str">
        <f>_xlfn.XLOOKUP(order[[#This Row],[customer_id]],customer[customer_id],customer[city])</f>
        <v>Hyderabad</v>
      </c>
      <c r="L403" t="str">
        <f>_xlfn.XLOOKUP(order[[#This Row],[customer_id]],customer[customer_id],customer[state])</f>
        <v>Telangana</v>
      </c>
      <c r="M403" t="str">
        <f>_xlfn.XLOOKUP(order[[#This Row],[product_id]],products!$A$2:$A$11,products!$B$2:$B$11)</f>
        <v>Samsung Galaxy S21</v>
      </c>
      <c r="N403" s="3" t="str">
        <f>_xlfn.XLOOKUP(order[[#This Row],[product_id]],products!$A$2:$A$11,products!$C$2:$C$11)</f>
        <v>Electronics</v>
      </c>
      <c r="O403" s="3">
        <f>_xlfn.XLOOKUP(order[[#This Row],[product_id]],Table4[product_id],Table4[cost_price])</f>
        <v>45000</v>
      </c>
      <c r="P403" s="11">
        <f>_xlfn.XLOOKUP(order[[#This Row],[order_id]],shipment[order_id],shipment[ship_date])</f>
        <v>45571</v>
      </c>
      <c r="Q403" s="11">
        <f>_xlfn.XLOOKUP(order[[#This Row],[order_id]],shipment[order_id],shipment[delivery_date])</f>
        <v>45581</v>
      </c>
      <c r="R403" s="3" t="str">
        <f>_xlfn.XLOOKUP(order[[#This Row],[order_id]],shipment[shipment_id],shipment[courier])</f>
        <v>Ekart</v>
      </c>
      <c r="S403" s="3">
        <f>order[[#This Row],[selling_price]]-order[[#This Row],[cost_price]]*order[[#This Row],[quantity]]-order[[#This Row],[discount]]</f>
        <v>-44649</v>
      </c>
      <c r="T403" s="3">
        <f>order[[#This Row],[quantity]]*order[[#This Row],[selling_price]]</f>
        <v>95220</v>
      </c>
    </row>
    <row r="404" spans="1:20" x14ac:dyDescent="0.3">
      <c r="A404">
        <v>663</v>
      </c>
      <c r="B404" s="11">
        <v>45322</v>
      </c>
      <c r="C404">
        <v>217</v>
      </c>
      <c r="D404" t="str">
        <f>_xlfn.XLOOKUP(order[[#This Row],[customer_id]],customer[customer_id],customer[customer_name])</f>
        <v>Rahul Mehta</v>
      </c>
      <c r="E404">
        <v>202</v>
      </c>
      <c r="F404">
        <v>2</v>
      </c>
      <c r="G404">
        <v>11139</v>
      </c>
      <c r="H404">
        <v>2244</v>
      </c>
      <c r="I404" t="s">
        <v>9</v>
      </c>
      <c r="J404" t="s">
        <v>10</v>
      </c>
      <c r="K404" t="str">
        <f>_xlfn.XLOOKUP(order[[#This Row],[customer_id]],customer[customer_id],customer[city])</f>
        <v>Delhi</v>
      </c>
      <c r="L404" t="str">
        <f>_xlfn.XLOOKUP(order[[#This Row],[customer_id]],customer[customer_id],customer[state])</f>
        <v>Delhi</v>
      </c>
      <c r="M404" t="str">
        <f>_xlfn.XLOOKUP(order[[#This Row],[product_id]],products!$A$2:$A$11,products!$B$2:$B$11)</f>
        <v>Samsung Galaxy S21</v>
      </c>
      <c r="N404" s="3" t="str">
        <f>_xlfn.XLOOKUP(order[[#This Row],[product_id]],products!$A$2:$A$11,products!$C$2:$C$11)</f>
        <v>Electronics</v>
      </c>
      <c r="O404" s="3">
        <f>_xlfn.XLOOKUP(order[[#This Row],[product_id]],Table4[product_id],Table4[cost_price])</f>
        <v>45000</v>
      </c>
      <c r="P404" s="11">
        <f>_xlfn.XLOOKUP(order[[#This Row],[order_id]],shipment[order_id],shipment[ship_date])</f>
        <v>45377</v>
      </c>
      <c r="Q404" s="11">
        <f>_xlfn.XLOOKUP(order[[#This Row],[order_id]],shipment[order_id],shipment[delivery_date])</f>
        <v>45379</v>
      </c>
      <c r="R404" s="3" t="str">
        <f>_xlfn.XLOOKUP(order[[#This Row],[order_id]],shipment[shipment_id],shipment[courier])</f>
        <v>Ekart</v>
      </c>
      <c r="S404" s="3">
        <f>order[[#This Row],[selling_price]]-order[[#This Row],[cost_price]]*order[[#This Row],[quantity]]-order[[#This Row],[discount]]</f>
        <v>-81105</v>
      </c>
      <c r="T404" s="3">
        <f>order[[#This Row],[quantity]]*order[[#This Row],[selling_price]]</f>
        <v>22278</v>
      </c>
    </row>
    <row r="405" spans="1:20" x14ac:dyDescent="0.3">
      <c r="A405">
        <v>650</v>
      </c>
      <c r="B405" s="11">
        <v>45500</v>
      </c>
      <c r="C405">
        <v>131</v>
      </c>
      <c r="D405" t="str">
        <f>_xlfn.XLOOKUP(order[[#This Row],[customer_id]],customer[customer_id],customer[customer_name])</f>
        <v>Siddharth Jain</v>
      </c>
      <c r="E405">
        <v>202</v>
      </c>
      <c r="F405">
        <v>4</v>
      </c>
      <c r="G405">
        <v>7262</v>
      </c>
      <c r="H405">
        <v>2231</v>
      </c>
      <c r="I405" t="s">
        <v>15</v>
      </c>
      <c r="J405" t="s">
        <v>12</v>
      </c>
      <c r="K405" t="str">
        <f>_xlfn.XLOOKUP(order[[#This Row],[customer_id]],customer[customer_id],customer[city])</f>
        <v>Mumbai</v>
      </c>
      <c r="L405" t="str">
        <f>_xlfn.XLOOKUP(order[[#This Row],[customer_id]],customer[customer_id],customer[state])</f>
        <v>Maharashtra</v>
      </c>
      <c r="M405" t="str">
        <f>_xlfn.XLOOKUP(order[[#This Row],[product_id]],products!$A$2:$A$11,products!$B$2:$B$11)</f>
        <v>Samsung Galaxy S21</v>
      </c>
      <c r="N405" s="3" t="str">
        <f>_xlfn.XLOOKUP(order[[#This Row],[product_id]],products!$A$2:$A$11,products!$C$2:$C$11)</f>
        <v>Electronics</v>
      </c>
      <c r="O405" s="3">
        <f>_xlfn.XLOOKUP(order[[#This Row],[product_id]],Table4[product_id],Table4[cost_price])</f>
        <v>45000</v>
      </c>
      <c r="P405" s="11">
        <f>_xlfn.XLOOKUP(order[[#This Row],[order_id]],shipment[order_id],shipment[ship_date])</f>
        <v>45427</v>
      </c>
      <c r="Q405" s="11">
        <f>_xlfn.XLOOKUP(order[[#This Row],[order_id]],shipment[order_id],shipment[delivery_date])</f>
        <v>45432</v>
      </c>
      <c r="R405" s="3" t="str">
        <f>_xlfn.XLOOKUP(order[[#This Row],[order_id]],shipment[shipment_id],shipment[courier])</f>
        <v>BlueDart</v>
      </c>
      <c r="S405" s="3">
        <f>order[[#This Row],[selling_price]]-order[[#This Row],[cost_price]]*order[[#This Row],[quantity]]-order[[#This Row],[discount]]</f>
        <v>-174969</v>
      </c>
      <c r="T405" s="3">
        <f>order[[#This Row],[quantity]]*order[[#This Row],[selling_price]]</f>
        <v>29048</v>
      </c>
    </row>
    <row r="406" spans="1:20" x14ac:dyDescent="0.3">
      <c r="A406">
        <v>405</v>
      </c>
      <c r="B406" s="11">
        <v>45358</v>
      </c>
      <c r="C406">
        <v>255</v>
      </c>
      <c r="D406" t="str">
        <f>_xlfn.XLOOKUP(order[[#This Row],[customer_id]],customer[customer_id],customer[customer_name])</f>
        <v>Meera Joshi</v>
      </c>
      <c r="E406">
        <v>205</v>
      </c>
      <c r="F406">
        <v>3</v>
      </c>
      <c r="G406">
        <v>68846</v>
      </c>
      <c r="H406">
        <v>2592</v>
      </c>
      <c r="I406" t="s">
        <v>11</v>
      </c>
      <c r="J406" t="s">
        <v>10</v>
      </c>
      <c r="K406" t="str">
        <f>_xlfn.XLOOKUP(order[[#This Row],[customer_id]],customer[customer_id],customer[city])</f>
        <v>Ahmedabad</v>
      </c>
      <c r="L406" t="str">
        <f>_xlfn.XLOOKUP(order[[#This Row],[customer_id]],customer[customer_id],customer[state])</f>
        <v>Gujarat</v>
      </c>
      <c r="M406" t="str">
        <f>_xlfn.XLOOKUP(order[[#This Row],[product_id]],products!$A$2:$A$11,products!$B$2:$B$11)</f>
        <v>Prestige Pressure Cooker 5L</v>
      </c>
      <c r="N406" s="3" t="str">
        <f>_xlfn.XLOOKUP(order[[#This Row],[product_id]],products!$A$2:$A$11,products!$C$2:$C$11)</f>
        <v>Home &amp; Kitchen</v>
      </c>
      <c r="O406" s="3">
        <f>_xlfn.XLOOKUP(order[[#This Row],[product_id]],Table4[product_id],Table4[cost_price])</f>
        <v>1200</v>
      </c>
      <c r="P406" s="11">
        <f>_xlfn.XLOOKUP(order[[#This Row],[order_id]],shipment[order_id],shipment[ship_date])</f>
        <v>45419</v>
      </c>
      <c r="Q406" s="11">
        <f>_xlfn.XLOOKUP(order[[#This Row],[order_id]],shipment[order_id],shipment[delivery_date])</f>
        <v>45420</v>
      </c>
      <c r="R406" s="3" t="str">
        <f>_xlfn.XLOOKUP(order[[#This Row],[order_id]],shipment[shipment_id],shipment[courier])</f>
        <v>DTDC</v>
      </c>
      <c r="S406" s="3">
        <f>order[[#This Row],[selling_price]]-order[[#This Row],[cost_price]]*order[[#This Row],[quantity]]-order[[#This Row],[discount]]</f>
        <v>62654</v>
      </c>
      <c r="T406" s="3">
        <f>order[[#This Row],[quantity]]*order[[#This Row],[selling_price]]</f>
        <v>206538</v>
      </c>
    </row>
    <row r="407" spans="1:20" x14ac:dyDescent="0.3">
      <c r="A407">
        <v>1081</v>
      </c>
      <c r="B407" s="11">
        <v>45376</v>
      </c>
      <c r="C407">
        <v>130</v>
      </c>
      <c r="D407" t="str">
        <f>_xlfn.XLOOKUP(order[[#This Row],[customer_id]],customer[customer_id],customer[customer_name])</f>
        <v>Siddharth Jain</v>
      </c>
      <c r="E407">
        <v>202</v>
      </c>
      <c r="F407">
        <v>2</v>
      </c>
      <c r="G407">
        <v>61666</v>
      </c>
      <c r="H407">
        <v>2205</v>
      </c>
      <c r="I407" t="s">
        <v>15</v>
      </c>
      <c r="J407" t="s">
        <v>14</v>
      </c>
      <c r="K407" t="str">
        <f>_xlfn.XLOOKUP(order[[#This Row],[customer_id]],customer[customer_id],customer[city])</f>
        <v>Mumbai</v>
      </c>
      <c r="L407" t="str">
        <f>_xlfn.XLOOKUP(order[[#This Row],[customer_id]],customer[customer_id],customer[state])</f>
        <v>Maharashtra</v>
      </c>
      <c r="M407" t="str">
        <f>_xlfn.XLOOKUP(order[[#This Row],[product_id]],products!$A$2:$A$11,products!$B$2:$B$11)</f>
        <v>Samsung Galaxy S21</v>
      </c>
      <c r="N407" s="3" t="str">
        <f>_xlfn.XLOOKUP(order[[#This Row],[product_id]],products!$A$2:$A$11,products!$C$2:$C$11)</f>
        <v>Electronics</v>
      </c>
      <c r="O407" s="3">
        <f>_xlfn.XLOOKUP(order[[#This Row],[product_id]],Table4[product_id],Table4[cost_price])</f>
        <v>45000</v>
      </c>
      <c r="P407" s="11">
        <f>_xlfn.XLOOKUP(order[[#This Row],[order_id]],shipment[order_id],shipment[ship_date])</f>
        <v>45636</v>
      </c>
      <c r="Q407" s="11">
        <f>_xlfn.XLOOKUP(order[[#This Row],[order_id]],shipment[order_id],shipment[delivery_date])</f>
        <v>45645</v>
      </c>
      <c r="R407" s="3" t="str">
        <f>_xlfn.XLOOKUP(order[[#This Row],[order_id]],shipment[shipment_id],shipment[courier])</f>
        <v>Ekart</v>
      </c>
      <c r="S407" s="3">
        <f>order[[#This Row],[selling_price]]-order[[#This Row],[cost_price]]*order[[#This Row],[quantity]]-order[[#This Row],[discount]]</f>
        <v>-30539</v>
      </c>
      <c r="T407" s="3">
        <f>order[[#This Row],[quantity]]*order[[#This Row],[selling_price]]</f>
        <v>123332</v>
      </c>
    </row>
    <row r="408" spans="1:20" x14ac:dyDescent="0.3">
      <c r="A408">
        <v>407</v>
      </c>
      <c r="B408" s="11">
        <v>45331</v>
      </c>
      <c r="C408">
        <v>235</v>
      </c>
      <c r="D408" t="str">
        <f>_xlfn.XLOOKUP(order[[#This Row],[customer_id]],customer[customer_id],customer[customer_name])</f>
        <v>Neha Kapoor</v>
      </c>
      <c r="E408">
        <v>204</v>
      </c>
      <c r="F408">
        <v>2</v>
      </c>
      <c r="G408">
        <v>39946</v>
      </c>
      <c r="H408">
        <v>4</v>
      </c>
      <c r="I408" t="s">
        <v>11</v>
      </c>
      <c r="J408" t="s">
        <v>10</v>
      </c>
      <c r="K408" t="str">
        <f>_xlfn.XLOOKUP(order[[#This Row],[customer_id]],customer[customer_id],customer[city])</f>
        <v>Pune</v>
      </c>
      <c r="L408" t="str">
        <f>_xlfn.XLOOKUP(order[[#This Row],[customer_id]],customer[customer_id],customer[state])</f>
        <v>Maharashtra</v>
      </c>
      <c r="M408" t="str">
        <f>_xlfn.XLOOKUP(order[[#This Row],[product_id]],products!$A$2:$A$11,products!$B$2:$B$11)</f>
        <v>Levi's Slim Fit Jeans</v>
      </c>
      <c r="N408" s="3" t="str">
        <f>_xlfn.XLOOKUP(order[[#This Row],[product_id]],products!$A$2:$A$11,products!$C$2:$C$11)</f>
        <v>Fashion</v>
      </c>
      <c r="O408" s="3">
        <f>_xlfn.XLOOKUP(order[[#This Row],[product_id]],Table4[product_id],Table4[cost_price])</f>
        <v>1800</v>
      </c>
      <c r="P408" s="11">
        <f>_xlfn.XLOOKUP(order[[#This Row],[order_id]],shipment[order_id],shipment[ship_date])</f>
        <v>45345</v>
      </c>
      <c r="Q408" s="11">
        <f>_xlfn.XLOOKUP(order[[#This Row],[order_id]],shipment[order_id],shipment[delivery_date])</f>
        <v>45353</v>
      </c>
      <c r="R408" s="3" t="str">
        <f>_xlfn.XLOOKUP(order[[#This Row],[order_id]],shipment[shipment_id],shipment[courier])</f>
        <v>Delhivery</v>
      </c>
      <c r="S408" s="3">
        <f>order[[#This Row],[selling_price]]-order[[#This Row],[cost_price]]*order[[#This Row],[quantity]]-order[[#This Row],[discount]]</f>
        <v>36342</v>
      </c>
      <c r="T408" s="3">
        <f>order[[#This Row],[quantity]]*order[[#This Row],[selling_price]]</f>
        <v>79892</v>
      </c>
    </row>
    <row r="409" spans="1:20" x14ac:dyDescent="0.3">
      <c r="A409">
        <v>408</v>
      </c>
      <c r="B409" s="11">
        <v>45602</v>
      </c>
      <c r="C409">
        <v>108</v>
      </c>
      <c r="D409" t="str">
        <f>_xlfn.XLOOKUP(order[[#This Row],[customer_id]],customer[customer_id],customer[customer_name])</f>
        <v>Arjun Nair</v>
      </c>
      <c r="E409">
        <v>206</v>
      </c>
      <c r="F409">
        <v>2</v>
      </c>
      <c r="G409">
        <v>19832</v>
      </c>
      <c r="H409">
        <v>162</v>
      </c>
      <c r="I409" t="s">
        <v>11</v>
      </c>
      <c r="J409" t="s">
        <v>10</v>
      </c>
      <c r="K409" t="str">
        <f>_xlfn.XLOOKUP(order[[#This Row],[customer_id]],customer[customer_id],customer[city])</f>
        <v>Ahmedabad</v>
      </c>
      <c r="L409" t="str">
        <f>_xlfn.XLOOKUP(order[[#This Row],[customer_id]],customer[customer_id],customer[state])</f>
        <v>Gujarat</v>
      </c>
      <c r="M409" t="str">
        <f>_xlfn.XLOOKUP(order[[#This Row],[product_id]],products!$A$2:$A$11,products!$B$2:$B$11)</f>
        <v>Philips Air Fryer</v>
      </c>
      <c r="N409" s="3" t="str">
        <f>_xlfn.XLOOKUP(order[[#This Row],[product_id]],products!$A$2:$A$11,products!$C$2:$C$11)</f>
        <v>Home &amp; Kitchen</v>
      </c>
      <c r="O409" s="3">
        <f>_xlfn.XLOOKUP(order[[#This Row],[product_id]],Table4[product_id],Table4[cost_price])</f>
        <v>7000</v>
      </c>
      <c r="P409" s="11">
        <f>_xlfn.XLOOKUP(order[[#This Row],[order_id]],shipment[order_id],shipment[ship_date])</f>
        <v>45294</v>
      </c>
      <c r="Q409" s="11">
        <f>_xlfn.XLOOKUP(order[[#This Row],[order_id]],shipment[order_id],shipment[delivery_date])</f>
        <v>45296</v>
      </c>
      <c r="R409" s="3" t="str">
        <f>_xlfn.XLOOKUP(order[[#This Row],[order_id]],shipment[shipment_id],shipment[courier])</f>
        <v>DTDC</v>
      </c>
      <c r="S409" s="3">
        <f>order[[#This Row],[selling_price]]-order[[#This Row],[cost_price]]*order[[#This Row],[quantity]]-order[[#This Row],[discount]]</f>
        <v>5670</v>
      </c>
      <c r="T409" s="3">
        <f>order[[#This Row],[quantity]]*order[[#This Row],[selling_price]]</f>
        <v>39664</v>
      </c>
    </row>
    <row r="410" spans="1:20" x14ac:dyDescent="0.3">
      <c r="A410">
        <v>279</v>
      </c>
      <c r="B410" s="11">
        <v>45583</v>
      </c>
      <c r="C410">
        <v>237</v>
      </c>
      <c r="D410" t="str">
        <f>_xlfn.XLOOKUP(order[[#This Row],[customer_id]],customer[customer_id],customer[customer_name])</f>
        <v>Ananya Gupta</v>
      </c>
      <c r="E410">
        <v>202</v>
      </c>
      <c r="F410">
        <v>3</v>
      </c>
      <c r="G410">
        <v>39165</v>
      </c>
      <c r="H410">
        <v>2169</v>
      </c>
      <c r="I410" t="s">
        <v>11</v>
      </c>
      <c r="J410" t="s">
        <v>10</v>
      </c>
      <c r="K410" t="str">
        <f>_xlfn.XLOOKUP(order[[#This Row],[customer_id]],customer[customer_id],customer[city])</f>
        <v>Hyderabad</v>
      </c>
      <c r="L410" t="str">
        <f>_xlfn.XLOOKUP(order[[#This Row],[customer_id]],customer[customer_id],customer[state])</f>
        <v>Telangana</v>
      </c>
      <c r="M410" t="str">
        <f>_xlfn.XLOOKUP(order[[#This Row],[product_id]],products!$A$2:$A$11,products!$B$2:$B$11)</f>
        <v>Samsung Galaxy S21</v>
      </c>
      <c r="N410" s="3" t="str">
        <f>_xlfn.XLOOKUP(order[[#This Row],[product_id]],products!$A$2:$A$11,products!$C$2:$C$11)</f>
        <v>Electronics</v>
      </c>
      <c r="O410" s="3">
        <f>_xlfn.XLOOKUP(order[[#This Row],[product_id]],Table4[product_id],Table4[cost_price])</f>
        <v>45000</v>
      </c>
      <c r="P410" s="11">
        <f>_xlfn.XLOOKUP(order[[#This Row],[order_id]],shipment[order_id],shipment[ship_date])</f>
        <v>45547</v>
      </c>
      <c r="Q410" s="11">
        <f>_xlfn.XLOOKUP(order[[#This Row],[order_id]],shipment[order_id],shipment[delivery_date])</f>
        <v>45551</v>
      </c>
      <c r="R410" s="3" t="str">
        <f>_xlfn.XLOOKUP(order[[#This Row],[order_id]],shipment[shipment_id],shipment[courier])</f>
        <v>Delhivery</v>
      </c>
      <c r="S410" s="3">
        <f>order[[#This Row],[selling_price]]-order[[#This Row],[cost_price]]*order[[#This Row],[quantity]]-order[[#This Row],[discount]]</f>
        <v>-98004</v>
      </c>
      <c r="T410" s="3">
        <f>order[[#This Row],[quantity]]*order[[#This Row],[selling_price]]</f>
        <v>117495</v>
      </c>
    </row>
    <row r="411" spans="1:20" x14ac:dyDescent="0.3">
      <c r="A411">
        <v>410</v>
      </c>
      <c r="B411" s="11">
        <v>45522</v>
      </c>
      <c r="C411">
        <v>287</v>
      </c>
      <c r="D411" t="str">
        <f>_xlfn.XLOOKUP(order[[#This Row],[customer_id]],customer[customer_id],customer[customer_name])</f>
        <v>Karan Patel</v>
      </c>
      <c r="E411">
        <v>210</v>
      </c>
      <c r="F411">
        <v>1</v>
      </c>
      <c r="G411">
        <v>63377</v>
      </c>
      <c r="H411">
        <v>3778</v>
      </c>
      <c r="I411" t="s">
        <v>9</v>
      </c>
      <c r="J411" t="s">
        <v>12</v>
      </c>
      <c r="K411" t="str">
        <f>_xlfn.XLOOKUP(order[[#This Row],[customer_id]],customer[customer_id],customer[city])</f>
        <v>Chennai</v>
      </c>
      <c r="L411" t="str">
        <f>_xlfn.XLOOKUP(order[[#This Row],[customer_id]],customer[customer_id],customer[state])</f>
        <v>Tamil Nadu</v>
      </c>
      <c r="M411" t="str">
        <f>_xlfn.XLOOKUP(order[[#This Row],[product_id]],products!$A$2:$A$11,products!$B$2:$B$11)</f>
        <v>LG 43 Inch Smart TV</v>
      </c>
      <c r="N411" s="3" t="str">
        <f>_xlfn.XLOOKUP(order[[#This Row],[product_id]],products!$A$2:$A$11,products!$C$2:$C$11)</f>
        <v>Electronics</v>
      </c>
      <c r="O411" s="3">
        <f>_xlfn.XLOOKUP(order[[#This Row],[product_id]],Table4[product_id],Table4[cost_price])</f>
        <v>30000</v>
      </c>
      <c r="P411" s="11">
        <f>_xlfn.XLOOKUP(order[[#This Row],[order_id]],shipment[order_id],shipment[ship_date])</f>
        <v>45510</v>
      </c>
      <c r="Q411" s="11">
        <f>_xlfn.XLOOKUP(order[[#This Row],[order_id]],shipment[order_id],shipment[delivery_date])</f>
        <v>45520</v>
      </c>
      <c r="R411" s="3" t="str">
        <f>_xlfn.XLOOKUP(order[[#This Row],[order_id]],shipment[shipment_id],shipment[courier])</f>
        <v>BlueDart</v>
      </c>
      <c r="S411" s="3">
        <f>order[[#This Row],[selling_price]]-order[[#This Row],[cost_price]]*order[[#This Row],[quantity]]-order[[#This Row],[discount]]</f>
        <v>29599</v>
      </c>
      <c r="T411" s="3">
        <f>order[[#This Row],[quantity]]*order[[#This Row],[selling_price]]</f>
        <v>63377</v>
      </c>
    </row>
    <row r="412" spans="1:20" x14ac:dyDescent="0.3">
      <c r="A412">
        <v>1150</v>
      </c>
      <c r="B412" s="11">
        <v>45313</v>
      </c>
      <c r="C412">
        <v>122</v>
      </c>
      <c r="D412" t="str">
        <f>_xlfn.XLOOKUP(order[[#This Row],[customer_id]],customer[customer_id],customer[customer_name])</f>
        <v>Priya Reddy</v>
      </c>
      <c r="E412">
        <v>202</v>
      </c>
      <c r="F412">
        <v>2</v>
      </c>
      <c r="G412">
        <v>12381</v>
      </c>
      <c r="H412">
        <v>2154</v>
      </c>
      <c r="I412" t="s">
        <v>9</v>
      </c>
      <c r="J412" t="s">
        <v>14</v>
      </c>
      <c r="K412" t="str">
        <f>_xlfn.XLOOKUP(order[[#This Row],[customer_id]],customer[customer_id],customer[city])</f>
        <v>Hyderabad</v>
      </c>
      <c r="L412" t="str">
        <f>_xlfn.XLOOKUP(order[[#This Row],[customer_id]],customer[customer_id],customer[state])</f>
        <v>Telangana</v>
      </c>
      <c r="M412" t="str">
        <f>_xlfn.XLOOKUP(order[[#This Row],[product_id]],products!$A$2:$A$11,products!$B$2:$B$11)</f>
        <v>Samsung Galaxy S21</v>
      </c>
      <c r="N412" s="3" t="str">
        <f>_xlfn.XLOOKUP(order[[#This Row],[product_id]],products!$A$2:$A$11,products!$C$2:$C$11)</f>
        <v>Electronics</v>
      </c>
      <c r="O412" s="3">
        <f>_xlfn.XLOOKUP(order[[#This Row],[product_id]],Table4[product_id],Table4[cost_price])</f>
        <v>45000</v>
      </c>
      <c r="P412" s="11">
        <f>_xlfn.XLOOKUP(order[[#This Row],[order_id]],shipment[order_id],shipment[ship_date])</f>
        <v>45325</v>
      </c>
      <c r="Q412" s="11">
        <f>_xlfn.XLOOKUP(order[[#This Row],[order_id]],shipment[order_id],shipment[delivery_date])</f>
        <v>45327</v>
      </c>
      <c r="R412" s="3" t="str">
        <f>_xlfn.XLOOKUP(order[[#This Row],[order_id]],shipment[shipment_id],shipment[courier])</f>
        <v>Ekart</v>
      </c>
      <c r="S412" s="3">
        <f>order[[#This Row],[selling_price]]-order[[#This Row],[cost_price]]*order[[#This Row],[quantity]]-order[[#This Row],[discount]]</f>
        <v>-79773</v>
      </c>
      <c r="T412" s="3">
        <f>order[[#This Row],[quantity]]*order[[#This Row],[selling_price]]</f>
        <v>24762</v>
      </c>
    </row>
    <row r="413" spans="1:20" x14ac:dyDescent="0.3">
      <c r="A413">
        <v>412</v>
      </c>
      <c r="B413" s="11">
        <v>45361</v>
      </c>
      <c r="C413">
        <v>187</v>
      </c>
      <c r="D413" t="str">
        <f>_xlfn.XLOOKUP(order[[#This Row],[customer_id]],customer[customer_id],customer[customer_name])</f>
        <v>Pooja Nair</v>
      </c>
      <c r="E413">
        <v>204</v>
      </c>
      <c r="F413">
        <v>1</v>
      </c>
      <c r="G413">
        <v>11185</v>
      </c>
      <c r="H413">
        <v>3730</v>
      </c>
      <c r="I413" t="s">
        <v>9</v>
      </c>
      <c r="J413" t="s">
        <v>12</v>
      </c>
      <c r="K413" t="str">
        <f>_xlfn.XLOOKUP(order[[#This Row],[customer_id]],customer[customer_id],customer[city])</f>
        <v>Ahmedabad</v>
      </c>
      <c r="L413" t="str">
        <f>_xlfn.XLOOKUP(order[[#This Row],[customer_id]],customer[customer_id],customer[state])</f>
        <v>Gujarat</v>
      </c>
      <c r="M413" t="str">
        <f>_xlfn.XLOOKUP(order[[#This Row],[product_id]],products!$A$2:$A$11,products!$B$2:$B$11)</f>
        <v>Levi's Slim Fit Jeans</v>
      </c>
      <c r="N413" s="3" t="str">
        <f>_xlfn.XLOOKUP(order[[#This Row],[product_id]],products!$A$2:$A$11,products!$C$2:$C$11)</f>
        <v>Fashion</v>
      </c>
      <c r="O413" s="3">
        <f>_xlfn.XLOOKUP(order[[#This Row],[product_id]],Table4[product_id],Table4[cost_price])</f>
        <v>1800</v>
      </c>
      <c r="P413" s="11">
        <f>_xlfn.XLOOKUP(order[[#This Row],[order_id]],shipment[order_id],shipment[ship_date])</f>
        <v>45324</v>
      </c>
      <c r="Q413" s="11">
        <f>_xlfn.XLOOKUP(order[[#This Row],[order_id]],shipment[order_id],shipment[delivery_date])</f>
        <v>45333</v>
      </c>
      <c r="R413" s="3" t="str">
        <f>_xlfn.XLOOKUP(order[[#This Row],[order_id]],shipment[shipment_id],shipment[courier])</f>
        <v>Delhivery</v>
      </c>
      <c r="S413" s="3">
        <f>order[[#This Row],[selling_price]]-order[[#This Row],[cost_price]]*order[[#This Row],[quantity]]-order[[#This Row],[discount]]</f>
        <v>5655</v>
      </c>
      <c r="T413" s="3">
        <f>order[[#This Row],[quantity]]*order[[#This Row],[selling_price]]</f>
        <v>11185</v>
      </c>
    </row>
    <row r="414" spans="1:20" x14ac:dyDescent="0.3">
      <c r="A414">
        <v>294</v>
      </c>
      <c r="B414" s="11">
        <v>45351</v>
      </c>
      <c r="C414">
        <v>145</v>
      </c>
      <c r="D414" t="str">
        <f>_xlfn.XLOOKUP(order[[#This Row],[customer_id]],customer[customer_id],customer[customer_name])</f>
        <v>Meera Joshi</v>
      </c>
      <c r="E414">
        <v>202</v>
      </c>
      <c r="F414">
        <v>3</v>
      </c>
      <c r="G414">
        <v>58458</v>
      </c>
      <c r="H414">
        <v>2152</v>
      </c>
      <c r="I414" t="s">
        <v>13</v>
      </c>
      <c r="J414" t="s">
        <v>10</v>
      </c>
      <c r="K414" t="str">
        <f>_xlfn.XLOOKUP(order[[#This Row],[customer_id]],customer[customer_id],customer[city])</f>
        <v>Ahmedabad</v>
      </c>
      <c r="L414" t="str">
        <f>_xlfn.XLOOKUP(order[[#This Row],[customer_id]],customer[customer_id],customer[state])</f>
        <v>Gujarat</v>
      </c>
      <c r="M414" t="str">
        <f>_xlfn.XLOOKUP(order[[#This Row],[product_id]],products!$A$2:$A$11,products!$B$2:$B$11)</f>
        <v>Samsung Galaxy S21</v>
      </c>
      <c r="N414" s="3" t="str">
        <f>_xlfn.XLOOKUP(order[[#This Row],[product_id]],products!$A$2:$A$11,products!$C$2:$C$11)</f>
        <v>Electronics</v>
      </c>
      <c r="O414" s="3">
        <f>_xlfn.XLOOKUP(order[[#This Row],[product_id]],Table4[product_id],Table4[cost_price])</f>
        <v>45000</v>
      </c>
      <c r="P414" s="11">
        <f>_xlfn.XLOOKUP(order[[#This Row],[order_id]],shipment[order_id],shipment[ship_date])</f>
        <v>45628</v>
      </c>
      <c r="Q414" s="11">
        <f>_xlfn.XLOOKUP(order[[#This Row],[order_id]],shipment[order_id],shipment[delivery_date])</f>
        <v>45635</v>
      </c>
      <c r="R414" s="3" t="str">
        <f>_xlfn.XLOOKUP(order[[#This Row],[order_id]],shipment[shipment_id],shipment[courier])</f>
        <v>Ekart</v>
      </c>
      <c r="S414" s="3">
        <f>order[[#This Row],[selling_price]]-order[[#This Row],[cost_price]]*order[[#This Row],[quantity]]-order[[#This Row],[discount]]</f>
        <v>-78694</v>
      </c>
      <c r="T414" s="3">
        <f>order[[#This Row],[quantity]]*order[[#This Row],[selling_price]]</f>
        <v>175374</v>
      </c>
    </row>
    <row r="415" spans="1:20" x14ac:dyDescent="0.3">
      <c r="A415">
        <v>414</v>
      </c>
      <c r="B415" s="11">
        <v>45348</v>
      </c>
      <c r="C415">
        <v>127</v>
      </c>
      <c r="D415" t="str">
        <f>_xlfn.XLOOKUP(order[[#This Row],[customer_id]],customer[customer_id],customer[customer_name])</f>
        <v>Neha Kapoor</v>
      </c>
      <c r="E415">
        <v>209</v>
      </c>
      <c r="F415">
        <v>3</v>
      </c>
      <c r="G415">
        <v>40446</v>
      </c>
      <c r="H415">
        <v>3255</v>
      </c>
      <c r="I415" t="s">
        <v>15</v>
      </c>
      <c r="J415" t="s">
        <v>12</v>
      </c>
      <c r="K415" t="str">
        <f>_xlfn.XLOOKUP(order[[#This Row],[customer_id]],customer[customer_id],customer[city])</f>
        <v>Hyderabad</v>
      </c>
      <c r="L415" t="str">
        <f>_xlfn.XLOOKUP(order[[#This Row],[customer_id]],customer[customer_id],customer[state])</f>
        <v>Telangana</v>
      </c>
      <c r="M415" t="str">
        <f>_xlfn.XLOOKUP(order[[#This Row],[product_id]],products!$A$2:$A$11,products!$B$2:$B$11)</f>
        <v>Milton Thermosteel Bottle</v>
      </c>
      <c r="N415" s="3" t="str">
        <f>_xlfn.XLOOKUP(order[[#This Row],[product_id]],products!$A$2:$A$11,products!$C$2:$C$11)</f>
        <v>Home &amp; Kitchen</v>
      </c>
      <c r="O415" s="3">
        <f>_xlfn.XLOOKUP(order[[#This Row],[product_id]],Table4[product_id],Table4[cost_price])</f>
        <v>800</v>
      </c>
      <c r="P415" s="11">
        <f>_xlfn.XLOOKUP(order[[#This Row],[order_id]],shipment[order_id],shipment[ship_date])</f>
        <v>45410</v>
      </c>
      <c r="Q415" s="11">
        <f>_xlfn.XLOOKUP(order[[#This Row],[order_id]],shipment[order_id],shipment[delivery_date])</f>
        <v>45417</v>
      </c>
      <c r="R415" s="3" t="str">
        <f>_xlfn.XLOOKUP(order[[#This Row],[order_id]],shipment[shipment_id],shipment[courier])</f>
        <v>DTDC</v>
      </c>
      <c r="S415" s="3">
        <f>order[[#This Row],[selling_price]]-order[[#This Row],[cost_price]]*order[[#This Row],[quantity]]-order[[#This Row],[discount]]</f>
        <v>34791</v>
      </c>
      <c r="T415" s="3">
        <f>order[[#This Row],[quantity]]*order[[#This Row],[selling_price]]</f>
        <v>121338</v>
      </c>
    </row>
    <row r="416" spans="1:20" x14ac:dyDescent="0.3">
      <c r="A416">
        <v>415</v>
      </c>
      <c r="B416" s="11">
        <v>45613</v>
      </c>
      <c r="C416">
        <v>221</v>
      </c>
      <c r="D416" t="str">
        <f>_xlfn.XLOOKUP(order[[#This Row],[customer_id]],customer[customer_id],customer[customer_name])</f>
        <v>Manish Yadav</v>
      </c>
      <c r="E416">
        <v>205</v>
      </c>
      <c r="F416">
        <v>2</v>
      </c>
      <c r="G416">
        <v>56418</v>
      </c>
      <c r="H416">
        <v>334</v>
      </c>
      <c r="I416" t="s">
        <v>9</v>
      </c>
      <c r="J416" t="s">
        <v>14</v>
      </c>
      <c r="K416" t="str">
        <f>_xlfn.XLOOKUP(order[[#This Row],[customer_id]],customer[customer_id],customer[city])</f>
        <v>Bangalore</v>
      </c>
      <c r="L416" t="str">
        <f>_xlfn.XLOOKUP(order[[#This Row],[customer_id]],customer[customer_id],customer[state])</f>
        <v>Karnataka</v>
      </c>
      <c r="M416" t="str">
        <f>_xlfn.XLOOKUP(order[[#This Row],[product_id]],products!$A$2:$A$11,products!$B$2:$B$11)</f>
        <v>Prestige Pressure Cooker 5L</v>
      </c>
      <c r="N416" s="3" t="str">
        <f>_xlfn.XLOOKUP(order[[#This Row],[product_id]],products!$A$2:$A$11,products!$C$2:$C$11)</f>
        <v>Home &amp; Kitchen</v>
      </c>
      <c r="O416" s="3">
        <f>_xlfn.XLOOKUP(order[[#This Row],[product_id]],Table4[product_id],Table4[cost_price])</f>
        <v>1200</v>
      </c>
      <c r="P416" s="11">
        <f>_xlfn.XLOOKUP(order[[#This Row],[order_id]],shipment[order_id],shipment[ship_date])</f>
        <v>45378</v>
      </c>
      <c r="Q416" s="11">
        <f>_xlfn.XLOOKUP(order[[#This Row],[order_id]],shipment[order_id],shipment[delivery_date])</f>
        <v>45387</v>
      </c>
      <c r="R416" s="3" t="str">
        <f>_xlfn.XLOOKUP(order[[#This Row],[order_id]],shipment[shipment_id],shipment[courier])</f>
        <v>Ekart</v>
      </c>
      <c r="S416" s="3">
        <f>order[[#This Row],[selling_price]]-order[[#This Row],[cost_price]]*order[[#This Row],[quantity]]-order[[#This Row],[discount]]</f>
        <v>53684</v>
      </c>
      <c r="T416" s="3">
        <f>order[[#This Row],[quantity]]*order[[#This Row],[selling_price]]</f>
        <v>112836</v>
      </c>
    </row>
    <row r="417" spans="1:20" x14ac:dyDescent="0.3">
      <c r="A417">
        <v>39</v>
      </c>
      <c r="B417" s="11">
        <v>45388</v>
      </c>
      <c r="C417">
        <v>187</v>
      </c>
      <c r="D417" t="str">
        <f>_xlfn.XLOOKUP(order[[#This Row],[customer_id]],customer[customer_id],customer[customer_name])</f>
        <v>Pooja Nair</v>
      </c>
      <c r="E417">
        <v>202</v>
      </c>
      <c r="F417">
        <v>4</v>
      </c>
      <c r="G417">
        <v>33459</v>
      </c>
      <c r="H417">
        <v>2082</v>
      </c>
      <c r="I417" t="s">
        <v>11</v>
      </c>
      <c r="J417" t="s">
        <v>14</v>
      </c>
      <c r="K417" t="str">
        <f>_xlfn.XLOOKUP(order[[#This Row],[customer_id]],customer[customer_id],customer[city])</f>
        <v>Ahmedabad</v>
      </c>
      <c r="L417" t="str">
        <f>_xlfn.XLOOKUP(order[[#This Row],[customer_id]],customer[customer_id],customer[state])</f>
        <v>Gujarat</v>
      </c>
      <c r="M417" t="str">
        <f>_xlfn.XLOOKUP(order[[#This Row],[product_id]],products!$A$2:$A$11,products!$B$2:$B$11)</f>
        <v>Samsung Galaxy S21</v>
      </c>
      <c r="N417" s="3" t="str">
        <f>_xlfn.XLOOKUP(order[[#This Row],[product_id]],products!$A$2:$A$11,products!$C$2:$C$11)</f>
        <v>Electronics</v>
      </c>
      <c r="O417" s="3">
        <f>_xlfn.XLOOKUP(order[[#This Row],[product_id]],Table4[product_id],Table4[cost_price])</f>
        <v>45000</v>
      </c>
      <c r="P417" s="11">
        <f>_xlfn.XLOOKUP(order[[#This Row],[order_id]],shipment[order_id],shipment[ship_date])</f>
        <v>45365</v>
      </c>
      <c r="Q417" s="11">
        <f>_xlfn.XLOOKUP(order[[#This Row],[order_id]],shipment[order_id],shipment[delivery_date])</f>
        <v>45372</v>
      </c>
      <c r="R417" s="3" t="str">
        <f>_xlfn.XLOOKUP(order[[#This Row],[order_id]],shipment[shipment_id],shipment[courier])</f>
        <v>Delhivery</v>
      </c>
      <c r="S417" s="3">
        <f>order[[#This Row],[selling_price]]-order[[#This Row],[cost_price]]*order[[#This Row],[quantity]]-order[[#This Row],[discount]]</f>
        <v>-148623</v>
      </c>
      <c r="T417" s="3">
        <f>order[[#This Row],[quantity]]*order[[#This Row],[selling_price]]</f>
        <v>133836</v>
      </c>
    </row>
    <row r="418" spans="1:20" x14ac:dyDescent="0.3">
      <c r="A418">
        <v>417</v>
      </c>
      <c r="B418" s="11">
        <v>45493</v>
      </c>
      <c r="C418">
        <v>231</v>
      </c>
      <c r="D418" t="str">
        <f>_xlfn.XLOOKUP(order[[#This Row],[customer_id]],customer[customer_id],customer[customer_name])</f>
        <v>Neha Kapoor</v>
      </c>
      <c r="E418">
        <v>205</v>
      </c>
      <c r="F418">
        <v>2</v>
      </c>
      <c r="G418">
        <v>24584</v>
      </c>
      <c r="H418">
        <v>4250</v>
      </c>
      <c r="I418" t="s">
        <v>11</v>
      </c>
      <c r="J418" t="s">
        <v>10</v>
      </c>
      <c r="K418" t="str">
        <f>_xlfn.XLOOKUP(order[[#This Row],[customer_id]],customer[customer_id],customer[city])</f>
        <v>Hyderabad</v>
      </c>
      <c r="L418" t="str">
        <f>_xlfn.XLOOKUP(order[[#This Row],[customer_id]],customer[customer_id],customer[state])</f>
        <v>Telangana</v>
      </c>
      <c r="M418" t="str">
        <f>_xlfn.XLOOKUP(order[[#This Row],[product_id]],products!$A$2:$A$11,products!$B$2:$B$11)</f>
        <v>Prestige Pressure Cooker 5L</v>
      </c>
      <c r="N418" s="3" t="str">
        <f>_xlfn.XLOOKUP(order[[#This Row],[product_id]],products!$A$2:$A$11,products!$C$2:$C$11)</f>
        <v>Home &amp; Kitchen</v>
      </c>
      <c r="O418" s="3">
        <f>_xlfn.XLOOKUP(order[[#This Row],[product_id]],Table4[product_id],Table4[cost_price])</f>
        <v>1200</v>
      </c>
      <c r="P418" s="11">
        <f>_xlfn.XLOOKUP(order[[#This Row],[order_id]],shipment[order_id],shipment[ship_date])</f>
        <v>45499</v>
      </c>
      <c r="Q418" s="11">
        <f>_xlfn.XLOOKUP(order[[#This Row],[order_id]],shipment[order_id],shipment[delivery_date])</f>
        <v>45504</v>
      </c>
      <c r="R418" s="3" t="str">
        <f>_xlfn.XLOOKUP(order[[#This Row],[order_id]],shipment[shipment_id],shipment[courier])</f>
        <v>Ekart</v>
      </c>
      <c r="S418" s="3">
        <f>order[[#This Row],[selling_price]]-order[[#This Row],[cost_price]]*order[[#This Row],[quantity]]-order[[#This Row],[discount]]</f>
        <v>17934</v>
      </c>
      <c r="T418" s="3">
        <f>order[[#This Row],[quantity]]*order[[#This Row],[selling_price]]</f>
        <v>49168</v>
      </c>
    </row>
    <row r="419" spans="1:20" x14ac:dyDescent="0.3">
      <c r="A419">
        <v>605</v>
      </c>
      <c r="B419" s="11">
        <v>45538</v>
      </c>
      <c r="C419">
        <v>221</v>
      </c>
      <c r="D419" t="str">
        <f>_xlfn.XLOOKUP(order[[#This Row],[customer_id]],customer[customer_id],customer[customer_name])</f>
        <v>Manish Yadav</v>
      </c>
      <c r="E419">
        <v>202</v>
      </c>
      <c r="F419">
        <v>2</v>
      </c>
      <c r="G419">
        <v>29090</v>
      </c>
      <c r="H419">
        <v>2053</v>
      </c>
      <c r="I419" t="s">
        <v>13</v>
      </c>
      <c r="J419" t="s">
        <v>14</v>
      </c>
      <c r="K419" t="str">
        <f>_xlfn.XLOOKUP(order[[#This Row],[customer_id]],customer[customer_id],customer[city])</f>
        <v>Bangalore</v>
      </c>
      <c r="L419" t="str">
        <f>_xlfn.XLOOKUP(order[[#This Row],[customer_id]],customer[customer_id],customer[state])</f>
        <v>Karnataka</v>
      </c>
      <c r="M419" t="str">
        <f>_xlfn.XLOOKUP(order[[#This Row],[product_id]],products!$A$2:$A$11,products!$B$2:$B$11)</f>
        <v>Samsung Galaxy S21</v>
      </c>
      <c r="N419" s="3" t="str">
        <f>_xlfn.XLOOKUP(order[[#This Row],[product_id]],products!$A$2:$A$11,products!$C$2:$C$11)</f>
        <v>Electronics</v>
      </c>
      <c r="O419" s="3">
        <f>_xlfn.XLOOKUP(order[[#This Row],[product_id]],Table4[product_id],Table4[cost_price])</f>
        <v>45000</v>
      </c>
      <c r="P419" s="11">
        <f>_xlfn.XLOOKUP(order[[#This Row],[order_id]],shipment[order_id],shipment[ship_date])</f>
        <v>45371</v>
      </c>
      <c r="Q419" s="11">
        <f>_xlfn.XLOOKUP(order[[#This Row],[order_id]],shipment[order_id],shipment[delivery_date])</f>
        <v>45380</v>
      </c>
      <c r="R419" s="3" t="str">
        <f>_xlfn.XLOOKUP(order[[#This Row],[order_id]],shipment[shipment_id],shipment[courier])</f>
        <v>Ekart</v>
      </c>
      <c r="S419" s="3">
        <f>order[[#This Row],[selling_price]]-order[[#This Row],[cost_price]]*order[[#This Row],[quantity]]-order[[#This Row],[discount]]</f>
        <v>-62963</v>
      </c>
      <c r="T419" s="3">
        <f>order[[#This Row],[quantity]]*order[[#This Row],[selling_price]]</f>
        <v>58180</v>
      </c>
    </row>
    <row r="420" spans="1:20" x14ac:dyDescent="0.3">
      <c r="A420">
        <v>1013</v>
      </c>
      <c r="B420" s="11">
        <v>45382</v>
      </c>
      <c r="C420">
        <v>293</v>
      </c>
      <c r="D420" t="str">
        <f>_xlfn.XLOOKUP(order[[#This Row],[customer_id]],customer[customer_id],customer[customer_name])</f>
        <v>Sneha Iyer</v>
      </c>
      <c r="E420">
        <v>202</v>
      </c>
      <c r="F420">
        <v>4</v>
      </c>
      <c r="G420">
        <v>36658</v>
      </c>
      <c r="H420">
        <v>2044</v>
      </c>
      <c r="I420" t="s">
        <v>11</v>
      </c>
      <c r="J420" t="s">
        <v>14</v>
      </c>
      <c r="K420" t="str">
        <f>_xlfn.XLOOKUP(order[[#This Row],[customer_id]],customer[customer_id],customer[city])</f>
        <v>Pune</v>
      </c>
      <c r="L420" t="str">
        <f>_xlfn.XLOOKUP(order[[#This Row],[customer_id]],customer[customer_id],customer[state])</f>
        <v>Maharashtra</v>
      </c>
      <c r="M420" t="str">
        <f>_xlfn.XLOOKUP(order[[#This Row],[product_id]],products!$A$2:$A$11,products!$B$2:$B$11)</f>
        <v>Samsung Galaxy S21</v>
      </c>
      <c r="N420" s="3" t="str">
        <f>_xlfn.XLOOKUP(order[[#This Row],[product_id]],products!$A$2:$A$11,products!$C$2:$C$11)</f>
        <v>Electronics</v>
      </c>
      <c r="O420" s="3">
        <f>_xlfn.XLOOKUP(order[[#This Row],[product_id]],Table4[product_id],Table4[cost_price])</f>
        <v>45000</v>
      </c>
      <c r="P420" s="11">
        <f>_xlfn.XLOOKUP(order[[#This Row],[order_id]],shipment[order_id],shipment[ship_date])</f>
        <v>45342</v>
      </c>
      <c r="Q420" s="11">
        <f>_xlfn.XLOOKUP(order[[#This Row],[order_id]],shipment[order_id],shipment[delivery_date])</f>
        <v>45348</v>
      </c>
      <c r="R420" s="3" t="str">
        <f>_xlfn.XLOOKUP(order[[#This Row],[order_id]],shipment[shipment_id],shipment[courier])</f>
        <v>Ekart</v>
      </c>
      <c r="S420" s="3">
        <f>order[[#This Row],[selling_price]]-order[[#This Row],[cost_price]]*order[[#This Row],[quantity]]-order[[#This Row],[discount]]</f>
        <v>-145386</v>
      </c>
      <c r="T420" s="3">
        <f>order[[#This Row],[quantity]]*order[[#This Row],[selling_price]]</f>
        <v>146632</v>
      </c>
    </row>
    <row r="421" spans="1:20" x14ac:dyDescent="0.3">
      <c r="A421">
        <v>420</v>
      </c>
      <c r="B421" s="11">
        <v>45374</v>
      </c>
      <c r="C421">
        <v>277</v>
      </c>
      <c r="D421" t="str">
        <f>_xlfn.XLOOKUP(order[[#This Row],[customer_id]],customer[customer_id],customer[customer_name])</f>
        <v>Ananya Gupta</v>
      </c>
      <c r="E421">
        <v>205</v>
      </c>
      <c r="F421">
        <v>4</v>
      </c>
      <c r="G421">
        <v>19964</v>
      </c>
      <c r="H421">
        <v>268</v>
      </c>
      <c r="I421" t="s">
        <v>11</v>
      </c>
      <c r="J421" t="s">
        <v>12</v>
      </c>
      <c r="K421" t="str">
        <f>_xlfn.XLOOKUP(order[[#This Row],[customer_id]],customer[customer_id],customer[city])</f>
        <v>Bangalore</v>
      </c>
      <c r="L421" t="str">
        <f>_xlfn.XLOOKUP(order[[#This Row],[customer_id]],customer[customer_id],customer[state])</f>
        <v>Karnataka</v>
      </c>
      <c r="M421" t="str">
        <f>_xlfn.XLOOKUP(order[[#This Row],[product_id]],products!$A$2:$A$11,products!$B$2:$B$11)</f>
        <v>Prestige Pressure Cooker 5L</v>
      </c>
      <c r="N421" s="3" t="str">
        <f>_xlfn.XLOOKUP(order[[#This Row],[product_id]],products!$A$2:$A$11,products!$C$2:$C$11)</f>
        <v>Home &amp; Kitchen</v>
      </c>
      <c r="O421" s="3">
        <f>_xlfn.XLOOKUP(order[[#This Row],[product_id]],Table4[product_id],Table4[cost_price])</f>
        <v>1200</v>
      </c>
      <c r="P421" s="11">
        <f>_xlfn.XLOOKUP(order[[#This Row],[order_id]],shipment[order_id],shipment[ship_date])</f>
        <v>45409</v>
      </c>
      <c r="Q421" s="11">
        <f>_xlfn.XLOOKUP(order[[#This Row],[order_id]],shipment[order_id],shipment[delivery_date])</f>
        <v>45410</v>
      </c>
      <c r="R421" s="3" t="str">
        <f>_xlfn.XLOOKUP(order[[#This Row],[order_id]],shipment[shipment_id],shipment[courier])</f>
        <v>Ekart</v>
      </c>
      <c r="S421" s="3">
        <f>order[[#This Row],[selling_price]]-order[[#This Row],[cost_price]]*order[[#This Row],[quantity]]-order[[#This Row],[discount]]</f>
        <v>14896</v>
      </c>
      <c r="T421" s="3">
        <f>order[[#This Row],[quantity]]*order[[#This Row],[selling_price]]</f>
        <v>79856</v>
      </c>
    </row>
    <row r="422" spans="1:20" x14ac:dyDescent="0.3">
      <c r="A422">
        <v>421</v>
      </c>
      <c r="B422" s="11">
        <v>45416</v>
      </c>
      <c r="C422">
        <v>130</v>
      </c>
      <c r="D422" t="str">
        <f>_xlfn.XLOOKUP(order[[#This Row],[customer_id]],customer[customer_id],customer[customer_name])</f>
        <v>Siddharth Jain</v>
      </c>
      <c r="E422">
        <v>209</v>
      </c>
      <c r="F422">
        <v>4</v>
      </c>
      <c r="G422">
        <v>45894</v>
      </c>
      <c r="H422">
        <v>2561</v>
      </c>
      <c r="I422" t="s">
        <v>9</v>
      </c>
      <c r="J422" t="s">
        <v>10</v>
      </c>
      <c r="K422" t="str">
        <f>_xlfn.XLOOKUP(order[[#This Row],[customer_id]],customer[customer_id],customer[city])</f>
        <v>Mumbai</v>
      </c>
      <c r="L422" t="str">
        <f>_xlfn.XLOOKUP(order[[#This Row],[customer_id]],customer[customer_id],customer[state])</f>
        <v>Maharashtra</v>
      </c>
      <c r="M422" t="str">
        <f>_xlfn.XLOOKUP(order[[#This Row],[product_id]],products!$A$2:$A$11,products!$B$2:$B$11)</f>
        <v>Milton Thermosteel Bottle</v>
      </c>
      <c r="N422" s="3" t="str">
        <f>_xlfn.XLOOKUP(order[[#This Row],[product_id]],products!$A$2:$A$11,products!$C$2:$C$11)</f>
        <v>Home &amp; Kitchen</v>
      </c>
      <c r="O422" s="3">
        <f>_xlfn.XLOOKUP(order[[#This Row],[product_id]],Table4[product_id],Table4[cost_price])</f>
        <v>800</v>
      </c>
      <c r="P422" s="11">
        <f>_xlfn.XLOOKUP(order[[#This Row],[order_id]],shipment[order_id],shipment[ship_date])</f>
        <v>45523</v>
      </c>
      <c r="Q422" s="11">
        <f>_xlfn.XLOOKUP(order[[#This Row],[order_id]],shipment[order_id],shipment[delivery_date])</f>
        <v>45532</v>
      </c>
      <c r="R422" s="3" t="str">
        <f>_xlfn.XLOOKUP(order[[#This Row],[order_id]],shipment[shipment_id],shipment[courier])</f>
        <v>BlueDart</v>
      </c>
      <c r="S422" s="3">
        <f>order[[#This Row],[selling_price]]-order[[#This Row],[cost_price]]*order[[#This Row],[quantity]]-order[[#This Row],[discount]]</f>
        <v>40133</v>
      </c>
      <c r="T422" s="3">
        <f>order[[#This Row],[quantity]]*order[[#This Row],[selling_price]]</f>
        <v>183576</v>
      </c>
    </row>
    <row r="423" spans="1:20" x14ac:dyDescent="0.3">
      <c r="A423">
        <v>422</v>
      </c>
      <c r="B423" s="11">
        <v>45297</v>
      </c>
      <c r="C423">
        <v>235</v>
      </c>
      <c r="D423" t="str">
        <f>_xlfn.XLOOKUP(order[[#This Row],[customer_id]],customer[customer_id],customer[customer_name])</f>
        <v>Neha Kapoor</v>
      </c>
      <c r="E423">
        <v>204</v>
      </c>
      <c r="F423">
        <v>3</v>
      </c>
      <c r="G423">
        <v>65972</v>
      </c>
      <c r="H423">
        <v>4643</v>
      </c>
      <c r="I423" t="s">
        <v>15</v>
      </c>
      <c r="J423" t="s">
        <v>12</v>
      </c>
      <c r="K423" t="str">
        <f>_xlfn.XLOOKUP(order[[#This Row],[customer_id]],customer[customer_id],customer[city])</f>
        <v>Pune</v>
      </c>
      <c r="L423" t="str">
        <f>_xlfn.XLOOKUP(order[[#This Row],[customer_id]],customer[customer_id],customer[state])</f>
        <v>Maharashtra</v>
      </c>
      <c r="M423" t="str">
        <f>_xlfn.XLOOKUP(order[[#This Row],[product_id]],products!$A$2:$A$11,products!$B$2:$B$11)</f>
        <v>Levi's Slim Fit Jeans</v>
      </c>
      <c r="N423" s="3" t="str">
        <f>_xlfn.XLOOKUP(order[[#This Row],[product_id]],products!$A$2:$A$11,products!$C$2:$C$11)</f>
        <v>Fashion</v>
      </c>
      <c r="O423" s="3">
        <f>_xlfn.XLOOKUP(order[[#This Row],[product_id]],Table4[product_id],Table4[cost_price])</f>
        <v>1800</v>
      </c>
      <c r="P423" s="11">
        <f>_xlfn.XLOOKUP(order[[#This Row],[order_id]],shipment[order_id],shipment[ship_date])</f>
        <v>45333</v>
      </c>
      <c r="Q423" s="11">
        <f>_xlfn.XLOOKUP(order[[#This Row],[order_id]],shipment[order_id],shipment[delivery_date])</f>
        <v>45339</v>
      </c>
      <c r="R423" s="3" t="str">
        <f>_xlfn.XLOOKUP(order[[#This Row],[order_id]],shipment[shipment_id],shipment[courier])</f>
        <v>Delhivery</v>
      </c>
      <c r="S423" s="3">
        <f>order[[#This Row],[selling_price]]-order[[#This Row],[cost_price]]*order[[#This Row],[quantity]]-order[[#This Row],[discount]]</f>
        <v>55929</v>
      </c>
      <c r="T423" s="3">
        <f>order[[#This Row],[quantity]]*order[[#This Row],[selling_price]]</f>
        <v>197916</v>
      </c>
    </row>
    <row r="424" spans="1:20" x14ac:dyDescent="0.3">
      <c r="A424">
        <v>539</v>
      </c>
      <c r="B424" s="11">
        <v>45506</v>
      </c>
      <c r="C424">
        <v>225</v>
      </c>
      <c r="D424" t="str">
        <f>_xlfn.XLOOKUP(order[[#This Row],[customer_id]],customer[customer_id],customer[customer_name])</f>
        <v>Aarav Sharma</v>
      </c>
      <c r="E424">
        <v>202</v>
      </c>
      <c r="F424">
        <v>2</v>
      </c>
      <c r="G424">
        <v>30842</v>
      </c>
      <c r="H424">
        <v>1792</v>
      </c>
      <c r="I424" t="s">
        <v>9</v>
      </c>
      <c r="J424" t="s">
        <v>10</v>
      </c>
      <c r="K424" t="str">
        <f>_xlfn.XLOOKUP(order[[#This Row],[customer_id]],customer[customer_id],customer[city])</f>
        <v>Bangalore</v>
      </c>
      <c r="L424" t="str">
        <f>_xlfn.XLOOKUP(order[[#This Row],[customer_id]],customer[customer_id],customer[state])</f>
        <v>Karnataka</v>
      </c>
      <c r="M424" t="str">
        <f>_xlfn.XLOOKUP(order[[#This Row],[product_id]],products!$A$2:$A$11,products!$B$2:$B$11)</f>
        <v>Samsung Galaxy S21</v>
      </c>
      <c r="N424" s="3" t="str">
        <f>_xlfn.XLOOKUP(order[[#This Row],[product_id]],products!$A$2:$A$11,products!$C$2:$C$11)</f>
        <v>Electronics</v>
      </c>
      <c r="O424" s="3">
        <f>_xlfn.XLOOKUP(order[[#This Row],[product_id]],Table4[product_id],Table4[cost_price])</f>
        <v>45000</v>
      </c>
      <c r="P424" s="11">
        <f>_xlfn.XLOOKUP(order[[#This Row],[order_id]],shipment[order_id],shipment[ship_date])</f>
        <v>45352</v>
      </c>
      <c r="Q424" s="11">
        <f>_xlfn.XLOOKUP(order[[#This Row],[order_id]],shipment[order_id],shipment[delivery_date])</f>
        <v>45362</v>
      </c>
      <c r="R424" s="3" t="str">
        <f>_xlfn.XLOOKUP(order[[#This Row],[order_id]],shipment[shipment_id],shipment[courier])</f>
        <v>Ekart</v>
      </c>
      <c r="S424" s="3">
        <f>order[[#This Row],[selling_price]]-order[[#This Row],[cost_price]]*order[[#This Row],[quantity]]-order[[#This Row],[discount]]</f>
        <v>-60950</v>
      </c>
      <c r="T424" s="3">
        <f>order[[#This Row],[quantity]]*order[[#This Row],[selling_price]]</f>
        <v>61684</v>
      </c>
    </row>
    <row r="425" spans="1:20" x14ac:dyDescent="0.3">
      <c r="A425">
        <v>424</v>
      </c>
      <c r="B425" s="11">
        <v>45391</v>
      </c>
      <c r="C425">
        <v>210</v>
      </c>
      <c r="D425" t="str">
        <f>_xlfn.XLOOKUP(order[[#This Row],[customer_id]],customer[customer_id],customer[customer_name])</f>
        <v>Neha Kapoor</v>
      </c>
      <c r="E425">
        <v>206</v>
      </c>
      <c r="F425">
        <v>2</v>
      </c>
      <c r="G425">
        <v>63341</v>
      </c>
      <c r="H425">
        <v>2485</v>
      </c>
      <c r="I425" t="s">
        <v>15</v>
      </c>
      <c r="J425" t="s">
        <v>12</v>
      </c>
      <c r="K425" t="str">
        <f>_xlfn.XLOOKUP(order[[#This Row],[customer_id]],customer[customer_id],customer[city])</f>
        <v>Bangalore</v>
      </c>
      <c r="L425" t="str">
        <f>_xlfn.XLOOKUP(order[[#This Row],[customer_id]],customer[customer_id],customer[state])</f>
        <v>Karnataka</v>
      </c>
      <c r="M425" t="str">
        <f>_xlfn.XLOOKUP(order[[#This Row],[product_id]],products!$A$2:$A$11,products!$B$2:$B$11)</f>
        <v>Philips Air Fryer</v>
      </c>
      <c r="N425" s="3" t="str">
        <f>_xlfn.XLOOKUP(order[[#This Row],[product_id]],products!$A$2:$A$11,products!$C$2:$C$11)</f>
        <v>Home &amp; Kitchen</v>
      </c>
      <c r="O425" s="3">
        <f>_xlfn.XLOOKUP(order[[#This Row],[product_id]],Table4[product_id],Table4[cost_price])</f>
        <v>7000</v>
      </c>
      <c r="P425" s="11">
        <f>_xlfn.XLOOKUP(order[[#This Row],[order_id]],shipment[order_id],shipment[ship_date])</f>
        <v>45598</v>
      </c>
      <c r="Q425" s="11">
        <f>_xlfn.XLOOKUP(order[[#This Row],[order_id]],shipment[order_id],shipment[delivery_date])</f>
        <v>45599</v>
      </c>
      <c r="R425" s="3" t="str">
        <f>_xlfn.XLOOKUP(order[[#This Row],[order_id]],shipment[shipment_id],shipment[courier])</f>
        <v>Ekart</v>
      </c>
      <c r="S425" s="3">
        <f>order[[#This Row],[selling_price]]-order[[#This Row],[cost_price]]*order[[#This Row],[quantity]]-order[[#This Row],[discount]]</f>
        <v>46856</v>
      </c>
      <c r="T425" s="3">
        <f>order[[#This Row],[quantity]]*order[[#This Row],[selling_price]]</f>
        <v>126682</v>
      </c>
    </row>
    <row r="426" spans="1:20" x14ac:dyDescent="0.3">
      <c r="A426">
        <v>425</v>
      </c>
      <c r="B426" s="11">
        <v>45344</v>
      </c>
      <c r="C426">
        <v>214</v>
      </c>
      <c r="D426" t="str">
        <f>_xlfn.XLOOKUP(order[[#This Row],[customer_id]],customer[customer_id],customer[customer_name])</f>
        <v>Ishita Bose</v>
      </c>
      <c r="E426">
        <v>208</v>
      </c>
      <c r="F426">
        <v>3</v>
      </c>
      <c r="G426">
        <v>64900</v>
      </c>
      <c r="H426">
        <v>67</v>
      </c>
      <c r="I426" t="s">
        <v>9</v>
      </c>
      <c r="J426" t="s">
        <v>12</v>
      </c>
      <c r="K426" t="str">
        <f>_xlfn.XLOOKUP(order[[#This Row],[customer_id]],customer[customer_id],customer[city])</f>
        <v>Mumbai</v>
      </c>
      <c r="L426" t="str">
        <f>_xlfn.XLOOKUP(order[[#This Row],[customer_id]],customer[customer_id],customer[state])</f>
        <v>Maharashtra</v>
      </c>
      <c r="M426" t="str">
        <f>_xlfn.XLOOKUP(order[[#This Row],[product_id]],products!$A$2:$A$11,products!$B$2:$B$11)</f>
        <v>Adidas Ultraboost Shoes</v>
      </c>
      <c r="N426" s="3" t="str">
        <f>_xlfn.XLOOKUP(order[[#This Row],[product_id]],products!$A$2:$A$11,products!$C$2:$C$11)</f>
        <v>Fashion</v>
      </c>
      <c r="O426" s="3">
        <f>_xlfn.XLOOKUP(order[[#This Row],[product_id]],Table4[product_id],Table4[cost_price])</f>
        <v>9000</v>
      </c>
      <c r="P426" s="11">
        <f>_xlfn.XLOOKUP(order[[#This Row],[order_id]],shipment[order_id],shipment[ship_date])</f>
        <v>45626</v>
      </c>
      <c r="Q426" s="11">
        <f>_xlfn.XLOOKUP(order[[#This Row],[order_id]],shipment[order_id],shipment[delivery_date])</f>
        <v>45630</v>
      </c>
      <c r="R426" s="3" t="str">
        <f>_xlfn.XLOOKUP(order[[#This Row],[order_id]],shipment[shipment_id],shipment[courier])</f>
        <v>BlueDart</v>
      </c>
      <c r="S426" s="3">
        <f>order[[#This Row],[selling_price]]-order[[#This Row],[cost_price]]*order[[#This Row],[quantity]]-order[[#This Row],[discount]]</f>
        <v>37833</v>
      </c>
      <c r="T426" s="3">
        <f>order[[#This Row],[quantity]]*order[[#This Row],[selling_price]]</f>
        <v>194700</v>
      </c>
    </row>
    <row r="427" spans="1:20" x14ac:dyDescent="0.3">
      <c r="A427">
        <v>285</v>
      </c>
      <c r="B427" s="11">
        <v>45357</v>
      </c>
      <c r="C427">
        <v>140</v>
      </c>
      <c r="D427" t="str">
        <f>_xlfn.XLOOKUP(order[[#This Row],[customer_id]],customer[customer_id],customer[customer_name])</f>
        <v>Neha Kapoor</v>
      </c>
      <c r="E427">
        <v>202</v>
      </c>
      <c r="F427">
        <v>4</v>
      </c>
      <c r="G427">
        <v>53814</v>
      </c>
      <c r="H427">
        <v>1758</v>
      </c>
      <c r="I427" t="s">
        <v>15</v>
      </c>
      <c r="J427" t="s">
        <v>10</v>
      </c>
      <c r="K427" t="str">
        <f>_xlfn.XLOOKUP(order[[#This Row],[customer_id]],customer[customer_id],customer[city])</f>
        <v>Chennai</v>
      </c>
      <c r="L427" t="str">
        <f>_xlfn.XLOOKUP(order[[#This Row],[customer_id]],customer[customer_id],customer[state])</f>
        <v>Tamil Nadu</v>
      </c>
      <c r="M427" t="str">
        <f>_xlfn.XLOOKUP(order[[#This Row],[product_id]],products!$A$2:$A$11,products!$B$2:$B$11)</f>
        <v>Samsung Galaxy S21</v>
      </c>
      <c r="N427" s="3" t="str">
        <f>_xlfn.XLOOKUP(order[[#This Row],[product_id]],products!$A$2:$A$11,products!$C$2:$C$11)</f>
        <v>Electronics</v>
      </c>
      <c r="O427" s="3">
        <f>_xlfn.XLOOKUP(order[[#This Row],[product_id]],Table4[product_id],Table4[cost_price])</f>
        <v>45000</v>
      </c>
      <c r="P427" s="11">
        <f>_xlfn.XLOOKUP(order[[#This Row],[order_id]],shipment[order_id],shipment[ship_date])</f>
        <v>45608</v>
      </c>
      <c r="Q427" s="11">
        <f>_xlfn.XLOOKUP(order[[#This Row],[order_id]],shipment[order_id],shipment[delivery_date])</f>
        <v>45616</v>
      </c>
      <c r="R427" s="3" t="str">
        <f>_xlfn.XLOOKUP(order[[#This Row],[order_id]],shipment[shipment_id],shipment[courier])</f>
        <v>BlueDart</v>
      </c>
      <c r="S427" s="3">
        <f>order[[#This Row],[selling_price]]-order[[#This Row],[cost_price]]*order[[#This Row],[quantity]]-order[[#This Row],[discount]]</f>
        <v>-127944</v>
      </c>
      <c r="T427" s="3">
        <f>order[[#This Row],[quantity]]*order[[#This Row],[selling_price]]</f>
        <v>215256</v>
      </c>
    </row>
    <row r="428" spans="1:20" x14ac:dyDescent="0.3">
      <c r="A428">
        <v>427</v>
      </c>
      <c r="B428" s="11">
        <v>45540</v>
      </c>
      <c r="C428">
        <v>225</v>
      </c>
      <c r="D428" t="str">
        <f>_xlfn.XLOOKUP(order[[#This Row],[customer_id]],customer[customer_id],customer[customer_name])</f>
        <v>Aarav Sharma</v>
      </c>
      <c r="E428">
        <v>205</v>
      </c>
      <c r="F428">
        <v>3</v>
      </c>
      <c r="G428">
        <v>32174</v>
      </c>
      <c r="H428">
        <v>4821</v>
      </c>
      <c r="I428" t="s">
        <v>11</v>
      </c>
      <c r="J428" t="s">
        <v>14</v>
      </c>
      <c r="K428" t="str">
        <f>_xlfn.XLOOKUP(order[[#This Row],[customer_id]],customer[customer_id],customer[city])</f>
        <v>Bangalore</v>
      </c>
      <c r="L428" t="str">
        <f>_xlfn.XLOOKUP(order[[#This Row],[customer_id]],customer[customer_id],customer[state])</f>
        <v>Karnataka</v>
      </c>
      <c r="M428" t="str">
        <f>_xlfn.XLOOKUP(order[[#This Row],[product_id]],products!$A$2:$A$11,products!$B$2:$B$11)</f>
        <v>Prestige Pressure Cooker 5L</v>
      </c>
      <c r="N428" s="3" t="str">
        <f>_xlfn.XLOOKUP(order[[#This Row],[product_id]],products!$A$2:$A$11,products!$C$2:$C$11)</f>
        <v>Home &amp; Kitchen</v>
      </c>
      <c r="O428" s="3">
        <f>_xlfn.XLOOKUP(order[[#This Row],[product_id]],Table4[product_id],Table4[cost_price])</f>
        <v>1200</v>
      </c>
      <c r="P428" s="11">
        <f>_xlfn.XLOOKUP(order[[#This Row],[order_id]],shipment[order_id],shipment[ship_date])</f>
        <v>45297</v>
      </c>
      <c r="Q428" s="11">
        <f>_xlfn.XLOOKUP(order[[#This Row],[order_id]],shipment[order_id],shipment[delivery_date])</f>
        <v>45300</v>
      </c>
      <c r="R428" s="3" t="str">
        <f>_xlfn.XLOOKUP(order[[#This Row],[order_id]],shipment[shipment_id],shipment[courier])</f>
        <v>Delhivery</v>
      </c>
      <c r="S428" s="3">
        <f>order[[#This Row],[selling_price]]-order[[#This Row],[cost_price]]*order[[#This Row],[quantity]]-order[[#This Row],[discount]]</f>
        <v>23753</v>
      </c>
      <c r="T428" s="3">
        <f>order[[#This Row],[quantity]]*order[[#This Row],[selling_price]]</f>
        <v>96522</v>
      </c>
    </row>
    <row r="429" spans="1:20" x14ac:dyDescent="0.3">
      <c r="A429">
        <v>428</v>
      </c>
      <c r="B429" s="11">
        <v>45388</v>
      </c>
      <c r="C429">
        <v>292</v>
      </c>
      <c r="D429" t="str">
        <f>_xlfn.XLOOKUP(order[[#This Row],[customer_id]],customer[customer_id],customer[customer_name])</f>
        <v>Vikram Singh</v>
      </c>
      <c r="E429">
        <v>204</v>
      </c>
      <c r="F429">
        <v>1</v>
      </c>
      <c r="G429">
        <v>61698</v>
      </c>
      <c r="H429">
        <v>1265</v>
      </c>
      <c r="I429" t="s">
        <v>13</v>
      </c>
      <c r="J429" t="s">
        <v>12</v>
      </c>
      <c r="K429" t="str">
        <f>_xlfn.XLOOKUP(order[[#This Row],[customer_id]],customer[customer_id],customer[city])</f>
        <v>Ahmedabad</v>
      </c>
      <c r="L429" t="str">
        <f>_xlfn.XLOOKUP(order[[#This Row],[customer_id]],customer[customer_id],customer[state])</f>
        <v>Gujarat</v>
      </c>
      <c r="M429" t="str">
        <f>_xlfn.XLOOKUP(order[[#This Row],[product_id]],products!$A$2:$A$11,products!$B$2:$B$11)</f>
        <v>Levi's Slim Fit Jeans</v>
      </c>
      <c r="N429" s="3" t="str">
        <f>_xlfn.XLOOKUP(order[[#This Row],[product_id]],products!$A$2:$A$11,products!$C$2:$C$11)</f>
        <v>Fashion</v>
      </c>
      <c r="O429" s="3">
        <f>_xlfn.XLOOKUP(order[[#This Row],[product_id]],Table4[product_id],Table4[cost_price])</f>
        <v>1800</v>
      </c>
      <c r="P429" s="11">
        <f>_xlfn.XLOOKUP(order[[#This Row],[order_id]],shipment[order_id],shipment[ship_date])</f>
        <v>45559</v>
      </c>
      <c r="Q429" s="11">
        <f>_xlfn.XLOOKUP(order[[#This Row],[order_id]],shipment[order_id],shipment[delivery_date])</f>
        <v>45562</v>
      </c>
      <c r="R429" s="3" t="str">
        <f>_xlfn.XLOOKUP(order[[#This Row],[order_id]],shipment[shipment_id],shipment[courier])</f>
        <v>Ekart</v>
      </c>
      <c r="S429" s="3">
        <f>order[[#This Row],[selling_price]]-order[[#This Row],[cost_price]]*order[[#This Row],[quantity]]-order[[#This Row],[discount]]</f>
        <v>58633</v>
      </c>
      <c r="T429" s="3">
        <f>order[[#This Row],[quantity]]*order[[#This Row],[selling_price]]</f>
        <v>61698</v>
      </c>
    </row>
    <row r="430" spans="1:20" x14ac:dyDescent="0.3">
      <c r="A430">
        <v>429</v>
      </c>
      <c r="B430" s="11">
        <v>45504</v>
      </c>
      <c r="C430">
        <v>187</v>
      </c>
      <c r="D430" t="str">
        <f>_xlfn.XLOOKUP(order[[#This Row],[customer_id]],customer[customer_id],customer[customer_name])</f>
        <v>Pooja Nair</v>
      </c>
      <c r="E430">
        <v>204</v>
      </c>
      <c r="F430">
        <v>3</v>
      </c>
      <c r="G430">
        <v>67675</v>
      </c>
      <c r="H430">
        <v>4499</v>
      </c>
      <c r="I430" t="s">
        <v>15</v>
      </c>
      <c r="J430" t="s">
        <v>14</v>
      </c>
      <c r="K430" t="str">
        <f>_xlfn.XLOOKUP(order[[#This Row],[customer_id]],customer[customer_id],customer[city])</f>
        <v>Ahmedabad</v>
      </c>
      <c r="L430" t="str">
        <f>_xlfn.XLOOKUP(order[[#This Row],[customer_id]],customer[customer_id],customer[state])</f>
        <v>Gujarat</v>
      </c>
      <c r="M430" t="str">
        <f>_xlfn.XLOOKUP(order[[#This Row],[product_id]],products!$A$2:$A$11,products!$B$2:$B$11)</f>
        <v>Levi's Slim Fit Jeans</v>
      </c>
      <c r="N430" s="3" t="str">
        <f>_xlfn.XLOOKUP(order[[#This Row],[product_id]],products!$A$2:$A$11,products!$C$2:$C$11)</f>
        <v>Fashion</v>
      </c>
      <c r="O430" s="3">
        <f>_xlfn.XLOOKUP(order[[#This Row],[product_id]],Table4[product_id],Table4[cost_price])</f>
        <v>1800</v>
      </c>
      <c r="P430" s="11">
        <f>_xlfn.XLOOKUP(order[[#This Row],[order_id]],shipment[order_id],shipment[ship_date])</f>
        <v>45652</v>
      </c>
      <c r="Q430" s="11">
        <f>_xlfn.XLOOKUP(order[[#This Row],[order_id]],shipment[order_id],shipment[delivery_date])</f>
        <v>45660</v>
      </c>
      <c r="R430" s="3" t="str">
        <f>_xlfn.XLOOKUP(order[[#This Row],[order_id]],shipment[shipment_id],shipment[courier])</f>
        <v>Delhivery</v>
      </c>
      <c r="S430" s="3">
        <f>order[[#This Row],[selling_price]]-order[[#This Row],[cost_price]]*order[[#This Row],[quantity]]-order[[#This Row],[discount]]</f>
        <v>57776</v>
      </c>
      <c r="T430" s="3">
        <f>order[[#This Row],[quantity]]*order[[#This Row],[selling_price]]</f>
        <v>203025</v>
      </c>
    </row>
    <row r="431" spans="1:20" x14ac:dyDescent="0.3">
      <c r="A431">
        <v>262</v>
      </c>
      <c r="B431" s="11">
        <v>45543</v>
      </c>
      <c r="C431">
        <v>212</v>
      </c>
      <c r="D431" t="str">
        <f>_xlfn.XLOOKUP(order[[#This Row],[customer_id]],customer[customer_id],customer[customer_name])</f>
        <v>Vikram Singh</v>
      </c>
      <c r="E431">
        <v>202</v>
      </c>
      <c r="F431">
        <v>1</v>
      </c>
      <c r="G431">
        <v>40475</v>
      </c>
      <c r="H431">
        <v>1677</v>
      </c>
      <c r="I431" t="s">
        <v>11</v>
      </c>
      <c r="J431" t="s">
        <v>12</v>
      </c>
      <c r="K431" t="str">
        <f>_xlfn.XLOOKUP(order[[#This Row],[customer_id]],customer[customer_id],customer[city])</f>
        <v>Ahmedabad</v>
      </c>
      <c r="L431" t="str">
        <f>_xlfn.XLOOKUP(order[[#This Row],[customer_id]],customer[customer_id],customer[state])</f>
        <v>Gujarat</v>
      </c>
      <c r="M431" t="str">
        <f>_xlfn.XLOOKUP(order[[#This Row],[product_id]],products!$A$2:$A$11,products!$B$2:$B$11)</f>
        <v>Samsung Galaxy S21</v>
      </c>
      <c r="N431" s="3" t="str">
        <f>_xlfn.XLOOKUP(order[[#This Row],[product_id]],products!$A$2:$A$11,products!$C$2:$C$11)</f>
        <v>Electronics</v>
      </c>
      <c r="O431" s="3">
        <f>_xlfn.XLOOKUP(order[[#This Row],[product_id]],Table4[product_id],Table4[cost_price])</f>
        <v>45000</v>
      </c>
      <c r="P431" s="11">
        <f>_xlfn.XLOOKUP(order[[#This Row],[order_id]],shipment[order_id],shipment[ship_date])</f>
        <v>45332</v>
      </c>
      <c r="Q431" s="11">
        <f>_xlfn.XLOOKUP(order[[#This Row],[order_id]],shipment[order_id],shipment[delivery_date])</f>
        <v>45333</v>
      </c>
      <c r="R431" s="3" t="str">
        <f>_xlfn.XLOOKUP(order[[#This Row],[order_id]],shipment[shipment_id],shipment[courier])</f>
        <v>Delhivery</v>
      </c>
      <c r="S431" s="3">
        <f>order[[#This Row],[selling_price]]-order[[#This Row],[cost_price]]*order[[#This Row],[quantity]]-order[[#This Row],[discount]]</f>
        <v>-6202</v>
      </c>
      <c r="T431" s="3">
        <f>order[[#This Row],[quantity]]*order[[#This Row],[selling_price]]</f>
        <v>40475</v>
      </c>
    </row>
    <row r="432" spans="1:20" x14ac:dyDescent="0.3">
      <c r="A432">
        <v>431</v>
      </c>
      <c r="B432" s="11">
        <v>45375</v>
      </c>
      <c r="C432">
        <v>107</v>
      </c>
      <c r="D432" t="str">
        <f>_xlfn.XLOOKUP(order[[#This Row],[customer_id]],customer[customer_id],customer[customer_name])</f>
        <v>Pooja Nair</v>
      </c>
      <c r="E432">
        <v>207</v>
      </c>
      <c r="F432">
        <v>1</v>
      </c>
      <c r="G432">
        <v>35922</v>
      </c>
      <c r="H432">
        <v>1602</v>
      </c>
      <c r="I432" t="s">
        <v>15</v>
      </c>
      <c r="J432" t="s">
        <v>10</v>
      </c>
      <c r="K432" t="str">
        <f>_xlfn.XLOOKUP(order[[#This Row],[customer_id]],customer[customer_id],customer[city])</f>
        <v>Pune</v>
      </c>
      <c r="L432" t="str">
        <f>_xlfn.XLOOKUP(order[[#This Row],[customer_id]],customer[customer_id],customer[state])</f>
        <v>Maharashtra</v>
      </c>
      <c r="M432" t="str">
        <f>_xlfn.XLOOKUP(order[[#This Row],[product_id]],products!$A$2:$A$11,products!$B$2:$B$11)</f>
        <v>Sony WH-1000XM4 Headphones</v>
      </c>
      <c r="N432" s="3" t="str">
        <f>_xlfn.XLOOKUP(order[[#This Row],[product_id]],products!$A$2:$A$11,products!$C$2:$C$11)</f>
        <v>Electronics</v>
      </c>
      <c r="O432" s="3">
        <f>_xlfn.XLOOKUP(order[[#This Row],[product_id]],Table4[product_id],Table4[cost_price])</f>
        <v>20000</v>
      </c>
      <c r="P432" s="11">
        <f>_xlfn.XLOOKUP(order[[#This Row],[order_id]],shipment[order_id],shipment[ship_date])</f>
        <v>45571</v>
      </c>
      <c r="Q432" s="11">
        <f>_xlfn.XLOOKUP(order[[#This Row],[order_id]],shipment[order_id],shipment[delivery_date])</f>
        <v>45576</v>
      </c>
      <c r="R432" s="3" t="str">
        <f>_xlfn.XLOOKUP(order[[#This Row],[order_id]],shipment[shipment_id],shipment[courier])</f>
        <v>Delhivery</v>
      </c>
      <c r="S432" s="3">
        <f>order[[#This Row],[selling_price]]-order[[#This Row],[cost_price]]*order[[#This Row],[quantity]]-order[[#This Row],[discount]]</f>
        <v>14320</v>
      </c>
      <c r="T432" s="3">
        <f>order[[#This Row],[quantity]]*order[[#This Row],[selling_price]]</f>
        <v>35922</v>
      </c>
    </row>
    <row r="433" spans="1:20" x14ac:dyDescent="0.3">
      <c r="A433">
        <v>432</v>
      </c>
      <c r="B433" s="11">
        <v>45308</v>
      </c>
      <c r="C433">
        <v>199</v>
      </c>
      <c r="D433" t="str">
        <f>_xlfn.XLOOKUP(order[[#This Row],[customer_id]],customer[customer_id],customer[customer_name])</f>
        <v>Aarav Sharma</v>
      </c>
      <c r="E433">
        <v>206</v>
      </c>
      <c r="F433">
        <v>1</v>
      </c>
      <c r="G433">
        <v>16597</v>
      </c>
      <c r="H433">
        <v>3104</v>
      </c>
      <c r="I433" t="s">
        <v>9</v>
      </c>
      <c r="J433" t="s">
        <v>10</v>
      </c>
      <c r="K433" t="str">
        <f>_xlfn.XLOOKUP(order[[#This Row],[customer_id]],customer[customer_id],customer[city])</f>
        <v>Ahmedabad</v>
      </c>
      <c r="L433" t="str">
        <f>_xlfn.XLOOKUP(order[[#This Row],[customer_id]],customer[customer_id],customer[state])</f>
        <v>Gujarat</v>
      </c>
      <c r="M433" t="str">
        <f>_xlfn.XLOOKUP(order[[#This Row],[product_id]],products!$A$2:$A$11,products!$B$2:$B$11)</f>
        <v>Philips Air Fryer</v>
      </c>
      <c r="N433" s="3" t="str">
        <f>_xlfn.XLOOKUP(order[[#This Row],[product_id]],products!$A$2:$A$11,products!$C$2:$C$11)</f>
        <v>Home &amp; Kitchen</v>
      </c>
      <c r="O433" s="3">
        <f>_xlfn.XLOOKUP(order[[#This Row],[product_id]],Table4[product_id],Table4[cost_price])</f>
        <v>7000</v>
      </c>
      <c r="P433" s="11">
        <f>_xlfn.XLOOKUP(order[[#This Row],[order_id]],shipment[order_id],shipment[ship_date])</f>
        <v>45521</v>
      </c>
      <c r="Q433" s="11">
        <f>_xlfn.XLOOKUP(order[[#This Row],[order_id]],shipment[order_id],shipment[delivery_date])</f>
        <v>45523</v>
      </c>
      <c r="R433" s="3" t="str">
        <f>_xlfn.XLOOKUP(order[[#This Row],[order_id]],shipment[shipment_id],shipment[courier])</f>
        <v>Delhivery</v>
      </c>
      <c r="S433" s="3">
        <f>order[[#This Row],[selling_price]]-order[[#This Row],[cost_price]]*order[[#This Row],[quantity]]-order[[#This Row],[discount]]</f>
        <v>6493</v>
      </c>
      <c r="T433" s="3">
        <f>order[[#This Row],[quantity]]*order[[#This Row],[selling_price]]</f>
        <v>16597</v>
      </c>
    </row>
    <row r="434" spans="1:20" x14ac:dyDescent="0.3">
      <c r="A434">
        <v>573</v>
      </c>
      <c r="B434" s="11">
        <v>45375</v>
      </c>
      <c r="C434">
        <v>243</v>
      </c>
      <c r="D434" t="str">
        <f>_xlfn.XLOOKUP(order[[#This Row],[customer_id]],customer[customer_id],customer[customer_name])</f>
        <v>Ananya Gupta</v>
      </c>
      <c r="E434">
        <v>202</v>
      </c>
      <c r="F434">
        <v>2</v>
      </c>
      <c r="G434">
        <v>44022</v>
      </c>
      <c r="H434">
        <v>1656</v>
      </c>
      <c r="I434" t="s">
        <v>11</v>
      </c>
      <c r="J434" t="s">
        <v>10</v>
      </c>
      <c r="K434" t="str">
        <f>_xlfn.XLOOKUP(order[[#This Row],[customer_id]],customer[customer_id],customer[city])</f>
        <v>Ahmedabad</v>
      </c>
      <c r="L434" t="str">
        <f>_xlfn.XLOOKUP(order[[#This Row],[customer_id]],customer[customer_id],customer[state])</f>
        <v>Gujarat</v>
      </c>
      <c r="M434" t="str">
        <f>_xlfn.XLOOKUP(order[[#This Row],[product_id]],products!$A$2:$A$11,products!$B$2:$B$11)</f>
        <v>Samsung Galaxy S21</v>
      </c>
      <c r="N434" s="3" t="str">
        <f>_xlfn.XLOOKUP(order[[#This Row],[product_id]],products!$A$2:$A$11,products!$C$2:$C$11)</f>
        <v>Electronics</v>
      </c>
      <c r="O434" s="3">
        <f>_xlfn.XLOOKUP(order[[#This Row],[product_id]],Table4[product_id],Table4[cost_price])</f>
        <v>45000</v>
      </c>
      <c r="P434" s="11">
        <f>_xlfn.XLOOKUP(order[[#This Row],[order_id]],shipment[order_id],shipment[ship_date])</f>
        <v>45328</v>
      </c>
      <c r="Q434" s="11">
        <f>_xlfn.XLOOKUP(order[[#This Row],[order_id]],shipment[order_id],shipment[delivery_date])</f>
        <v>45338</v>
      </c>
      <c r="R434" s="3" t="str">
        <f>_xlfn.XLOOKUP(order[[#This Row],[order_id]],shipment[shipment_id],shipment[courier])</f>
        <v>Delhivery</v>
      </c>
      <c r="S434" s="3">
        <f>order[[#This Row],[selling_price]]-order[[#This Row],[cost_price]]*order[[#This Row],[quantity]]-order[[#This Row],[discount]]</f>
        <v>-47634</v>
      </c>
      <c r="T434" s="3">
        <f>order[[#This Row],[quantity]]*order[[#This Row],[selling_price]]</f>
        <v>88044</v>
      </c>
    </row>
    <row r="435" spans="1:20" x14ac:dyDescent="0.3">
      <c r="A435">
        <v>686</v>
      </c>
      <c r="B435" s="11">
        <v>45339</v>
      </c>
      <c r="C435">
        <v>131</v>
      </c>
      <c r="D435" t="str">
        <f>_xlfn.XLOOKUP(order[[#This Row],[customer_id]],customer[customer_id],customer[customer_name])</f>
        <v>Siddharth Jain</v>
      </c>
      <c r="E435">
        <v>202</v>
      </c>
      <c r="F435">
        <v>3</v>
      </c>
      <c r="G435">
        <v>24594</v>
      </c>
      <c r="H435">
        <v>1634</v>
      </c>
      <c r="I435" t="s">
        <v>15</v>
      </c>
      <c r="J435" t="s">
        <v>14</v>
      </c>
      <c r="K435" t="str">
        <f>_xlfn.XLOOKUP(order[[#This Row],[customer_id]],customer[customer_id],customer[city])</f>
        <v>Mumbai</v>
      </c>
      <c r="L435" t="str">
        <f>_xlfn.XLOOKUP(order[[#This Row],[customer_id]],customer[customer_id],customer[state])</f>
        <v>Maharashtra</v>
      </c>
      <c r="M435" t="str">
        <f>_xlfn.XLOOKUP(order[[#This Row],[product_id]],products!$A$2:$A$11,products!$B$2:$B$11)</f>
        <v>Samsung Galaxy S21</v>
      </c>
      <c r="N435" s="3" t="str">
        <f>_xlfn.XLOOKUP(order[[#This Row],[product_id]],products!$A$2:$A$11,products!$C$2:$C$11)</f>
        <v>Electronics</v>
      </c>
      <c r="O435" s="3">
        <f>_xlfn.XLOOKUP(order[[#This Row],[product_id]],Table4[product_id],Table4[cost_price])</f>
        <v>45000</v>
      </c>
      <c r="P435" s="11">
        <f>_xlfn.XLOOKUP(order[[#This Row],[order_id]],shipment[order_id],shipment[ship_date])</f>
        <v>45437</v>
      </c>
      <c r="Q435" s="11">
        <f>_xlfn.XLOOKUP(order[[#This Row],[order_id]],shipment[order_id],shipment[delivery_date])</f>
        <v>45438</v>
      </c>
      <c r="R435" s="3" t="str">
        <f>_xlfn.XLOOKUP(order[[#This Row],[order_id]],shipment[shipment_id],shipment[courier])</f>
        <v>DTDC</v>
      </c>
      <c r="S435" s="3">
        <f>order[[#This Row],[selling_price]]-order[[#This Row],[cost_price]]*order[[#This Row],[quantity]]-order[[#This Row],[discount]]</f>
        <v>-112040</v>
      </c>
      <c r="T435" s="3">
        <f>order[[#This Row],[quantity]]*order[[#This Row],[selling_price]]</f>
        <v>73782</v>
      </c>
    </row>
    <row r="436" spans="1:20" x14ac:dyDescent="0.3">
      <c r="A436">
        <v>435</v>
      </c>
      <c r="B436" s="11">
        <v>45648</v>
      </c>
      <c r="C436">
        <v>126</v>
      </c>
      <c r="D436" t="str">
        <f>_xlfn.XLOOKUP(order[[#This Row],[customer_id]],customer[customer_id],customer[customer_name])</f>
        <v>Meera Joshi</v>
      </c>
      <c r="E436">
        <v>205</v>
      </c>
      <c r="F436">
        <v>3</v>
      </c>
      <c r="G436">
        <v>32508</v>
      </c>
      <c r="H436">
        <v>3942</v>
      </c>
      <c r="I436" t="s">
        <v>13</v>
      </c>
      <c r="J436" t="s">
        <v>10</v>
      </c>
      <c r="K436" t="str">
        <f>_xlfn.XLOOKUP(order[[#This Row],[customer_id]],customer[customer_id],customer[city])</f>
        <v>Mumbai</v>
      </c>
      <c r="L436" t="str">
        <f>_xlfn.XLOOKUP(order[[#This Row],[customer_id]],customer[customer_id],customer[state])</f>
        <v>Maharashtra</v>
      </c>
      <c r="M436" t="str">
        <f>_xlfn.XLOOKUP(order[[#This Row],[product_id]],products!$A$2:$A$11,products!$B$2:$B$11)</f>
        <v>Prestige Pressure Cooker 5L</v>
      </c>
      <c r="N436" s="3" t="str">
        <f>_xlfn.XLOOKUP(order[[#This Row],[product_id]],products!$A$2:$A$11,products!$C$2:$C$11)</f>
        <v>Home &amp; Kitchen</v>
      </c>
      <c r="O436" s="3">
        <f>_xlfn.XLOOKUP(order[[#This Row],[product_id]],Table4[product_id],Table4[cost_price])</f>
        <v>1200</v>
      </c>
      <c r="P436" s="11">
        <f>_xlfn.XLOOKUP(order[[#This Row],[order_id]],shipment[order_id],shipment[ship_date])</f>
        <v>45421</v>
      </c>
      <c r="Q436" s="11">
        <f>_xlfn.XLOOKUP(order[[#This Row],[order_id]],shipment[order_id],shipment[delivery_date])</f>
        <v>45430</v>
      </c>
      <c r="R436" s="3" t="str">
        <f>_xlfn.XLOOKUP(order[[#This Row],[order_id]],shipment[shipment_id],shipment[courier])</f>
        <v>BlueDart</v>
      </c>
      <c r="S436" s="3">
        <f>order[[#This Row],[selling_price]]-order[[#This Row],[cost_price]]*order[[#This Row],[quantity]]-order[[#This Row],[discount]]</f>
        <v>24966</v>
      </c>
      <c r="T436" s="3">
        <f>order[[#This Row],[quantity]]*order[[#This Row],[selling_price]]</f>
        <v>97524</v>
      </c>
    </row>
    <row r="437" spans="1:20" x14ac:dyDescent="0.3">
      <c r="A437">
        <v>85</v>
      </c>
      <c r="B437" s="11">
        <v>45496</v>
      </c>
      <c r="C437">
        <v>124</v>
      </c>
      <c r="D437" t="str">
        <f>_xlfn.XLOOKUP(order[[#This Row],[customer_id]],customer[customer_id],customer[customer_name])</f>
        <v>Neha Kapoor</v>
      </c>
      <c r="E437">
        <v>202</v>
      </c>
      <c r="F437">
        <v>1</v>
      </c>
      <c r="G437">
        <v>3345</v>
      </c>
      <c r="H437">
        <v>1595</v>
      </c>
      <c r="I437" t="s">
        <v>9</v>
      </c>
      <c r="J437" t="s">
        <v>10</v>
      </c>
      <c r="K437" t="str">
        <f>_xlfn.XLOOKUP(order[[#This Row],[customer_id]],customer[customer_id],customer[city])</f>
        <v>Mumbai</v>
      </c>
      <c r="L437" t="str">
        <f>_xlfn.XLOOKUP(order[[#This Row],[customer_id]],customer[customer_id],customer[state])</f>
        <v>Maharashtra</v>
      </c>
      <c r="M437" t="str">
        <f>_xlfn.XLOOKUP(order[[#This Row],[product_id]],products!$A$2:$A$11,products!$B$2:$B$11)</f>
        <v>Samsung Galaxy S21</v>
      </c>
      <c r="N437" s="3" t="str">
        <f>_xlfn.XLOOKUP(order[[#This Row],[product_id]],products!$A$2:$A$11,products!$C$2:$C$11)</f>
        <v>Electronics</v>
      </c>
      <c r="O437" s="3">
        <f>_xlfn.XLOOKUP(order[[#This Row],[product_id]],Table4[product_id],Table4[cost_price])</f>
        <v>45000</v>
      </c>
      <c r="P437" s="11">
        <f>_xlfn.XLOOKUP(order[[#This Row],[order_id]],shipment[order_id],shipment[ship_date])</f>
        <v>45346</v>
      </c>
      <c r="Q437" s="11">
        <f>_xlfn.XLOOKUP(order[[#This Row],[order_id]],shipment[order_id],shipment[delivery_date])</f>
        <v>45355</v>
      </c>
      <c r="R437" s="3" t="str">
        <f>_xlfn.XLOOKUP(order[[#This Row],[order_id]],shipment[shipment_id],shipment[courier])</f>
        <v>Delhivery</v>
      </c>
      <c r="S437" s="3">
        <f>order[[#This Row],[selling_price]]-order[[#This Row],[cost_price]]*order[[#This Row],[quantity]]-order[[#This Row],[discount]]</f>
        <v>-43250</v>
      </c>
      <c r="T437" s="3">
        <f>order[[#This Row],[quantity]]*order[[#This Row],[selling_price]]</f>
        <v>3345</v>
      </c>
    </row>
    <row r="438" spans="1:20" x14ac:dyDescent="0.3">
      <c r="A438">
        <v>447</v>
      </c>
      <c r="B438" s="11">
        <v>45324</v>
      </c>
      <c r="C438">
        <v>205</v>
      </c>
      <c r="D438" t="str">
        <f>_xlfn.XLOOKUP(order[[#This Row],[customer_id]],customer[customer_id],customer[customer_name])</f>
        <v>Siddharth Jain</v>
      </c>
      <c r="E438">
        <v>202</v>
      </c>
      <c r="F438">
        <v>3</v>
      </c>
      <c r="G438">
        <v>61327</v>
      </c>
      <c r="H438">
        <v>1538</v>
      </c>
      <c r="I438" t="s">
        <v>11</v>
      </c>
      <c r="J438" t="s">
        <v>12</v>
      </c>
      <c r="K438" t="str">
        <f>_xlfn.XLOOKUP(order[[#This Row],[customer_id]],customer[customer_id],customer[city])</f>
        <v>Hyderabad</v>
      </c>
      <c r="L438" t="str">
        <f>_xlfn.XLOOKUP(order[[#This Row],[customer_id]],customer[customer_id],customer[state])</f>
        <v>Telangana</v>
      </c>
      <c r="M438" t="str">
        <f>_xlfn.XLOOKUP(order[[#This Row],[product_id]],products!$A$2:$A$11,products!$B$2:$B$11)</f>
        <v>Samsung Galaxy S21</v>
      </c>
      <c r="N438" s="3" t="str">
        <f>_xlfn.XLOOKUP(order[[#This Row],[product_id]],products!$A$2:$A$11,products!$C$2:$C$11)</f>
        <v>Electronics</v>
      </c>
      <c r="O438" s="3">
        <f>_xlfn.XLOOKUP(order[[#This Row],[product_id]],Table4[product_id],Table4[cost_price])</f>
        <v>45000</v>
      </c>
      <c r="P438" s="11">
        <f>_xlfn.XLOOKUP(order[[#This Row],[order_id]],shipment[order_id],shipment[ship_date])</f>
        <v>45325</v>
      </c>
      <c r="Q438" s="11">
        <f>_xlfn.XLOOKUP(order[[#This Row],[order_id]],shipment[order_id],shipment[delivery_date])</f>
        <v>45331</v>
      </c>
      <c r="R438" s="3" t="str">
        <f>_xlfn.XLOOKUP(order[[#This Row],[order_id]],shipment[shipment_id],shipment[courier])</f>
        <v>DTDC</v>
      </c>
      <c r="S438" s="3">
        <f>order[[#This Row],[selling_price]]-order[[#This Row],[cost_price]]*order[[#This Row],[quantity]]-order[[#This Row],[discount]]</f>
        <v>-75211</v>
      </c>
      <c r="T438" s="3">
        <f>order[[#This Row],[quantity]]*order[[#This Row],[selling_price]]</f>
        <v>183981</v>
      </c>
    </row>
    <row r="439" spans="1:20" x14ac:dyDescent="0.3">
      <c r="A439">
        <v>671</v>
      </c>
      <c r="B439" s="11">
        <v>45470</v>
      </c>
      <c r="C439">
        <v>184</v>
      </c>
      <c r="D439" t="str">
        <f>_xlfn.XLOOKUP(order[[#This Row],[customer_id]],customer[customer_id],customer[customer_name])</f>
        <v>Arjun Nair</v>
      </c>
      <c r="E439">
        <v>202</v>
      </c>
      <c r="F439">
        <v>2</v>
      </c>
      <c r="G439">
        <v>54061</v>
      </c>
      <c r="H439">
        <v>1483</v>
      </c>
      <c r="I439" t="s">
        <v>9</v>
      </c>
      <c r="J439" t="s">
        <v>14</v>
      </c>
      <c r="K439" t="str">
        <f>_xlfn.XLOOKUP(order[[#This Row],[customer_id]],customer[customer_id],customer[city])</f>
        <v>Delhi</v>
      </c>
      <c r="L439" t="str">
        <f>_xlfn.XLOOKUP(order[[#This Row],[customer_id]],customer[customer_id],customer[state])</f>
        <v>Delhi</v>
      </c>
      <c r="M439" t="str">
        <f>_xlfn.XLOOKUP(order[[#This Row],[product_id]],products!$A$2:$A$11,products!$B$2:$B$11)</f>
        <v>Samsung Galaxy S21</v>
      </c>
      <c r="N439" s="3" t="str">
        <f>_xlfn.XLOOKUP(order[[#This Row],[product_id]],products!$A$2:$A$11,products!$C$2:$C$11)</f>
        <v>Electronics</v>
      </c>
      <c r="O439" s="3">
        <f>_xlfn.XLOOKUP(order[[#This Row],[product_id]],Table4[product_id],Table4[cost_price])</f>
        <v>45000</v>
      </c>
      <c r="P439" s="11">
        <f>_xlfn.XLOOKUP(order[[#This Row],[order_id]],shipment[order_id],shipment[ship_date])</f>
        <v>45338</v>
      </c>
      <c r="Q439" s="11">
        <f>_xlfn.XLOOKUP(order[[#This Row],[order_id]],shipment[order_id],shipment[delivery_date])</f>
        <v>45345</v>
      </c>
      <c r="R439" s="3" t="str">
        <f>_xlfn.XLOOKUP(order[[#This Row],[order_id]],shipment[shipment_id],shipment[courier])</f>
        <v>DTDC</v>
      </c>
      <c r="S439" s="3">
        <f>order[[#This Row],[selling_price]]-order[[#This Row],[cost_price]]*order[[#This Row],[quantity]]-order[[#This Row],[discount]]</f>
        <v>-37422</v>
      </c>
      <c r="T439" s="3">
        <f>order[[#This Row],[quantity]]*order[[#This Row],[selling_price]]</f>
        <v>108122</v>
      </c>
    </row>
    <row r="440" spans="1:20" x14ac:dyDescent="0.3">
      <c r="A440">
        <v>439</v>
      </c>
      <c r="B440" s="11">
        <v>45448</v>
      </c>
      <c r="C440">
        <v>138</v>
      </c>
      <c r="D440" t="str">
        <f>_xlfn.XLOOKUP(order[[#This Row],[customer_id]],customer[customer_id],customer[customer_name])</f>
        <v>Sneha Iyer</v>
      </c>
      <c r="E440">
        <v>205</v>
      </c>
      <c r="F440">
        <v>3</v>
      </c>
      <c r="G440">
        <v>68662</v>
      </c>
      <c r="H440">
        <v>4828</v>
      </c>
      <c r="I440" t="s">
        <v>13</v>
      </c>
      <c r="J440" t="s">
        <v>14</v>
      </c>
      <c r="K440" t="str">
        <f>_xlfn.XLOOKUP(order[[#This Row],[customer_id]],customer[customer_id],customer[city])</f>
        <v>Chennai</v>
      </c>
      <c r="L440" t="str">
        <f>_xlfn.XLOOKUP(order[[#This Row],[customer_id]],customer[customer_id],customer[state])</f>
        <v>Tamil Nadu</v>
      </c>
      <c r="M440" t="str">
        <f>_xlfn.XLOOKUP(order[[#This Row],[product_id]],products!$A$2:$A$11,products!$B$2:$B$11)</f>
        <v>Prestige Pressure Cooker 5L</v>
      </c>
      <c r="N440" s="3" t="str">
        <f>_xlfn.XLOOKUP(order[[#This Row],[product_id]],products!$A$2:$A$11,products!$C$2:$C$11)</f>
        <v>Home &amp; Kitchen</v>
      </c>
      <c r="O440" s="3">
        <f>_xlfn.XLOOKUP(order[[#This Row],[product_id]],Table4[product_id],Table4[cost_price])</f>
        <v>1200</v>
      </c>
      <c r="P440" s="11">
        <f>_xlfn.XLOOKUP(order[[#This Row],[order_id]],shipment[order_id],shipment[ship_date])</f>
        <v>45471</v>
      </c>
      <c r="Q440" s="11">
        <f>_xlfn.XLOOKUP(order[[#This Row],[order_id]],shipment[order_id],shipment[delivery_date])</f>
        <v>45475</v>
      </c>
      <c r="R440" s="3" t="str">
        <f>_xlfn.XLOOKUP(order[[#This Row],[order_id]],shipment[shipment_id],shipment[courier])</f>
        <v>Delhivery</v>
      </c>
      <c r="S440" s="3">
        <f>order[[#This Row],[selling_price]]-order[[#This Row],[cost_price]]*order[[#This Row],[quantity]]-order[[#This Row],[discount]]</f>
        <v>60234</v>
      </c>
      <c r="T440" s="3">
        <f>order[[#This Row],[quantity]]*order[[#This Row],[selling_price]]</f>
        <v>205986</v>
      </c>
    </row>
    <row r="441" spans="1:20" x14ac:dyDescent="0.3">
      <c r="A441">
        <v>440</v>
      </c>
      <c r="B441" s="11">
        <v>45599</v>
      </c>
      <c r="C441">
        <v>124</v>
      </c>
      <c r="D441" t="str">
        <f>_xlfn.XLOOKUP(order[[#This Row],[customer_id]],customer[customer_id],customer[customer_name])</f>
        <v>Neha Kapoor</v>
      </c>
      <c r="E441">
        <v>201</v>
      </c>
      <c r="F441">
        <v>1</v>
      </c>
      <c r="G441">
        <v>64314</v>
      </c>
      <c r="H441">
        <v>1101</v>
      </c>
      <c r="I441" t="s">
        <v>9</v>
      </c>
      <c r="J441" t="s">
        <v>14</v>
      </c>
      <c r="K441" t="str">
        <f>_xlfn.XLOOKUP(order[[#This Row],[customer_id]],customer[customer_id],customer[city])</f>
        <v>Mumbai</v>
      </c>
      <c r="L441" t="str">
        <f>_xlfn.XLOOKUP(order[[#This Row],[customer_id]],customer[customer_id],customer[state])</f>
        <v>Maharashtra</v>
      </c>
      <c r="M441" t="str">
        <f>_xlfn.XLOOKUP(order[[#This Row],[product_id]],products!$A$2:$A$11,products!$B$2:$B$11)</f>
        <v>iPhone 13</v>
      </c>
      <c r="N441" s="3" t="str">
        <f>_xlfn.XLOOKUP(order[[#This Row],[product_id]],products!$A$2:$A$11,products!$C$2:$C$11)</f>
        <v>Electronics</v>
      </c>
      <c r="O441" s="3">
        <f>_xlfn.XLOOKUP(order[[#This Row],[product_id]],Table4[product_id],Table4[cost_price])</f>
        <v>52000</v>
      </c>
      <c r="P441" s="11">
        <f>_xlfn.XLOOKUP(order[[#This Row],[order_id]],shipment[order_id],shipment[ship_date])</f>
        <v>45609</v>
      </c>
      <c r="Q441" s="11">
        <f>_xlfn.XLOOKUP(order[[#This Row],[order_id]],shipment[order_id],shipment[delivery_date])</f>
        <v>45612</v>
      </c>
      <c r="R441" s="3" t="str">
        <f>_xlfn.XLOOKUP(order[[#This Row],[order_id]],shipment[shipment_id],shipment[courier])</f>
        <v>Ekart</v>
      </c>
      <c r="S441" s="3">
        <f>order[[#This Row],[selling_price]]-order[[#This Row],[cost_price]]*order[[#This Row],[quantity]]-order[[#This Row],[discount]]</f>
        <v>11213</v>
      </c>
      <c r="T441" s="3">
        <f>order[[#This Row],[quantity]]*order[[#This Row],[selling_price]]</f>
        <v>64314</v>
      </c>
    </row>
    <row r="442" spans="1:20" x14ac:dyDescent="0.3">
      <c r="A442">
        <v>900</v>
      </c>
      <c r="B442" s="11">
        <v>45490</v>
      </c>
      <c r="C442">
        <v>235</v>
      </c>
      <c r="D442" t="str">
        <f>_xlfn.XLOOKUP(order[[#This Row],[customer_id]],customer[customer_id],customer[customer_name])</f>
        <v>Neha Kapoor</v>
      </c>
      <c r="E442">
        <v>202</v>
      </c>
      <c r="F442">
        <v>3</v>
      </c>
      <c r="G442">
        <v>10769</v>
      </c>
      <c r="H442">
        <v>1475</v>
      </c>
      <c r="I442" t="s">
        <v>13</v>
      </c>
      <c r="J442" t="s">
        <v>14</v>
      </c>
      <c r="K442" t="str">
        <f>_xlfn.XLOOKUP(order[[#This Row],[customer_id]],customer[customer_id],customer[city])</f>
        <v>Pune</v>
      </c>
      <c r="L442" t="str">
        <f>_xlfn.XLOOKUP(order[[#This Row],[customer_id]],customer[customer_id],customer[state])</f>
        <v>Maharashtra</v>
      </c>
      <c r="M442" t="str">
        <f>_xlfn.XLOOKUP(order[[#This Row],[product_id]],products!$A$2:$A$11,products!$B$2:$B$11)</f>
        <v>Samsung Galaxy S21</v>
      </c>
      <c r="N442" s="3" t="str">
        <f>_xlfn.XLOOKUP(order[[#This Row],[product_id]],products!$A$2:$A$11,products!$C$2:$C$11)</f>
        <v>Electronics</v>
      </c>
      <c r="O442" s="3">
        <f>_xlfn.XLOOKUP(order[[#This Row],[product_id]],Table4[product_id],Table4[cost_price])</f>
        <v>45000</v>
      </c>
      <c r="P442" s="11">
        <f>_xlfn.XLOOKUP(order[[#This Row],[order_id]],shipment[order_id],shipment[ship_date])</f>
        <v>45396</v>
      </c>
      <c r="Q442" s="11">
        <f>_xlfn.XLOOKUP(order[[#This Row],[order_id]],shipment[order_id],shipment[delivery_date])</f>
        <v>45401</v>
      </c>
      <c r="R442" s="3" t="str">
        <f>_xlfn.XLOOKUP(order[[#This Row],[order_id]],shipment[shipment_id],shipment[courier])</f>
        <v>BlueDart</v>
      </c>
      <c r="S442" s="3">
        <f>order[[#This Row],[selling_price]]-order[[#This Row],[cost_price]]*order[[#This Row],[quantity]]-order[[#This Row],[discount]]</f>
        <v>-125706</v>
      </c>
      <c r="T442" s="3">
        <f>order[[#This Row],[quantity]]*order[[#This Row],[selling_price]]</f>
        <v>32307</v>
      </c>
    </row>
    <row r="443" spans="1:20" x14ac:dyDescent="0.3">
      <c r="A443">
        <v>442</v>
      </c>
      <c r="B443" s="11">
        <v>45566</v>
      </c>
      <c r="C443">
        <v>220</v>
      </c>
      <c r="D443" t="str">
        <f>_xlfn.XLOOKUP(order[[#This Row],[customer_id]],customer[customer_id],customer[customer_name])</f>
        <v>Rahul Mehta</v>
      </c>
      <c r="E443">
        <v>203</v>
      </c>
      <c r="F443">
        <v>1</v>
      </c>
      <c r="G443">
        <v>64214</v>
      </c>
      <c r="H443">
        <v>3536</v>
      </c>
      <c r="I443" t="s">
        <v>9</v>
      </c>
      <c r="J443" t="s">
        <v>14</v>
      </c>
      <c r="K443" t="str">
        <f>_xlfn.XLOOKUP(order[[#This Row],[customer_id]],customer[customer_id],customer[city])</f>
        <v>Chennai</v>
      </c>
      <c r="L443" t="str">
        <f>_xlfn.XLOOKUP(order[[#This Row],[customer_id]],customer[customer_id],customer[state])</f>
        <v>Tamil Nadu</v>
      </c>
      <c r="M443" t="str">
        <f>_xlfn.XLOOKUP(order[[#This Row],[product_id]],products!$A$2:$A$11,products!$B$2:$B$11)</f>
        <v>Nike Air Max Shoes</v>
      </c>
      <c r="N443" s="3" t="str">
        <f>_xlfn.XLOOKUP(order[[#This Row],[product_id]],products!$A$2:$A$11,products!$C$2:$C$11)</f>
        <v>Fashion</v>
      </c>
      <c r="O443" s="3">
        <f>_xlfn.XLOOKUP(order[[#This Row],[product_id]],Table4[product_id],Table4[cost_price])</f>
        <v>4000</v>
      </c>
      <c r="P443" s="11">
        <f>_xlfn.XLOOKUP(order[[#This Row],[order_id]],shipment[order_id],shipment[ship_date])</f>
        <v>45506</v>
      </c>
      <c r="Q443" s="11">
        <f>_xlfn.XLOOKUP(order[[#This Row],[order_id]],shipment[order_id],shipment[delivery_date])</f>
        <v>45508</v>
      </c>
      <c r="R443" s="3" t="str">
        <f>_xlfn.XLOOKUP(order[[#This Row],[order_id]],shipment[shipment_id],shipment[courier])</f>
        <v>DTDC</v>
      </c>
      <c r="S443" s="3">
        <f>order[[#This Row],[selling_price]]-order[[#This Row],[cost_price]]*order[[#This Row],[quantity]]-order[[#This Row],[discount]]</f>
        <v>56678</v>
      </c>
      <c r="T443" s="3">
        <f>order[[#This Row],[quantity]]*order[[#This Row],[selling_price]]</f>
        <v>64214</v>
      </c>
    </row>
    <row r="444" spans="1:20" x14ac:dyDescent="0.3">
      <c r="A444">
        <v>443</v>
      </c>
      <c r="B444" s="11">
        <v>45400</v>
      </c>
      <c r="C444">
        <v>146</v>
      </c>
      <c r="D444" t="str">
        <f>_xlfn.XLOOKUP(order[[#This Row],[customer_id]],customer[customer_id],customer[customer_name])</f>
        <v>Siddharth Jain</v>
      </c>
      <c r="E444">
        <v>209</v>
      </c>
      <c r="F444">
        <v>1</v>
      </c>
      <c r="G444">
        <v>29346</v>
      </c>
      <c r="H444">
        <v>4592</v>
      </c>
      <c r="I444" t="s">
        <v>13</v>
      </c>
      <c r="J444" t="s">
        <v>12</v>
      </c>
      <c r="K444" t="str">
        <f>_xlfn.XLOOKUP(order[[#This Row],[customer_id]],customer[customer_id],customer[city])</f>
        <v>Hyderabad</v>
      </c>
      <c r="L444" t="str">
        <f>_xlfn.XLOOKUP(order[[#This Row],[customer_id]],customer[customer_id],customer[state])</f>
        <v>Telangana</v>
      </c>
      <c r="M444" t="str">
        <f>_xlfn.XLOOKUP(order[[#This Row],[product_id]],products!$A$2:$A$11,products!$B$2:$B$11)</f>
        <v>Milton Thermosteel Bottle</v>
      </c>
      <c r="N444" s="3" t="str">
        <f>_xlfn.XLOOKUP(order[[#This Row],[product_id]],products!$A$2:$A$11,products!$C$2:$C$11)</f>
        <v>Home &amp; Kitchen</v>
      </c>
      <c r="O444" s="3">
        <f>_xlfn.XLOOKUP(order[[#This Row],[product_id]],Table4[product_id],Table4[cost_price])</f>
        <v>800</v>
      </c>
      <c r="P444" s="11">
        <f>_xlfn.XLOOKUP(order[[#This Row],[order_id]],shipment[order_id],shipment[ship_date])</f>
        <v>45501</v>
      </c>
      <c r="Q444" s="11">
        <f>_xlfn.XLOOKUP(order[[#This Row],[order_id]],shipment[order_id],shipment[delivery_date])</f>
        <v>45510</v>
      </c>
      <c r="R444" s="3" t="str">
        <f>_xlfn.XLOOKUP(order[[#This Row],[order_id]],shipment[shipment_id],shipment[courier])</f>
        <v>Ekart</v>
      </c>
      <c r="S444" s="3">
        <f>order[[#This Row],[selling_price]]-order[[#This Row],[cost_price]]*order[[#This Row],[quantity]]-order[[#This Row],[discount]]</f>
        <v>23954</v>
      </c>
      <c r="T444" s="3">
        <f>order[[#This Row],[quantity]]*order[[#This Row],[selling_price]]</f>
        <v>29346</v>
      </c>
    </row>
    <row r="445" spans="1:20" x14ac:dyDescent="0.3">
      <c r="A445">
        <v>630</v>
      </c>
      <c r="B445" s="11">
        <v>45578</v>
      </c>
      <c r="C445">
        <v>287</v>
      </c>
      <c r="D445" t="str">
        <f>_xlfn.XLOOKUP(order[[#This Row],[customer_id]],customer[customer_id],customer[customer_name])</f>
        <v>Karan Patel</v>
      </c>
      <c r="E445">
        <v>202</v>
      </c>
      <c r="F445">
        <v>3</v>
      </c>
      <c r="G445">
        <v>63229</v>
      </c>
      <c r="H445">
        <v>1425</v>
      </c>
      <c r="I445" t="s">
        <v>11</v>
      </c>
      <c r="J445" t="s">
        <v>12</v>
      </c>
      <c r="K445" t="str">
        <f>_xlfn.XLOOKUP(order[[#This Row],[customer_id]],customer[customer_id],customer[city])</f>
        <v>Chennai</v>
      </c>
      <c r="L445" t="str">
        <f>_xlfn.XLOOKUP(order[[#This Row],[customer_id]],customer[customer_id],customer[state])</f>
        <v>Tamil Nadu</v>
      </c>
      <c r="M445" t="str">
        <f>_xlfn.XLOOKUP(order[[#This Row],[product_id]],products!$A$2:$A$11,products!$B$2:$B$11)</f>
        <v>Samsung Galaxy S21</v>
      </c>
      <c r="N445" s="3" t="str">
        <f>_xlfn.XLOOKUP(order[[#This Row],[product_id]],products!$A$2:$A$11,products!$C$2:$C$11)</f>
        <v>Electronics</v>
      </c>
      <c r="O445" s="3">
        <f>_xlfn.XLOOKUP(order[[#This Row],[product_id]],Table4[product_id],Table4[cost_price])</f>
        <v>45000</v>
      </c>
      <c r="P445" s="11">
        <f>_xlfn.XLOOKUP(order[[#This Row],[order_id]],shipment[order_id],shipment[ship_date])</f>
        <v>45299</v>
      </c>
      <c r="Q445" s="11">
        <f>_xlfn.XLOOKUP(order[[#This Row],[order_id]],shipment[order_id],shipment[delivery_date])</f>
        <v>45307</v>
      </c>
      <c r="R445" s="3" t="str">
        <f>_xlfn.XLOOKUP(order[[#This Row],[order_id]],shipment[shipment_id],shipment[courier])</f>
        <v>Ekart</v>
      </c>
      <c r="S445" s="3">
        <f>order[[#This Row],[selling_price]]-order[[#This Row],[cost_price]]*order[[#This Row],[quantity]]-order[[#This Row],[discount]]</f>
        <v>-73196</v>
      </c>
      <c r="T445" s="3">
        <f>order[[#This Row],[quantity]]*order[[#This Row],[selling_price]]</f>
        <v>189687</v>
      </c>
    </row>
    <row r="446" spans="1:20" x14ac:dyDescent="0.3">
      <c r="A446">
        <v>16</v>
      </c>
      <c r="B446" s="11">
        <v>45457</v>
      </c>
      <c r="C446">
        <v>259</v>
      </c>
      <c r="D446" t="str">
        <f>_xlfn.XLOOKUP(order[[#This Row],[customer_id]],customer[customer_id],customer[customer_name])</f>
        <v>Siddharth Jain</v>
      </c>
      <c r="E446">
        <v>202</v>
      </c>
      <c r="F446">
        <v>3</v>
      </c>
      <c r="G446">
        <v>41174</v>
      </c>
      <c r="H446">
        <v>1273</v>
      </c>
      <c r="I446" t="s">
        <v>9</v>
      </c>
      <c r="J446" t="s">
        <v>10</v>
      </c>
      <c r="K446" t="str">
        <f>_xlfn.XLOOKUP(order[[#This Row],[customer_id]],customer[customer_id],customer[city])</f>
        <v>Hyderabad</v>
      </c>
      <c r="L446" t="str">
        <f>_xlfn.XLOOKUP(order[[#This Row],[customer_id]],customer[customer_id],customer[state])</f>
        <v>Telangana</v>
      </c>
      <c r="M446" t="str">
        <f>_xlfn.XLOOKUP(order[[#This Row],[product_id]],products!$A$2:$A$11,products!$B$2:$B$11)</f>
        <v>Samsung Galaxy S21</v>
      </c>
      <c r="N446" s="3" t="str">
        <f>_xlfn.XLOOKUP(order[[#This Row],[product_id]],products!$A$2:$A$11,products!$C$2:$C$11)</f>
        <v>Electronics</v>
      </c>
      <c r="O446" s="3">
        <f>_xlfn.XLOOKUP(order[[#This Row],[product_id]],Table4[product_id],Table4[cost_price])</f>
        <v>45000</v>
      </c>
      <c r="P446" s="11">
        <f>_xlfn.XLOOKUP(order[[#This Row],[order_id]],shipment[order_id],shipment[ship_date])</f>
        <v>45458</v>
      </c>
      <c r="Q446" s="11">
        <f>_xlfn.XLOOKUP(order[[#This Row],[order_id]],shipment[order_id],shipment[delivery_date])</f>
        <v>45462</v>
      </c>
      <c r="R446" s="3" t="str">
        <f>_xlfn.XLOOKUP(order[[#This Row],[order_id]],shipment[shipment_id],shipment[courier])</f>
        <v>Ekart</v>
      </c>
      <c r="S446" s="3">
        <f>order[[#This Row],[selling_price]]-order[[#This Row],[cost_price]]*order[[#This Row],[quantity]]-order[[#This Row],[discount]]</f>
        <v>-95099</v>
      </c>
      <c r="T446" s="3">
        <f>order[[#This Row],[quantity]]*order[[#This Row],[selling_price]]</f>
        <v>123522</v>
      </c>
    </row>
    <row r="447" spans="1:20" x14ac:dyDescent="0.3">
      <c r="A447">
        <v>1005</v>
      </c>
      <c r="B447" s="11">
        <v>45525</v>
      </c>
      <c r="C447">
        <v>171</v>
      </c>
      <c r="D447" t="str">
        <f>_xlfn.XLOOKUP(order[[#This Row],[customer_id]],customer[customer_id],customer[customer_name])</f>
        <v>Vikram Singh</v>
      </c>
      <c r="E447">
        <v>202</v>
      </c>
      <c r="F447">
        <v>2</v>
      </c>
      <c r="G447">
        <v>17141</v>
      </c>
      <c r="H447">
        <v>1250</v>
      </c>
      <c r="I447" t="s">
        <v>15</v>
      </c>
      <c r="J447" t="s">
        <v>12</v>
      </c>
      <c r="K447" t="str">
        <f>_xlfn.XLOOKUP(order[[#This Row],[customer_id]],customer[customer_id],customer[city])</f>
        <v>Pune</v>
      </c>
      <c r="L447" t="str">
        <f>_xlfn.XLOOKUP(order[[#This Row],[customer_id]],customer[customer_id],customer[state])</f>
        <v>Maharashtra</v>
      </c>
      <c r="M447" t="str">
        <f>_xlfn.XLOOKUP(order[[#This Row],[product_id]],products!$A$2:$A$11,products!$B$2:$B$11)</f>
        <v>Samsung Galaxy S21</v>
      </c>
      <c r="N447" s="3" t="str">
        <f>_xlfn.XLOOKUP(order[[#This Row],[product_id]],products!$A$2:$A$11,products!$C$2:$C$11)</f>
        <v>Electronics</v>
      </c>
      <c r="O447" s="3">
        <f>_xlfn.XLOOKUP(order[[#This Row],[product_id]],Table4[product_id],Table4[cost_price])</f>
        <v>45000</v>
      </c>
      <c r="P447" s="11">
        <f>_xlfn.XLOOKUP(order[[#This Row],[order_id]],shipment[order_id],shipment[ship_date])</f>
        <v>45387</v>
      </c>
      <c r="Q447" s="11">
        <f>_xlfn.XLOOKUP(order[[#This Row],[order_id]],shipment[order_id],shipment[delivery_date])</f>
        <v>45388</v>
      </c>
      <c r="R447" s="3" t="str">
        <f>_xlfn.XLOOKUP(order[[#This Row],[order_id]],shipment[shipment_id],shipment[courier])</f>
        <v>BlueDart</v>
      </c>
      <c r="S447" s="3">
        <f>order[[#This Row],[selling_price]]-order[[#This Row],[cost_price]]*order[[#This Row],[quantity]]-order[[#This Row],[discount]]</f>
        <v>-74109</v>
      </c>
      <c r="T447" s="3">
        <f>order[[#This Row],[quantity]]*order[[#This Row],[selling_price]]</f>
        <v>34282</v>
      </c>
    </row>
    <row r="448" spans="1:20" x14ac:dyDescent="0.3">
      <c r="A448">
        <v>673</v>
      </c>
      <c r="B448" s="11">
        <v>45532</v>
      </c>
      <c r="C448">
        <v>258</v>
      </c>
      <c r="D448" t="str">
        <f>_xlfn.XLOOKUP(order[[#This Row],[customer_id]],customer[customer_id],customer[customer_name])</f>
        <v>Manish Yadav</v>
      </c>
      <c r="E448">
        <v>202</v>
      </c>
      <c r="F448">
        <v>4</v>
      </c>
      <c r="G448">
        <v>30712</v>
      </c>
      <c r="H448">
        <v>1234</v>
      </c>
      <c r="I448" t="s">
        <v>13</v>
      </c>
      <c r="J448" t="s">
        <v>12</v>
      </c>
      <c r="K448" t="str">
        <f>_xlfn.XLOOKUP(order[[#This Row],[customer_id]],customer[customer_id],customer[city])</f>
        <v>Delhi</v>
      </c>
      <c r="L448" t="str">
        <f>_xlfn.XLOOKUP(order[[#This Row],[customer_id]],customer[customer_id],customer[state])</f>
        <v>Delhi</v>
      </c>
      <c r="M448" t="str">
        <f>_xlfn.XLOOKUP(order[[#This Row],[product_id]],products!$A$2:$A$11,products!$B$2:$B$11)</f>
        <v>Samsung Galaxy S21</v>
      </c>
      <c r="N448" s="3" t="str">
        <f>_xlfn.XLOOKUP(order[[#This Row],[product_id]],products!$A$2:$A$11,products!$C$2:$C$11)</f>
        <v>Electronics</v>
      </c>
      <c r="O448" s="3">
        <f>_xlfn.XLOOKUP(order[[#This Row],[product_id]],Table4[product_id],Table4[cost_price])</f>
        <v>45000</v>
      </c>
      <c r="P448" s="11">
        <f>_xlfn.XLOOKUP(order[[#This Row],[order_id]],shipment[order_id],shipment[ship_date])</f>
        <v>45498</v>
      </c>
      <c r="Q448" s="11">
        <f>_xlfn.XLOOKUP(order[[#This Row],[order_id]],shipment[order_id],shipment[delivery_date])</f>
        <v>45503</v>
      </c>
      <c r="R448" s="3" t="str">
        <f>_xlfn.XLOOKUP(order[[#This Row],[order_id]],shipment[shipment_id],shipment[courier])</f>
        <v>Ekart</v>
      </c>
      <c r="S448" s="3">
        <f>order[[#This Row],[selling_price]]-order[[#This Row],[cost_price]]*order[[#This Row],[quantity]]-order[[#This Row],[discount]]</f>
        <v>-150522</v>
      </c>
      <c r="T448" s="3">
        <f>order[[#This Row],[quantity]]*order[[#This Row],[selling_price]]</f>
        <v>122848</v>
      </c>
    </row>
    <row r="449" spans="1:20" x14ac:dyDescent="0.3">
      <c r="A449">
        <v>448</v>
      </c>
      <c r="B449" s="11">
        <v>45612</v>
      </c>
      <c r="C449">
        <v>247</v>
      </c>
      <c r="D449" t="str">
        <f>_xlfn.XLOOKUP(order[[#This Row],[customer_id]],customer[customer_id],customer[customer_name])</f>
        <v>Pooja Nair</v>
      </c>
      <c r="E449">
        <v>208</v>
      </c>
      <c r="F449">
        <v>1</v>
      </c>
      <c r="G449">
        <v>46859</v>
      </c>
      <c r="H449">
        <v>2516</v>
      </c>
      <c r="I449" t="s">
        <v>15</v>
      </c>
      <c r="J449" t="s">
        <v>10</v>
      </c>
      <c r="K449" t="str">
        <f>_xlfn.XLOOKUP(order[[#This Row],[customer_id]],customer[customer_id],customer[city])</f>
        <v>Pune</v>
      </c>
      <c r="L449" t="str">
        <f>_xlfn.XLOOKUP(order[[#This Row],[customer_id]],customer[customer_id],customer[state])</f>
        <v>Maharashtra</v>
      </c>
      <c r="M449" t="str">
        <f>_xlfn.XLOOKUP(order[[#This Row],[product_id]],products!$A$2:$A$11,products!$B$2:$B$11)</f>
        <v>Adidas Ultraboost Shoes</v>
      </c>
      <c r="N449" s="3" t="str">
        <f>_xlfn.XLOOKUP(order[[#This Row],[product_id]],products!$A$2:$A$11,products!$C$2:$C$11)</f>
        <v>Fashion</v>
      </c>
      <c r="O449" s="3">
        <f>_xlfn.XLOOKUP(order[[#This Row],[product_id]],Table4[product_id],Table4[cost_price])</f>
        <v>9000</v>
      </c>
      <c r="P449" s="11">
        <f>_xlfn.XLOOKUP(order[[#This Row],[order_id]],shipment[order_id],shipment[ship_date])</f>
        <v>45327</v>
      </c>
      <c r="Q449" s="11">
        <f>_xlfn.XLOOKUP(order[[#This Row],[order_id]],shipment[order_id],shipment[delivery_date])</f>
        <v>45337</v>
      </c>
      <c r="R449" s="3" t="str">
        <f>_xlfn.XLOOKUP(order[[#This Row],[order_id]],shipment[shipment_id],shipment[courier])</f>
        <v>DTDC</v>
      </c>
      <c r="S449" s="3">
        <f>order[[#This Row],[selling_price]]-order[[#This Row],[cost_price]]*order[[#This Row],[quantity]]-order[[#This Row],[discount]]</f>
        <v>35343</v>
      </c>
      <c r="T449" s="3">
        <f>order[[#This Row],[quantity]]*order[[#This Row],[selling_price]]</f>
        <v>46859</v>
      </c>
    </row>
    <row r="450" spans="1:20" x14ac:dyDescent="0.3">
      <c r="A450">
        <v>449</v>
      </c>
      <c r="B450" s="11">
        <v>45461</v>
      </c>
      <c r="C450">
        <v>127</v>
      </c>
      <c r="D450" t="str">
        <f>_xlfn.XLOOKUP(order[[#This Row],[customer_id]],customer[customer_id],customer[customer_name])</f>
        <v>Neha Kapoor</v>
      </c>
      <c r="E450">
        <v>209</v>
      </c>
      <c r="F450">
        <v>2</v>
      </c>
      <c r="G450">
        <v>21895</v>
      </c>
      <c r="H450">
        <v>2082</v>
      </c>
      <c r="I450" t="s">
        <v>9</v>
      </c>
      <c r="J450" t="s">
        <v>12</v>
      </c>
      <c r="K450" t="str">
        <f>_xlfn.XLOOKUP(order[[#This Row],[customer_id]],customer[customer_id],customer[city])</f>
        <v>Hyderabad</v>
      </c>
      <c r="L450" t="str">
        <f>_xlfn.XLOOKUP(order[[#This Row],[customer_id]],customer[customer_id],customer[state])</f>
        <v>Telangana</v>
      </c>
      <c r="M450" t="str">
        <f>_xlfn.XLOOKUP(order[[#This Row],[product_id]],products!$A$2:$A$11,products!$B$2:$B$11)</f>
        <v>Milton Thermosteel Bottle</v>
      </c>
      <c r="N450" s="3" t="str">
        <f>_xlfn.XLOOKUP(order[[#This Row],[product_id]],products!$A$2:$A$11,products!$C$2:$C$11)</f>
        <v>Home &amp; Kitchen</v>
      </c>
      <c r="O450" s="3">
        <f>_xlfn.XLOOKUP(order[[#This Row],[product_id]],Table4[product_id],Table4[cost_price])</f>
        <v>800</v>
      </c>
      <c r="P450" s="11">
        <f>_xlfn.XLOOKUP(order[[#This Row],[order_id]],shipment[order_id],shipment[ship_date])</f>
        <v>45645</v>
      </c>
      <c r="Q450" s="11">
        <f>_xlfn.XLOOKUP(order[[#This Row],[order_id]],shipment[order_id],shipment[delivery_date])</f>
        <v>45653</v>
      </c>
      <c r="R450" s="3" t="str">
        <f>_xlfn.XLOOKUP(order[[#This Row],[order_id]],shipment[shipment_id],shipment[courier])</f>
        <v>DTDC</v>
      </c>
      <c r="S450" s="3">
        <f>order[[#This Row],[selling_price]]-order[[#This Row],[cost_price]]*order[[#This Row],[quantity]]-order[[#This Row],[discount]]</f>
        <v>18213</v>
      </c>
      <c r="T450" s="3">
        <f>order[[#This Row],[quantity]]*order[[#This Row],[selling_price]]</f>
        <v>43790</v>
      </c>
    </row>
    <row r="451" spans="1:20" x14ac:dyDescent="0.3">
      <c r="A451">
        <v>679</v>
      </c>
      <c r="B451" s="11">
        <v>45389</v>
      </c>
      <c r="C451">
        <v>229</v>
      </c>
      <c r="D451" t="str">
        <f>_xlfn.XLOOKUP(order[[#This Row],[customer_id]],customer[customer_id],customer[customer_name])</f>
        <v>Aarav Sharma</v>
      </c>
      <c r="E451">
        <v>202</v>
      </c>
      <c r="F451">
        <v>4</v>
      </c>
      <c r="G451">
        <v>63333</v>
      </c>
      <c r="H451">
        <v>1120</v>
      </c>
      <c r="I451" t="s">
        <v>11</v>
      </c>
      <c r="J451" t="s">
        <v>14</v>
      </c>
      <c r="K451" t="str">
        <f>_xlfn.XLOOKUP(order[[#This Row],[customer_id]],customer[customer_id],customer[city])</f>
        <v>Hyderabad</v>
      </c>
      <c r="L451" t="str">
        <f>_xlfn.XLOOKUP(order[[#This Row],[customer_id]],customer[customer_id],customer[state])</f>
        <v>Telangana</v>
      </c>
      <c r="M451" t="str">
        <f>_xlfn.XLOOKUP(order[[#This Row],[product_id]],products!$A$2:$A$11,products!$B$2:$B$11)</f>
        <v>Samsung Galaxy S21</v>
      </c>
      <c r="N451" s="3" t="str">
        <f>_xlfn.XLOOKUP(order[[#This Row],[product_id]],products!$A$2:$A$11,products!$C$2:$C$11)</f>
        <v>Electronics</v>
      </c>
      <c r="O451" s="3">
        <f>_xlfn.XLOOKUP(order[[#This Row],[product_id]],Table4[product_id],Table4[cost_price])</f>
        <v>45000</v>
      </c>
      <c r="P451" s="11">
        <f>_xlfn.XLOOKUP(order[[#This Row],[order_id]],shipment[order_id],shipment[ship_date])</f>
        <v>45316</v>
      </c>
      <c r="Q451" s="11">
        <f>_xlfn.XLOOKUP(order[[#This Row],[order_id]],shipment[order_id],shipment[delivery_date])</f>
        <v>45323</v>
      </c>
      <c r="R451" s="3" t="str">
        <f>_xlfn.XLOOKUP(order[[#This Row],[order_id]],shipment[shipment_id],shipment[courier])</f>
        <v>Ekart</v>
      </c>
      <c r="S451" s="3">
        <f>order[[#This Row],[selling_price]]-order[[#This Row],[cost_price]]*order[[#This Row],[quantity]]-order[[#This Row],[discount]]</f>
        <v>-117787</v>
      </c>
      <c r="T451" s="3">
        <f>order[[#This Row],[quantity]]*order[[#This Row],[selling_price]]</f>
        <v>253332</v>
      </c>
    </row>
    <row r="452" spans="1:20" x14ac:dyDescent="0.3">
      <c r="A452">
        <v>451</v>
      </c>
      <c r="B452" s="11">
        <v>45420</v>
      </c>
      <c r="C452">
        <v>245</v>
      </c>
      <c r="D452" t="str">
        <f>_xlfn.XLOOKUP(order[[#This Row],[customer_id]],customer[customer_id],customer[customer_name])</f>
        <v>Rahul Mehta</v>
      </c>
      <c r="E452">
        <v>206</v>
      </c>
      <c r="F452">
        <v>1</v>
      </c>
      <c r="G452">
        <v>67049</v>
      </c>
      <c r="H452">
        <v>4965</v>
      </c>
      <c r="I452" t="s">
        <v>13</v>
      </c>
      <c r="J452" t="s">
        <v>10</v>
      </c>
      <c r="K452" t="str">
        <f>_xlfn.XLOOKUP(order[[#This Row],[customer_id]],customer[customer_id],customer[city])</f>
        <v>Chennai</v>
      </c>
      <c r="L452" t="str">
        <f>_xlfn.XLOOKUP(order[[#This Row],[customer_id]],customer[customer_id],customer[state])</f>
        <v>Tamil Nadu</v>
      </c>
      <c r="M452" t="str">
        <f>_xlfn.XLOOKUP(order[[#This Row],[product_id]],products!$A$2:$A$11,products!$B$2:$B$11)</f>
        <v>Philips Air Fryer</v>
      </c>
      <c r="N452" s="3" t="str">
        <f>_xlfn.XLOOKUP(order[[#This Row],[product_id]],products!$A$2:$A$11,products!$C$2:$C$11)</f>
        <v>Home &amp; Kitchen</v>
      </c>
      <c r="O452" s="3">
        <f>_xlfn.XLOOKUP(order[[#This Row],[product_id]],Table4[product_id],Table4[cost_price])</f>
        <v>7000</v>
      </c>
      <c r="P452" s="11">
        <f>_xlfn.XLOOKUP(order[[#This Row],[order_id]],shipment[order_id],shipment[ship_date])</f>
        <v>45362</v>
      </c>
      <c r="Q452" s="11">
        <f>_xlfn.XLOOKUP(order[[#This Row],[order_id]],shipment[order_id],shipment[delivery_date])</f>
        <v>45370</v>
      </c>
      <c r="R452" s="3" t="str">
        <f>_xlfn.XLOOKUP(order[[#This Row],[order_id]],shipment[shipment_id],shipment[courier])</f>
        <v>DTDC</v>
      </c>
      <c r="S452" s="3">
        <f>order[[#This Row],[selling_price]]-order[[#This Row],[cost_price]]*order[[#This Row],[quantity]]-order[[#This Row],[discount]]</f>
        <v>55084</v>
      </c>
      <c r="T452" s="3">
        <f>order[[#This Row],[quantity]]*order[[#This Row],[selling_price]]</f>
        <v>67049</v>
      </c>
    </row>
    <row r="453" spans="1:20" x14ac:dyDescent="0.3">
      <c r="A453">
        <v>915</v>
      </c>
      <c r="B453" s="11">
        <v>45566</v>
      </c>
      <c r="C453">
        <v>270</v>
      </c>
      <c r="D453" t="str">
        <f>_xlfn.XLOOKUP(order[[#This Row],[customer_id]],customer[customer_id],customer[customer_name])</f>
        <v>Karan Patel</v>
      </c>
      <c r="E453">
        <v>202</v>
      </c>
      <c r="F453">
        <v>4</v>
      </c>
      <c r="G453">
        <v>32309</v>
      </c>
      <c r="H453">
        <v>1114</v>
      </c>
      <c r="I453" t="s">
        <v>11</v>
      </c>
      <c r="J453" t="s">
        <v>14</v>
      </c>
      <c r="K453" t="str">
        <f>_xlfn.XLOOKUP(order[[#This Row],[customer_id]],customer[customer_id],customer[city])</f>
        <v>Mumbai</v>
      </c>
      <c r="L453" t="str">
        <f>_xlfn.XLOOKUP(order[[#This Row],[customer_id]],customer[customer_id],customer[state])</f>
        <v>Maharashtra</v>
      </c>
      <c r="M453" t="str">
        <f>_xlfn.XLOOKUP(order[[#This Row],[product_id]],products!$A$2:$A$11,products!$B$2:$B$11)</f>
        <v>Samsung Galaxy S21</v>
      </c>
      <c r="N453" s="3" t="str">
        <f>_xlfn.XLOOKUP(order[[#This Row],[product_id]],products!$A$2:$A$11,products!$C$2:$C$11)</f>
        <v>Electronics</v>
      </c>
      <c r="O453" s="3">
        <f>_xlfn.XLOOKUP(order[[#This Row],[product_id]],Table4[product_id],Table4[cost_price])</f>
        <v>45000</v>
      </c>
      <c r="P453" s="11">
        <f>_xlfn.XLOOKUP(order[[#This Row],[order_id]],shipment[order_id],shipment[ship_date])</f>
        <v>45326</v>
      </c>
      <c r="Q453" s="11">
        <f>_xlfn.XLOOKUP(order[[#This Row],[order_id]],shipment[order_id],shipment[delivery_date])</f>
        <v>45333</v>
      </c>
      <c r="R453" s="3" t="str">
        <f>_xlfn.XLOOKUP(order[[#This Row],[order_id]],shipment[shipment_id],shipment[courier])</f>
        <v>BlueDart</v>
      </c>
      <c r="S453" s="3">
        <f>order[[#This Row],[selling_price]]-order[[#This Row],[cost_price]]*order[[#This Row],[quantity]]-order[[#This Row],[discount]]</f>
        <v>-148805</v>
      </c>
      <c r="T453" s="3">
        <f>order[[#This Row],[quantity]]*order[[#This Row],[selling_price]]</f>
        <v>129236</v>
      </c>
    </row>
    <row r="454" spans="1:20" x14ac:dyDescent="0.3">
      <c r="A454">
        <v>453</v>
      </c>
      <c r="B454" s="11">
        <v>45439</v>
      </c>
      <c r="C454">
        <v>266</v>
      </c>
      <c r="D454" t="str">
        <f>_xlfn.XLOOKUP(order[[#This Row],[customer_id]],customer[customer_id],customer[customer_name])</f>
        <v>Karan Patel</v>
      </c>
      <c r="E454">
        <v>205</v>
      </c>
      <c r="F454">
        <v>1</v>
      </c>
      <c r="G454">
        <v>7818</v>
      </c>
      <c r="H454">
        <v>3141</v>
      </c>
      <c r="I454" t="s">
        <v>15</v>
      </c>
      <c r="J454" t="s">
        <v>14</v>
      </c>
      <c r="K454" t="str">
        <f>_xlfn.XLOOKUP(order[[#This Row],[customer_id]],customer[customer_id],customer[city])</f>
        <v>Chennai</v>
      </c>
      <c r="L454" t="str">
        <f>_xlfn.XLOOKUP(order[[#This Row],[customer_id]],customer[customer_id],customer[state])</f>
        <v>Tamil Nadu</v>
      </c>
      <c r="M454" t="str">
        <f>_xlfn.XLOOKUP(order[[#This Row],[product_id]],products!$A$2:$A$11,products!$B$2:$B$11)</f>
        <v>Prestige Pressure Cooker 5L</v>
      </c>
      <c r="N454" s="3" t="str">
        <f>_xlfn.XLOOKUP(order[[#This Row],[product_id]],products!$A$2:$A$11,products!$C$2:$C$11)</f>
        <v>Home &amp; Kitchen</v>
      </c>
      <c r="O454" s="3">
        <f>_xlfn.XLOOKUP(order[[#This Row],[product_id]],Table4[product_id],Table4[cost_price])</f>
        <v>1200</v>
      </c>
      <c r="P454" s="11">
        <f>_xlfn.XLOOKUP(order[[#This Row],[order_id]],shipment[order_id],shipment[ship_date])</f>
        <v>45329</v>
      </c>
      <c r="Q454" s="11">
        <f>_xlfn.XLOOKUP(order[[#This Row],[order_id]],shipment[order_id],shipment[delivery_date])</f>
        <v>45336</v>
      </c>
      <c r="R454" s="3" t="str">
        <f>_xlfn.XLOOKUP(order[[#This Row],[order_id]],shipment[shipment_id],shipment[courier])</f>
        <v>Ekart</v>
      </c>
      <c r="S454" s="3">
        <f>order[[#This Row],[selling_price]]-order[[#This Row],[cost_price]]*order[[#This Row],[quantity]]-order[[#This Row],[discount]]</f>
        <v>3477</v>
      </c>
      <c r="T454" s="3">
        <f>order[[#This Row],[quantity]]*order[[#This Row],[selling_price]]</f>
        <v>7818</v>
      </c>
    </row>
    <row r="455" spans="1:20" x14ac:dyDescent="0.3">
      <c r="A455">
        <v>615</v>
      </c>
      <c r="B455" s="11">
        <v>45495</v>
      </c>
      <c r="C455">
        <v>121</v>
      </c>
      <c r="D455" t="str">
        <f>_xlfn.XLOOKUP(order[[#This Row],[customer_id]],customer[customer_id],customer[customer_name])</f>
        <v>Rohit Verma</v>
      </c>
      <c r="E455">
        <v>202</v>
      </c>
      <c r="F455">
        <v>3</v>
      </c>
      <c r="G455">
        <v>25522</v>
      </c>
      <c r="H455">
        <v>1109</v>
      </c>
      <c r="I455" t="s">
        <v>11</v>
      </c>
      <c r="J455" t="s">
        <v>14</v>
      </c>
      <c r="K455" t="str">
        <f>_xlfn.XLOOKUP(order[[#This Row],[customer_id]],customer[customer_id],customer[city])</f>
        <v>Bangalore</v>
      </c>
      <c r="L455" t="str">
        <f>_xlfn.XLOOKUP(order[[#This Row],[customer_id]],customer[customer_id],customer[state])</f>
        <v>Karnataka</v>
      </c>
      <c r="M455" t="str">
        <f>_xlfn.XLOOKUP(order[[#This Row],[product_id]],products!$A$2:$A$11,products!$B$2:$B$11)</f>
        <v>Samsung Galaxy S21</v>
      </c>
      <c r="N455" s="3" t="str">
        <f>_xlfn.XLOOKUP(order[[#This Row],[product_id]],products!$A$2:$A$11,products!$C$2:$C$11)</f>
        <v>Electronics</v>
      </c>
      <c r="O455" s="3">
        <f>_xlfn.XLOOKUP(order[[#This Row],[product_id]],Table4[product_id],Table4[cost_price])</f>
        <v>45000</v>
      </c>
      <c r="P455" s="11">
        <f>_xlfn.XLOOKUP(order[[#This Row],[order_id]],shipment[order_id],shipment[ship_date])</f>
        <v>45428</v>
      </c>
      <c r="Q455" s="11">
        <f>_xlfn.XLOOKUP(order[[#This Row],[order_id]],shipment[order_id],shipment[delivery_date])</f>
        <v>45431</v>
      </c>
      <c r="R455" s="3" t="str">
        <f>_xlfn.XLOOKUP(order[[#This Row],[order_id]],shipment[shipment_id],shipment[courier])</f>
        <v>Delhivery</v>
      </c>
      <c r="S455" s="3">
        <f>order[[#This Row],[selling_price]]-order[[#This Row],[cost_price]]*order[[#This Row],[quantity]]-order[[#This Row],[discount]]</f>
        <v>-110587</v>
      </c>
      <c r="T455" s="3">
        <f>order[[#This Row],[quantity]]*order[[#This Row],[selling_price]]</f>
        <v>76566</v>
      </c>
    </row>
    <row r="456" spans="1:20" x14ac:dyDescent="0.3">
      <c r="A456">
        <v>745</v>
      </c>
      <c r="B456" s="11">
        <v>45494</v>
      </c>
      <c r="C456">
        <v>190</v>
      </c>
      <c r="D456" t="str">
        <f>_xlfn.XLOOKUP(order[[#This Row],[customer_id]],customer[customer_id],customer[customer_name])</f>
        <v>Ishita Bose</v>
      </c>
      <c r="E456">
        <v>202</v>
      </c>
      <c r="F456">
        <v>1</v>
      </c>
      <c r="G456">
        <v>1906</v>
      </c>
      <c r="H456">
        <v>1069</v>
      </c>
      <c r="I456" t="s">
        <v>11</v>
      </c>
      <c r="J456" t="s">
        <v>14</v>
      </c>
      <c r="K456" t="str">
        <f>_xlfn.XLOOKUP(order[[#This Row],[customer_id]],customer[customer_id],customer[city])</f>
        <v>Hyderabad</v>
      </c>
      <c r="L456" t="str">
        <f>_xlfn.XLOOKUP(order[[#This Row],[customer_id]],customer[customer_id],customer[state])</f>
        <v>Telangana</v>
      </c>
      <c r="M456" t="str">
        <f>_xlfn.XLOOKUP(order[[#This Row],[product_id]],products!$A$2:$A$11,products!$B$2:$B$11)</f>
        <v>Samsung Galaxy S21</v>
      </c>
      <c r="N456" s="3" t="str">
        <f>_xlfn.XLOOKUP(order[[#This Row],[product_id]],products!$A$2:$A$11,products!$C$2:$C$11)</f>
        <v>Electronics</v>
      </c>
      <c r="O456" s="3">
        <f>_xlfn.XLOOKUP(order[[#This Row],[product_id]],Table4[product_id],Table4[cost_price])</f>
        <v>45000</v>
      </c>
      <c r="P456" s="11">
        <f>_xlfn.XLOOKUP(order[[#This Row],[order_id]],shipment[order_id],shipment[ship_date])</f>
        <v>45492</v>
      </c>
      <c r="Q456" s="11">
        <f>_xlfn.XLOOKUP(order[[#This Row],[order_id]],shipment[order_id],shipment[delivery_date])</f>
        <v>45499</v>
      </c>
      <c r="R456" s="3" t="str">
        <f>_xlfn.XLOOKUP(order[[#This Row],[order_id]],shipment[shipment_id],shipment[courier])</f>
        <v>BlueDart</v>
      </c>
      <c r="S456" s="3">
        <f>order[[#This Row],[selling_price]]-order[[#This Row],[cost_price]]*order[[#This Row],[quantity]]-order[[#This Row],[discount]]</f>
        <v>-44163</v>
      </c>
      <c r="T456" s="3">
        <f>order[[#This Row],[quantity]]*order[[#This Row],[selling_price]]</f>
        <v>1906</v>
      </c>
    </row>
    <row r="457" spans="1:20" x14ac:dyDescent="0.3">
      <c r="A457">
        <v>818</v>
      </c>
      <c r="B457" s="11">
        <v>45363</v>
      </c>
      <c r="C457">
        <v>264</v>
      </c>
      <c r="D457" t="str">
        <f>_xlfn.XLOOKUP(order[[#This Row],[customer_id]],customer[customer_id],customer[customer_name])</f>
        <v>Ishita Bose</v>
      </c>
      <c r="E457">
        <v>202</v>
      </c>
      <c r="F457">
        <v>2</v>
      </c>
      <c r="G457">
        <v>4673</v>
      </c>
      <c r="H457">
        <v>1041</v>
      </c>
      <c r="I457" t="s">
        <v>13</v>
      </c>
      <c r="J457" t="s">
        <v>12</v>
      </c>
      <c r="K457" t="str">
        <f>_xlfn.XLOOKUP(order[[#This Row],[customer_id]],customer[customer_id],customer[city])</f>
        <v>Delhi</v>
      </c>
      <c r="L457" t="str">
        <f>_xlfn.XLOOKUP(order[[#This Row],[customer_id]],customer[customer_id],customer[state])</f>
        <v>Delhi</v>
      </c>
      <c r="M457" t="str">
        <f>_xlfn.XLOOKUP(order[[#This Row],[product_id]],products!$A$2:$A$11,products!$B$2:$B$11)</f>
        <v>Samsung Galaxy S21</v>
      </c>
      <c r="N457" s="3" t="str">
        <f>_xlfn.XLOOKUP(order[[#This Row],[product_id]],products!$A$2:$A$11,products!$C$2:$C$11)</f>
        <v>Electronics</v>
      </c>
      <c r="O457" s="3">
        <f>_xlfn.XLOOKUP(order[[#This Row],[product_id]],Table4[product_id],Table4[cost_price])</f>
        <v>45000</v>
      </c>
      <c r="P457" s="11">
        <f>_xlfn.XLOOKUP(order[[#This Row],[order_id]],shipment[order_id],shipment[ship_date])</f>
        <v>45310</v>
      </c>
      <c r="Q457" s="11">
        <f>_xlfn.XLOOKUP(order[[#This Row],[order_id]],shipment[order_id],shipment[delivery_date])</f>
        <v>45318</v>
      </c>
      <c r="R457" s="3" t="str">
        <f>_xlfn.XLOOKUP(order[[#This Row],[order_id]],shipment[shipment_id],shipment[courier])</f>
        <v>DTDC</v>
      </c>
      <c r="S457" s="3">
        <f>order[[#This Row],[selling_price]]-order[[#This Row],[cost_price]]*order[[#This Row],[quantity]]-order[[#This Row],[discount]]</f>
        <v>-86368</v>
      </c>
      <c r="T457" s="3">
        <f>order[[#This Row],[quantity]]*order[[#This Row],[selling_price]]</f>
        <v>9346</v>
      </c>
    </row>
    <row r="458" spans="1:20" x14ac:dyDescent="0.3">
      <c r="A458">
        <v>58</v>
      </c>
      <c r="B458" s="11">
        <v>45630</v>
      </c>
      <c r="C458">
        <v>204</v>
      </c>
      <c r="D458" t="str">
        <f>_xlfn.XLOOKUP(order[[#This Row],[customer_id]],customer[customer_id],customer[customer_name])</f>
        <v>Meera Joshi</v>
      </c>
      <c r="E458">
        <v>202</v>
      </c>
      <c r="F458">
        <v>2</v>
      </c>
      <c r="G458">
        <v>7810</v>
      </c>
      <c r="H458">
        <v>996</v>
      </c>
      <c r="I458" t="s">
        <v>11</v>
      </c>
      <c r="J458" t="s">
        <v>14</v>
      </c>
      <c r="K458" t="str">
        <f>_xlfn.XLOOKUP(order[[#This Row],[customer_id]],customer[customer_id],customer[city])</f>
        <v>Mumbai</v>
      </c>
      <c r="L458" t="str">
        <f>_xlfn.XLOOKUP(order[[#This Row],[customer_id]],customer[customer_id],customer[state])</f>
        <v>Maharashtra</v>
      </c>
      <c r="M458" t="str">
        <f>_xlfn.XLOOKUP(order[[#This Row],[product_id]],products!$A$2:$A$11,products!$B$2:$B$11)</f>
        <v>Samsung Galaxy S21</v>
      </c>
      <c r="N458" s="3" t="str">
        <f>_xlfn.XLOOKUP(order[[#This Row],[product_id]],products!$A$2:$A$11,products!$C$2:$C$11)</f>
        <v>Electronics</v>
      </c>
      <c r="O458" s="3">
        <f>_xlfn.XLOOKUP(order[[#This Row],[product_id]],Table4[product_id],Table4[cost_price])</f>
        <v>45000</v>
      </c>
      <c r="P458" s="11">
        <f>_xlfn.XLOOKUP(order[[#This Row],[order_id]],shipment[order_id],shipment[ship_date])</f>
        <v>45303</v>
      </c>
      <c r="Q458" s="11">
        <f>_xlfn.XLOOKUP(order[[#This Row],[order_id]],shipment[order_id],shipment[delivery_date])</f>
        <v>45307</v>
      </c>
      <c r="R458" s="3" t="str">
        <f>_xlfn.XLOOKUP(order[[#This Row],[order_id]],shipment[shipment_id],shipment[courier])</f>
        <v>Ekart</v>
      </c>
      <c r="S458" s="3">
        <f>order[[#This Row],[selling_price]]-order[[#This Row],[cost_price]]*order[[#This Row],[quantity]]-order[[#This Row],[discount]]</f>
        <v>-83186</v>
      </c>
      <c r="T458" s="3">
        <f>order[[#This Row],[quantity]]*order[[#This Row],[selling_price]]</f>
        <v>15620</v>
      </c>
    </row>
    <row r="459" spans="1:20" x14ac:dyDescent="0.3">
      <c r="A459">
        <v>458</v>
      </c>
      <c r="B459" s="11">
        <v>45304</v>
      </c>
      <c r="C459">
        <v>262</v>
      </c>
      <c r="D459" t="str">
        <f>_xlfn.XLOOKUP(order[[#This Row],[customer_id]],customer[customer_id],customer[customer_name])</f>
        <v>Karan Patel</v>
      </c>
      <c r="E459">
        <v>207</v>
      </c>
      <c r="F459">
        <v>2</v>
      </c>
      <c r="G459">
        <v>56477</v>
      </c>
      <c r="H459">
        <v>1843</v>
      </c>
      <c r="I459" t="s">
        <v>9</v>
      </c>
      <c r="J459" t="s">
        <v>10</v>
      </c>
      <c r="K459" t="str">
        <f>_xlfn.XLOOKUP(order[[#This Row],[customer_id]],customer[customer_id],customer[city])</f>
        <v>Bangalore</v>
      </c>
      <c r="L459" t="str">
        <f>_xlfn.XLOOKUP(order[[#This Row],[customer_id]],customer[customer_id],customer[state])</f>
        <v>Karnataka</v>
      </c>
      <c r="M459" t="str">
        <f>_xlfn.XLOOKUP(order[[#This Row],[product_id]],products!$A$2:$A$11,products!$B$2:$B$11)</f>
        <v>Sony WH-1000XM4 Headphones</v>
      </c>
      <c r="N459" s="3" t="str">
        <f>_xlfn.XLOOKUP(order[[#This Row],[product_id]],products!$A$2:$A$11,products!$C$2:$C$11)</f>
        <v>Electronics</v>
      </c>
      <c r="O459" s="3">
        <f>_xlfn.XLOOKUP(order[[#This Row],[product_id]],Table4[product_id],Table4[cost_price])</f>
        <v>20000</v>
      </c>
      <c r="P459" s="11">
        <f>_xlfn.XLOOKUP(order[[#This Row],[order_id]],shipment[order_id],shipment[ship_date])</f>
        <v>45352</v>
      </c>
      <c r="Q459" s="11">
        <f>_xlfn.XLOOKUP(order[[#This Row],[order_id]],shipment[order_id],shipment[delivery_date])</f>
        <v>45361</v>
      </c>
      <c r="R459" s="3" t="str">
        <f>_xlfn.XLOOKUP(order[[#This Row],[order_id]],shipment[shipment_id],shipment[courier])</f>
        <v>Delhivery</v>
      </c>
      <c r="S459" s="3">
        <f>order[[#This Row],[selling_price]]-order[[#This Row],[cost_price]]*order[[#This Row],[quantity]]-order[[#This Row],[discount]]</f>
        <v>14634</v>
      </c>
      <c r="T459" s="3">
        <f>order[[#This Row],[quantity]]*order[[#This Row],[selling_price]]</f>
        <v>112954</v>
      </c>
    </row>
    <row r="460" spans="1:20" x14ac:dyDescent="0.3">
      <c r="A460">
        <v>126</v>
      </c>
      <c r="B460" s="11">
        <v>45375</v>
      </c>
      <c r="C460">
        <v>298</v>
      </c>
      <c r="D460" t="str">
        <f>_xlfn.XLOOKUP(order[[#This Row],[customer_id]],customer[customer_id],customer[customer_name])</f>
        <v>Karan Patel</v>
      </c>
      <c r="E460">
        <v>202</v>
      </c>
      <c r="F460">
        <v>2</v>
      </c>
      <c r="G460">
        <v>65253</v>
      </c>
      <c r="H460">
        <v>932</v>
      </c>
      <c r="I460" t="s">
        <v>13</v>
      </c>
      <c r="J460" t="s">
        <v>12</v>
      </c>
      <c r="K460" t="str">
        <f>_xlfn.XLOOKUP(order[[#This Row],[customer_id]],customer[customer_id],customer[city])</f>
        <v>Bangalore</v>
      </c>
      <c r="L460" t="str">
        <f>_xlfn.XLOOKUP(order[[#This Row],[customer_id]],customer[customer_id],customer[state])</f>
        <v>Karnataka</v>
      </c>
      <c r="M460" t="str">
        <f>_xlfn.XLOOKUP(order[[#This Row],[product_id]],products!$A$2:$A$11,products!$B$2:$B$11)</f>
        <v>Samsung Galaxy S21</v>
      </c>
      <c r="N460" s="3" t="str">
        <f>_xlfn.XLOOKUP(order[[#This Row],[product_id]],products!$A$2:$A$11,products!$C$2:$C$11)</f>
        <v>Electronics</v>
      </c>
      <c r="O460" s="3">
        <f>_xlfn.XLOOKUP(order[[#This Row],[product_id]],Table4[product_id],Table4[cost_price])</f>
        <v>45000</v>
      </c>
      <c r="P460" s="11">
        <f>_xlfn.XLOOKUP(order[[#This Row],[order_id]],shipment[order_id],shipment[ship_date])</f>
        <v>45309</v>
      </c>
      <c r="Q460" s="11">
        <f>_xlfn.XLOOKUP(order[[#This Row],[order_id]],shipment[order_id],shipment[delivery_date])</f>
        <v>45313</v>
      </c>
      <c r="R460" s="3" t="str">
        <f>_xlfn.XLOOKUP(order[[#This Row],[order_id]],shipment[shipment_id],shipment[courier])</f>
        <v>DTDC</v>
      </c>
      <c r="S460" s="3">
        <f>order[[#This Row],[selling_price]]-order[[#This Row],[cost_price]]*order[[#This Row],[quantity]]-order[[#This Row],[discount]]</f>
        <v>-25679</v>
      </c>
      <c r="T460" s="3">
        <f>order[[#This Row],[quantity]]*order[[#This Row],[selling_price]]</f>
        <v>130506</v>
      </c>
    </row>
    <row r="461" spans="1:20" x14ac:dyDescent="0.3">
      <c r="A461">
        <v>691</v>
      </c>
      <c r="B461" s="11">
        <v>45628</v>
      </c>
      <c r="C461">
        <v>278</v>
      </c>
      <c r="D461" t="str">
        <f>_xlfn.XLOOKUP(order[[#This Row],[customer_id]],customer[customer_id],customer[customer_name])</f>
        <v>Neha Kapoor</v>
      </c>
      <c r="E461">
        <v>202</v>
      </c>
      <c r="F461">
        <v>4</v>
      </c>
      <c r="G461">
        <v>35815</v>
      </c>
      <c r="H461">
        <v>903</v>
      </c>
      <c r="I461" t="s">
        <v>15</v>
      </c>
      <c r="J461" t="s">
        <v>10</v>
      </c>
      <c r="K461" t="str">
        <f>_xlfn.XLOOKUP(order[[#This Row],[customer_id]],customer[customer_id],customer[city])</f>
        <v>Hyderabad</v>
      </c>
      <c r="L461" t="str">
        <f>_xlfn.XLOOKUP(order[[#This Row],[customer_id]],customer[customer_id],customer[state])</f>
        <v>Telangana</v>
      </c>
      <c r="M461" t="str">
        <f>_xlfn.XLOOKUP(order[[#This Row],[product_id]],products!$A$2:$A$11,products!$B$2:$B$11)</f>
        <v>Samsung Galaxy S21</v>
      </c>
      <c r="N461" s="3" t="str">
        <f>_xlfn.XLOOKUP(order[[#This Row],[product_id]],products!$A$2:$A$11,products!$C$2:$C$11)</f>
        <v>Electronics</v>
      </c>
      <c r="O461" s="3">
        <f>_xlfn.XLOOKUP(order[[#This Row],[product_id]],Table4[product_id],Table4[cost_price])</f>
        <v>45000</v>
      </c>
      <c r="P461" s="11">
        <f>_xlfn.XLOOKUP(order[[#This Row],[order_id]],shipment[order_id],shipment[ship_date])</f>
        <v>45531</v>
      </c>
      <c r="Q461" s="11">
        <f>_xlfn.XLOOKUP(order[[#This Row],[order_id]],shipment[order_id],shipment[delivery_date])</f>
        <v>45534</v>
      </c>
      <c r="R461" s="3" t="str">
        <f>_xlfn.XLOOKUP(order[[#This Row],[order_id]],shipment[shipment_id],shipment[courier])</f>
        <v>Delhivery</v>
      </c>
      <c r="S461" s="3">
        <f>order[[#This Row],[selling_price]]-order[[#This Row],[cost_price]]*order[[#This Row],[quantity]]-order[[#This Row],[discount]]</f>
        <v>-145088</v>
      </c>
      <c r="T461" s="3">
        <f>order[[#This Row],[quantity]]*order[[#This Row],[selling_price]]</f>
        <v>143260</v>
      </c>
    </row>
    <row r="462" spans="1:20" x14ac:dyDescent="0.3">
      <c r="A462">
        <v>461</v>
      </c>
      <c r="B462" s="11">
        <v>45412</v>
      </c>
      <c r="C462">
        <v>215</v>
      </c>
      <c r="D462" t="str">
        <f>_xlfn.XLOOKUP(order[[#This Row],[customer_id]],customer[customer_id],customer[customer_name])</f>
        <v>Priya Reddy</v>
      </c>
      <c r="E462">
        <v>209</v>
      </c>
      <c r="F462">
        <v>3</v>
      </c>
      <c r="G462">
        <v>54203</v>
      </c>
      <c r="H462">
        <v>4289</v>
      </c>
      <c r="I462" t="s">
        <v>13</v>
      </c>
      <c r="J462" t="s">
        <v>12</v>
      </c>
      <c r="K462" t="str">
        <f>_xlfn.XLOOKUP(order[[#This Row],[customer_id]],customer[customer_id],customer[city])</f>
        <v>Chennai</v>
      </c>
      <c r="L462" t="str">
        <f>_xlfn.XLOOKUP(order[[#This Row],[customer_id]],customer[customer_id],customer[state])</f>
        <v>Tamil Nadu</v>
      </c>
      <c r="M462" t="str">
        <f>_xlfn.XLOOKUP(order[[#This Row],[product_id]],products!$A$2:$A$11,products!$B$2:$B$11)</f>
        <v>Milton Thermosteel Bottle</v>
      </c>
      <c r="N462" s="3" t="str">
        <f>_xlfn.XLOOKUP(order[[#This Row],[product_id]],products!$A$2:$A$11,products!$C$2:$C$11)</f>
        <v>Home &amp; Kitchen</v>
      </c>
      <c r="O462" s="3">
        <f>_xlfn.XLOOKUP(order[[#This Row],[product_id]],Table4[product_id],Table4[cost_price])</f>
        <v>800</v>
      </c>
      <c r="P462" s="11">
        <f>_xlfn.XLOOKUP(order[[#This Row],[order_id]],shipment[order_id],shipment[ship_date])</f>
        <v>45434</v>
      </c>
      <c r="Q462" s="11">
        <f>_xlfn.XLOOKUP(order[[#This Row],[order_id]],shipment[order_id],shipment[delivery_date])</f>
        <v>45440</v>
      </c>
      <c r="R462" s="3" t="str">
        <f>_xlfn.XLOOKUP(order[[#This Row],[order_id]],shipment[shipment_id],shipment[courier])</f>
        <v>Ekart</v>
      </c>
      <c r="S462" s="3">
        <f>order[[#This Row],[selling_price]]-order[[#This Row],[cost_price]]*order[[#This Row],[quantity]]-order[[#This Row],[discount]]</f>
        <v>47514</v>
      </c>
      <c r="T462" s="3">
        <f>order[[#This Row],[quantity]]*order[[#This Row],[selling_price]]</f>
        <v>162609</v>
      </c>
    </row>
    <row r="463" spans="1:20" x14ac:dyDescent="0.3">
      <c r="A463">
        <v>1138</v>
      </c>
      <c r="B463" s="11">
        <v>45624</v>
      </c>
      <c r="C463">
        <v>114</v>
      </c>
      <c r="D463" t="str">
        <f>_xlfn.XLOOKUP(order[[#This Row],[customer_id]],customer[customer_id],customer[customer_name])</f>
        <v>Ananya Gupta</v>
      </c>
      <c r="E463">
        <v>202</v>
      </c>
      <c r="F463">
        <v>2</v>
      </c>
      <c r="G463">
        <v>22384</v>
      </c>
      <c r="H463">
        <v>781</v>
      </c>
      <c r="I463" t="s">
        <v>13</v>
      </c>
      <c r="J463" t="s">
        <v>12</v>
      </c>
      <c r="K463" t="str">
        <f>_xlfn.XLOOKUP(order[[#This Row],[customer_id]],customer[customer_id],customer[city])</f>
        <v>Bangalore</v>
      </c>
      <c r="L463" t="str">
        <f>_xlfn.XLOOKUP(order[[#This Row],[customer_id]],customer[customer_id],customer[state])</f>
        <v>Karnataka</v>
      </c>
      <c r="M463" t="str">
        <f>_xlfn.XLOOKUP(order[[#This Row],[product_id]],products!$A$2:$A$11,products!$B$2:$B$11)</f>
        <v>Samsung Galaxy S21</v>
      </c>
      <c r="N463" s="3" t="str">
        <f>_xlfn.XLOOKUP(order[[#This Row],[product_id]],products!$A$2:$A$11,products!$C$2:$C$11)</f>
        <v>Electronics</v>
      </c>
      <c r="O463" s="3">
        <f>_xlfn.XLOOKUP(order[[#This Row],[product_id]],Table4[product_id],Table4[cost_price])</f>
        <v>45000</v>
      </c>
      <c r="P463" s="11">
        <f>_xlfn.XLOOKUP(order[[#This Row],[order_id]],shipment[order_id],shipment[ship_date])</f>
        <v>45349</v>
      </c>
      <c r="Q463" s="11">
        <f>_xlfn.XLOOKUP(order[[#This Row],[order_id]],shipment[order_id],shipment[delivery_date])</f>
        <v>45354</v>
      </c>
      <c r="R463" s="3" t="str">
        <f>_xlfn.XLOOKUP(order[[#This Row],[order_id]],shipment[shipment_id],shipment[courier])</f>
        <v>DTDC</v>
      </c>
      <c r="S463" s="3">
        <f>order[[#This Row],[selling_price]]-order[[#This Row],[cost_price]]*order[[#This Row],[quantity]]-order[[#This Row],[discount]]</f>
        <v>-68397</v>
      </c>
      <c r="T463" s="3">
        <f>order[[#This Row],[quantity]]*order[[#This Row],[selling_price]]</f>
        <v>44768</v>
      </c>
    </row>
    <row r="464" spans="1:20" x14ac:dyDescent="0.3">
      <c r="A464">
        <v>160</v>
      </c>
      <c r="B464" s="11">
        <v>45337</v>
      </c>
      <c r="C464">
        <v>294</v>
      </c>
      <c r="D464" t="str">
        <f>_xlfn.XLOOKUP(order[[#This Row],[customer_id]],customer[customer_id],customer[customer_name])</f>
        <v>Sneha Iyer</v>
      </c>
      <c r="E464">
        <v>202</v>
      </c>
      <c r="F464">
        <v>1</v>
      </c>
      <c r="G464">
        <v>14095</v>
      </c>
      <c r="H464">
        <v>718</v>
      </c>
      <c r="I464" t="s">
        <v>15</v>
      </c>
      <c r="J464" t="s">
        <v>10</v>
      </c>
      <c r="K464" t="str">
        <f>_xlfn.XLOOKUP(order[[#This Row],[customer_id]],customer[customer_id],customer[city])</f>
        <v>Hyderabad</v>
      </c>
      <c r="L464" t="str">
        <f>_xlfn.XLOOKUP(order[[#This Row],[customer_id]],customer[customer_id],customer[state])</f>
        <v>Telangana</v>
      </c>
      <c r="M464" t="str">
        <f>_xlfn.XLOOKUP(order[[#This Row],[product_id]],products!$A$2:$A$11,products!$B$2:$B$11)</f>
        <v>Samsung Galaxy S21</v>
      </c>
      <c r="N464" s="3" t="str">
        <f>_xlfn.XLOOKUP(order[[#This Row],[product_id]],products!$A$2:$A$11,products!$C$2:$C$11)</f>
        <v>Electronics</v>
      </c>
      <c r="O464" s="3">
        <f>_xlfn.XLOOKUP(order[[#This Row],[product_id]],Table4[product_id],Table4[cost_price])</f>
        <v>45000</v>
      </c>
      <c r="P464" s="11">
        <f>_xlfn.XLOOKUP(order[[#This Row],[order_id]],shipment[order_id],shipment[ship_date])</f>
        <v>45412</v>
      </c>
      <c r="Q464" s="11">
        <f>_xlfn.XLOOKUP(order[[#This Row],[order_id]],shipment[order_id],shipment[delivery_date])</f>
        <v>45413</v>
      </c>
      <c r="R464" s="3" t="str">
        <f>_xlfn.XLOOKUP(order[[#This Row],[order_id]],shipment[shipment_id],shipment[courier])</f>
        <v>Delhivery</v>
      </c>
      <c r="S464" s="3">
        <f>order[[#This Row],[selling_price]]-order[[#This Row],[cost_price]]*order[[#This Row],[quantity]]-order[[#This Row],[discount]]</f>
        <v>-31623</v>
      </c>
      <c r="T464" s="3">
        <f>order[[#This Row],[quantity]]*order[[#This Row],[selling_price]]</f>
        <v>14095</v>
      </c>
    </row>
    <row r="465" spans="1:20" x14ac:dyDescent="0.3">
      <c r="A465">
        <v>464</v>
      </c>
      <c r="B465" s="11">
        <v>45362</v>
      </c>
      <c r="C465">
        <v>123</v>
      </c>
      <c r="D465" t="str">
        <f>_xlfn.XLOOKUP(order[[#This Row],[customer_id]],customer[customer_id],customer[customer_name])</f>
        <v>Ananya Gupta</v>
      </c>
      <c r="E465">
        <v>206</v>
      </c>
      <c r="F465">
        <v>1</v>
      </c>
      <c r="G465">
        <v>18467</v>
      </c>
      <c r="H465">
        <v>3113</v>
      </c>
      <c r="I465" t="s">
        <v>13</v>
      </c>
      <c r="J465" t="s">
        <v>14</v>
      </c>
      <c r="K465" t="str">
        <f>_xlfn.XLOOKUP(order[[#This Row],[customer_id]],customer[customer_id],customer[city])</f>
        <v>Hyderabad</v>
      </c>
      <c r="L465" t="str">
        <f>_xlfn.XLOOKUP(order[[#This Row],[customer_id]],customer[customer_id],customer[state])</f>
        <v>Telangana</v>
      </c>
      <c r="M465" t="str">
        <f>_xlfn.XLOOKUP(order[[#This Row],[product_id]],products!$A$2:$A$11,products!$B$2:$B$11)</f>
        <v>Philips Air Fryer</v>
      </c>
      <c r="N465" s="3" t="str">
        <f>_xlfn.XLOOKUP(order[[#This Row],[product_id]],products!$A$2:$A$11,products!$C$2:$C$11)</f>
        <v>Home &amp; Kitchen</v>
      </c>
      <c r="O465" s="3">
        <f>_xlfn.XLOOKUP(order[[#This Row],[product_id]],Table4[product_id],Table4[cost_price])</f>
        <v>7000</v>
      </c>
      <c r="P465" s="11">
        <f>_xlfn.XLOOKUP(order[[#This Row],[order_id]],shipment[order_id],shipment[ship_date])</f>
        <v>45544</v>
      </c>
      <c r="Q465" s="11">
        <f>_xlfn.XLOOKUP(order[[#This Row],[order_id]],shipment[order_id],shipment[delivery_date])</f>
        <v>45554</v>
      </c>
      <c r="R465" s="3" t="str">
        <f>_xlfn.XLOOKUP(order[[#This Row],[order_id]],shipment[shipment_id],shipment[courier])</f>
        <v>Ekart</v>
      </c>
      <c r="S465" s="3">
        <f>order[[#This Row],[selling_price]]-order[[#This Row],[cost_price]]*order[[#This Row],[quantity]]-order[[#This Row],[discount]]</f>
        <v>8354</v>
      </c>
      <c r="T465" s="3">
        <f>order[[#This Row],[quantity]]*order[[#This Row],[selling_price]]</f>
        <v>18467</v>
      </c>
    </row>
    <row r="466" spans="1:20" x14ac:dyDescent="0.3">
      <c r="A466">
        <v>1186</v>
      </c>
      <c r="B466" s="11">
        <v>45360</v>
      </c>
      <c r="C466">
        <v>179</v>
      </c>
      <c r="D466" t="str">
        <f>_xlfn.XLOOKUP(order[[#This Row],[customer_id]],customer[customer_id],customer[customer_name])</f>
        <v>Ananya Gupta</v>
      </c>
      <c r="E466">
        <v>202</v>
      </c>
      <c r="F466">
        <v>2</v>
      </c>
      <c r="G466">
        <v>48659</v>
      </c>
      <c r="H466">
        <v>704</v>
      </c>
      <c r="I466" t="s">
        <v>9</v>
      </c>
      <c r="J466" t="s">
        <v>12</v>
      </c>
      <c r="K466" t="str">
        <f>_xlfn.XLOOKUP(order[[#This Row],[customer_id]],customer[customer_id],customer[city])</f>
        <v>Hyderabad</v>
      </c>
      <c r="L466" t="str">
        <f>_xlfn.XLOOKUP(order[[#This Row],[customer_id]],customer[customer_id],customer[state])</f>
        <v>Telangana</v>
      </c>
      <c r="M466" t="str">
        <f>_xlfn.XLOOKUP(order[[#This Row],[product_id]],products!$A$2:$A$11,products!$B$2:$B$11)</f>
        <v>Samsung Galaxy S21</v>
      </c>
      <c r="N466" s="3" t="str">
        <f>_xlfn.XLOOKUP(order[[#This Row],[product_id]],products!$A$2:$A$11,products!$C$2:$C$11)</f>
        <v>Electronics</v>
      </c>
      <c r="O466" s="3">
        <f>_xlfn.XLOOKUP(order[[#This Row],[product_id]],Table4[product_id],Table4[cost_price])</f>
        <v>45000</v>
      </c>
      <c r="P466" s="11">
        <f>_xlfn.XLOOKUP(order[[#This Row],[order_id]],shipment[order_id],shipment[ship_date])</f>
        <v>45350</v>
      </c>
      <c r="Q466" s="11">
        <f>_xlfn.XLOOKUP(order[[#This Row],[order_id]],shipment[order_id],shipment[delivery_date])</f>
        <v>45358</v>
      </c>
      <c r="R466" s="3" t="str">
        <f>_xlfn.XLOOKUP(order[[#This Row],[order_id]],shipment[shipment_id],shipment[courier])</f>
        <v>BlueDart</v>
      </c>
      <c r="S466" s="3">
        <f>order[[#This Row],[selling_price]]-order[[#This Row],[cost_price]]*order[[#This Row],[quantity]]-order[[#This Row],[discount]]</f>
        <v>-42045</v>
      </c>
      <c r="T466" s="3">
        <f>order[[#This Row],[quantity]]*order[[#This Row],[selling_price]]</f>
        <v>97318</v>
      </c>
    </row>
    <row r="467" spans="1:20" x14ac:dyDescent="0.3">
      <c r="A467">
        <v>530</v>
      </c>
      <c r="B467" s="11">
        <v>45626</v>
      </c>
      <c r="C467">
        <v>275</v>
      </c>
      <c r="D467" t="str">
        <f>_xlfn.XLOOKUP(order[[#This Row],[customer_id]],customer[customer_id],customer[customer_name])</f>
        <v>Rohit Verma</v>
      </c>
      <c r="E467">
        <v>202</v>
      </c>
      <c r="F467">
        <v>2</v>
      </c>
      <c r="G467">
        <v>10363</v>
      </c>
      <c r="H467">
        <v>615</v>
      </c>
      <c r="I467" t="s">
        <v>11</v>
      </c>
      <c r="J467" t="s">
        <v>12</v>
      </c>
      <c r="K467" t="str">
        <f>_xlfn.XLOOKUP(order[[#This Row],[customer_id]],customer[customer_id],customer[city])</f>
        <v>Mumbai</v>
      </c>
      <c r="L467" t="str">
        <f>_xlfn.XLOOKUP(order[[#This Row],[customer_id]],customer[customer_id],customer[state])</f>
        <v>Maharashtra</v>
      </c>
      <c r="M467" t="str">
        <f>_xlfn.XLOOKUP(order[[#This Row],[product_id]],products!$A$2:$A$11,products!$B$2:$B$11)</f>
        <v>Samsung Galaxy S21</v>
      </c>
      <c r="N467" s="3" t="str">
        <f>_xlfn.XLOOKUP(order[[#This Row],[product_id]],products!$A$2:$A$11,products!$C$2:$C$11)</f>
        <v>Electronics</v>
      </c>
      <c r="O467" s="3">
        <f>_xlfn.XLOOKUP(order[[#This Row],[product_id]],Table4[product_id],Table4[cost_price])</f>
        <v>45000</v>
      </c>
      <c r="P467" s="11">
        <f>_xlfn.XLOOKUP(order[[#This Row],[order_id]],shipment[order_id],shipment[ship_date])</f>
        <v>45439</v>
      </c>
      <c r="Q467" s="11">
        <f>_xlfn.XLOOKUP(order[[#This Row],[order_id]],shipment[order_id],shipment[delivery_date])</f>
        <v>45446</v>
      </c>
      <c r="R467" s="3" t="str">
        <f>_xlfn.XLOOKUP(order[[#This Row],[order_id]],shipment[shipment_id],shipment[courier])</f>
        <v>Delhivery</v>
      </c>
      <c r="S467" s="3">
        <f>order[[#This Row],[selling_price]]-order[[#This Row],[cost_price]]*order[[#This Row],[quantity]]-order[[#This Row],[discount]]</f>
        <v>-80252</v>
      </c>
      <c r="T467" s="3">
        <f>order[[#This Row],[quantity]]*order[[#This Row],[selling_price]]</f>
        <v>20726</v>
      </c>
    </row>
    <row r="468" spans="1:20" x14ac:dyDescent="0.3">
      <c r="A468">
        <v>1059</v>
      </c>
      <c r="B468" s="11">
        <v>45463</v>
      </c>
      <c r="C468">
        <v>277</v>
      </c>
      <c r="D468" t="str">
        <f>_xlfn.XLOOKUP(order[[#This Row],[customer_id]],customer[customer_id],customer[customer_name])</f>
        <v>Ananya Gupta</v>
      </c>
      <c r="E468">
        <v>202</v>
      </c>
      <c r="F468">
        <v>4</v>
      </c>
      <c r="G468">
        <v>63195</v>
      </c>
      <c r="H468">
        <v>590</v>
      </c>
      <c r="I468" t="s">
        <v>9</v>
      </c>
      <c r="J468" t="s">
        <v>12</v>
      </c>
      <c r="K468" t="str">
        <f>_xlfn.XLOOKUP(order[[#This Row],[customer_id]],customer[customer_id],customer[city])</f>
        <v>Bangalore</v>
      </c>
      <c r="L468" t="str">
        <f>_xlfn.XLOOKUP(order[[#This Row],[customer_id]],customer[customer_id],customer[state])</f>
        <v>Karnataka</v>
      </c>
      <c r="M468" t="str">
        <f>_xlfn.XLOOKUP(order[[#This Row],[product_id]],products!$A$2:$A$11,products!$B$2:$B$11)</f>
        <v>Samsung Galaxy S21</v>
      </c>
      <c r="N468" s="3" t="str">
        <f>_xlfn.XLOOKUP(order[[#This Row],[product_id]],products!$A$2:$A$11,products!$C$2:$C$11)</f>
        <v>Electronics</v>
      </c>
      <c r="O468" s="3">
        <f>_xlfn.XLOOKUP(order[[#This Row],[product_id]],Table4[product_id],Table4[cost_price])</f>
        <v>45000</v>
      </c>
      <c r="P468" s="11">
        <f>_xlfn.XLOOKUP(order[[#This Row],[order_id]],shipment[order_id],shipment[ship_date])</f>
        <v>45611</v>
      </c>
      <c r="Q468" s="11">
        <f>_xlfn.XLOOKUP(order[[#This Row],[order_id]],shipment[order_id],shipment[delivery_date])</f>
        <v>45614</v>
      </c>
      <c r="R468" s="3" t="str">
        <f>_xlfn.XLOOKUP(order[[#This Row],[order_id]],shipment[shipment_id],shipment[courier])</f>
        <v>Ekart</v>
      </c>
      <c r="S468" s="3">
        <f>order[[#This Row],[selling_price]]-order[[#This Row],[cost_price]]*order[[#This Row],[quantity]]-order[[#This Row],[discount]]</f>
        <v>-117395</v>
      </c>
      <c r="T468" s="3">
        <f>order[[#This Row],[quantity]]*order[[#This Row],[selling_price]]</f>
        <v>252780</v>
      </c>
    </row>
    <row r="469" spans="1:20" x14ac:dyDescent="0.3">
      <c r="A469">
        <v>468</v>
      </c>
      <c r="B469" s="11">
        <v>45433</v>
      </c>
      <c r="C469">
        <v>254</v>
      </c>
      <c r="D469" t="str">
        <f>_xlfn.XLOOKUP(order[[#This Row],[customer_id]],customer[customer_id],customer[customer_name])</f>
        <v>Neha Kapoor</v>
      </c>
      <c r="E469">
        <v>206</v>
      </c>
      <c r="F469">
        <v>2</v>
      </c>
      <c r="G469">
        <v>24547</v>
      </c>
      <c r="H469">
        <v>3037</v>
      </c>
      <c r="I469" t="s">
        <v>13</v>
      </c>
      <c r="J469" t="s">
        <v>12</v>
      </c>
      <c r="K469" t="str">
        <f>_xlfn.XLOOKUP(order[[#This Row],[customer_id]],customer[customer_id],customer[city])</f>
        <v>Bangalore</v>
      </c>
      <c r="L469" t="str">
        <f>_xlfn.XLOOKUP(order[[#This Row],[customer_id]],customer[customer_id],customer[state])</f>
        <v>Karnataka</v>
      </c>
      <c r="M469" t="str">
        <f>_xlfn.XLOOKUP(order[[#This Row],[product_id]],products!$A$2:$A$11,products!$B$2:$B$11)</f>
        <v>Philips Air Fryer</v>
      </c>
      <c r="N469" s="3" t="str">
        <f>_xlfn.XLOOKUP(order[[#This Row],[product_id]],products!$A$2:$A$11,products!$C$2:$C$11)</f>
        <v>Home &amp; Kitchen</v>
      </c>
      <c r="O469" s="3">
        <f>_xlfn.XLOOKUP(order[[#This Row],[product_id]],Table4[product_id],Table4[cost_price])</f>
        <v>7000</v>
      </c>
      <c r="P469" s="11">
        <f>_xlfn.XLOOKUP(order[[#This Row],[order_id]],shipment[order_id],shipment[ship_date])</f>
        <v>45317</v>
      </c>
      <c r="Q469" s="11">
        <f>_xlfn.XLOOKUP(order[[#This Row],[order_id]],shipment[order_id],shipment[delivery_date])</f>
        <v>45324</v>
      </c>
      <c r="R469" s="3" t="str">
        <f>_xlfn.XLOOKUP(order[[#This Row],[order_id]],shipment[shipment_id],shipment[courier])</f>
        <v>Delhivery</v>
      </c>
      <c r="S469" s="3">
        <f>order[[#This Row],[selling_price]]-order[[#This Row],[cost_price]]*order[[#This Row],[quantity]]-order[[#This Row],[discount]]</f>
        <v>7510</v>
      </c>
      <c r="T469" s="3">
        <f>order[[#This Row],[quantity]]*order[[#This Row],[selling_price]]</f>
        <v>49094</v>
      </c>
    </row>
    <row r="470" spans="1:20" x14ac:dyDescent="0.3">
      <c r="A470">
        <v>469</v>
      </c>
      <c r="B470" s="11">
        <v>45423</v>
      </c>
      <c r="C470">
        <v>165</v>
      </c>
      <c r="D470" t="str">
        <f>_xlfn.XLOOKUP(order[[#This Row],[customer_id]],customer[customer_id],customer[customer_name])</f>
        <v>Ishita Bose</v>
      </c>
      <c r="E470">
        <v>207</v>
      </c>
      <c r="F470">
        <v>1</v>
      </c>
      <c r="G470">
        <v>56897</v>
      </c>
      <c r="H470">
        <v>4447</v>
      </c>
      <c r="I470" t="s">
        <v>11</v>
      </c>
      <c r="J470" t="s">
        <v>14</v>
      </c>
      <c r="K470" t="str">
        <f>_xlfn.XLOOKUP(order[[#This Row],[customer_id]],customer[customer_id],customer[city])</f>
        <v>Pune</v>
      </c>
      <c r="L470" t="str">
        <f>_xlfn.XLOOKUP(order[[#This Row],[customer_id]],customer[customer_id],customer[state])</f>
        <v>Maharashtra</v>
      </c>
      <c r="M470" t="str">
        <f>_xlfn.XLOOKUP(order[[#This Row],[product_id]],products!$A$2:$A$11,products!$B$2:$B$11)</f>
        <v>Sony WH-1000XM4 Headphones</v>
      </c>
      <c r="N470" s="3" t="str">
        <f>_xlfn.XLOOKUP(order[[#This Row],[product_id]],products!$A$2:$A$11,products!$C$2:$C$11)</f>
        <v>Electronics</v>
      </c>
      <c r="O470" s="3">
        <f>_xlfn.XLOOKUP(order[[#This Row],[product_id]],Table4[product_id],Table4[cost_price])</f>
        <v>20000</v>
      </c>
      <c r="P470" s="11">
        <f>_xlfn.XLOOKUP(order[[#This Row],[order_id]],shipment[order_id],shipment[ship_date])</f>
        <v>45359</v>
      </c>
      <c r="Q470" s="11">
        <f>_xlfn.XLOOKUP(order[[#This Row],[order_id]],shipment[order_id],shipment[delivery_date])</f>
        <v>45361</v>
      </c>
      <c r="R470" s="3" t="str">
        <f>_xlfn.XLOOKUP(order[[#This Row],[order_id]],shipment[shipment_id],shipment[courier])</f>
        <v>DTDC</v>
      </c>
      <c r="S470" s="3">
        <f>order[[#This Row],[selling_price]]-order[[#This Row],[cost_price]]*order[[#This Row],[quantity]]-order[[#This Row],[discount]]</f>
        <v>32450</v>
      </c>
      <c r="T470" s="3">
        <f>order[[#This Row],[quantity]]*order[[#This Row],[selling_price]]</f>
        <v>56897</v>
      </c>
    </row>
    <row r="471" spans="1:20" x14ac:dyDescent="0.3">
      <c r="A471">
        <v>434</v>
      </c>
      <c r="B471" s="11">
        <v>45581</v>
      </c>
      <c r="C471">
        <v>248</v>
      </c>
      <c r="D471" t="str">
        <f>_xlfn.XLOOKUP(order[[#This Row],[customer_id]],customer[customer_id],customer[customer_name])</f>
        <v>Siddharth Jain</v>
      </c>
      <c r="E471">
        <v>202</v>
      </c>
      <c r="F471">
        <v>4</v>
      </c>
      <c r="G471">
        <v>35958</v>
      </c>
      <c r="H471">
        <v>582</v>
      </c>
      <c r="I471" t="s">
        <v>15</v>
      </c>
      <c r="J471" t="s">
        <v>10</v>
      </c>
      <c r="K471" t="str">
        <f>_xlfn.XLOOKUP(order[[#This Row],[customer_id]],customer[customer_id],customer[city])</f>
        <v>Ahmedabad</v>
      </c>
      <c r="L471" t="str">
        <f>_xlfn.XLOOKUP(order[[#This Row],[customer_id]],customer[customer_id],customer[state])</f>
        <v>Gujarat</v>
      </c>
      <c r="M471" t="str">
        <f>_xlfn.XLOOKUP(order[[#This Row],[product_id]],products!$A$2:$A$11,products!$B$2:$B$11)</f>
        <v>Samsung Galaxy S21</v>
      </c>
      <c r="N471" s="3" t="str">
        <f>_xlfn.XLOOKUP(order[[#This Row],[product_id]],products!$A$2:$A$11,products!$C$2:$C$11)</f>
        <v>Electronics</v>
      </c>
      <c r="O471" s="3">
        <f>_xlfn.XLOOKUP(order[[#This Row],[product_id]],Table4[product_id],Table4[cost_price])</f>
        <v>45000</v>
      </c>
      <c r="P471" s="11">
        <f>_xlfn.XLOOKUP(order[[#This Row],[order_id]],shipment[order_id],shipment[ship_date])</f>
        <v>45478</v>
      </c>
      <c r="Q471" s="11">
        <f>_xlfn.XLOOKUP(order[[#This Row],[order_id]],shipment[order_id],shipment[delivery_date])</f>
        <v>45485</v>
      </c>
      <c r="R471" s="3" t="str">
        <f>_xlfn.XLOOKUP(order[[#This Row],[order_id]],shipment[shipment_id],shipment[courier])</f>
        <v>BlueDart</v>
      </c>
      <c r="S471" s="3">
        <f>order[[#This Row],[selling_price]]-order[[#This Row],[cost_price]]*order[[#This Row],[quantity]]-order[[#This Row],[discount]]</f>
        <v>-144624</v>
      </c>
      <c r="T471" s="3">
        <f>order[[#This Row],[quantity]]*order[[#This Row],[selling_price]]</f>
        <v>143832</v>
      </c>
    </row>
    <row r="472" spans="1:20" x14ac:dyDescent="0.3">
      <c r="A472">
        <v>471</v>
      </c>
      <c r="B472" s="11">
        <v>45371</v>
      </c>
      <c r="C472">
        <v>162</v>
      </c>
      <c r="D472" t="str">
        <f>_xlfn.XLOOKUP(order[[#This Row],[customer_id]],customer[customer_id],customer[customer_name])</f>
        <v>Ananya Gupta</v>
      </c>
      <c r="E472">
        <v>205</v>
      </c>
      <c r="F472">
        <v>3</v>
      </c>
      <c r="G472">
        <v>7227</v>
      </c>
      <c r="H472">
        <v>1187</v>
      </c>
      <c r="I472" t="s">
        <v>13</v>
      </c>
      <c r="J472" t="s">
        <v>12</v>
      </c>
      <c r="K472" t="str">
        <f>_xlfn.XLOOKUP(order[[#This Row],[customer_id]],customer[customer_id],customer[city])</f>
        <v>Ahmedabad</v>
      </c>
      <c r="L472" t="str">
        <f>_xlfn.XLOOKUP(order[[#This Row],[customer_id]],customer[customer_id],customer[state])</f>
        <v>Gujarat</v>
      </c>
      <c r="M472" t="str">
        <f>_xlfn.XLOOKUP(order[[#This Row],[product_id]],products!$A$2:$A$11,products!$B$2:$B$11)</f>
        <v>Prestige Pressure Cooker 5L</v>
      </c>
      <c r="N472" s="3" t="str">
        <f>_xlfn.XLOOKUP(order[[#This Row],[product_id]],products!$A$2:$A$11,products!$C$2:$C$11)</f>
        <v>Home &amp; Kitchen</v>
      </c>
      <c r="O472" s="3">
        <f>_xlfn.XLOOKUP(order[[#This Row],[product_id]],Table4[product_id],Table4[cost_price])</f>
        <v>1200</v>
      </c>
      <c r="P472" s="11">
        <f>_xlfn.XLOOKUP(order[[#This Row],[order_id]],shipment[order_id],shipment[ship_date])</f>
        <v>45634</v>
      </c>
      <c r="Q472" s="11">
        <f>_xlfn.XLOOKUP(order[[#This Row],[order_id]],shipment[order_id],shipment[delivery_date])</f>
        <v>45635</v>
      </c>
      <c r="R472" s="3" t="str">
        <f>_xlfn.XLOOKUP(order[[#This Row],[order_id]],shipment[shipment_id],shipment[courier])</f>
        <v>Ekart</v>
      </c>
      <c r="S472" s="3">
        <f>order[[#This Row],[selling_price]]-order[[#This Row],[cost_price]]*order[[#This Row],[quantity]]-order[[#This Row],[discount]]</f>
        <v>2440</v>
      </c>
      <c r="T472" s="3">
        <f>order[[#This Row],[quantity]]*order[[#This Row],[selling_price]]</f>
        <v>21681</v>
      </c>
    </row>
    <row r="473" spans="1:20" x14ac:dyDescent="0.3">
      <c r="A473">
        <v>446</v>
      </c>
      <c r="B473" s="11">
        <v>45603</v>
      </c>
      <c r="C473">
        <v>140</v>
      </c>
      <c r="D473" t="str">
        <f>_xlfn.XLOOKUP(order[[#This Row],[customer_id]],customer[customer_id],customer[customer_name])</f>
        <v>Neha Kapoor</v>
      </c>
      <c r="E473">
        <v>202</v>
      </c>
      <c r="F473">
        <v>2</v>
      </c>
      <c r="G473">
        <v>4064</v>
      </c>
      <c r="H473">
        <v>547</v>
      </c>
      <c r="I473" t="s">
        <v>13</v>
      </c>
      <c r="J473" t="s">
        <v>14</v>
      </c>
      <c r="K473" t="str">
        <f>_xlfn.XLOOKUP(order[[#This Row],[customer_id]],customer[customer_id],customer[city])</f>
        <v>Chennai</v>
      </c>
      <c r="L473" t="str">
        <f>_xlfn.XLOOKUP(order[[#This Row],[customer_id]],customer[customer_id],customer[state])</f>
        <v>Tamil Nadu</v>
      </c>
      <c r="M473" t="str">
        <f>_xlfn.XLOOKUP(order[[#This Row],[product_id]],products!$A$2:$A$11,products!$B$2:$B$11)</f>
        <v>Samsung Galaxy S21</v>
      </c>
      <c r="N473" s="3" t="str">
        <f>_xlfn.XLOOKUP(order[[#This Row],[product_id]],products!$A$2:$A$11,products!$C$2:$C$11)</f>
        <v>Electronics</v>
      </c>
      <c r="O473" s="3">
        <f>_xlfn.XLOOKUP(order[[#This Row],[product_id]],Table4[product_id],Table4[cost_price])</f>
        <v>45000</v>
      </c>
      <c r="P473" s="11">
        <f>_xlfn.XLOOKUP(order[[#This Row],[order_id]],shipment[order_id],shipment[ship_date])</f>
        <v>45530</v>
      </c>
      <c r="Q473" s="11">
        <f>_xlfn.XLOOKUP(order[[#This Row],[order_id]],shipment[order_id],shipment[delivery_date])</f>
        <v>45538</v>
      </c>
      <c r="R473" s="3" t="str">
        <f>_xlfn.XLOOKUP(order[[#This Row],[order_id]],shipment[shipment_id],shipment[courier])</f>
        <v>Ekart</v>
      </c>
      <c r="S473" s="3">
        <f>order[[#This Row],[selling_price]]-order[[#This Row],[cost_price]]*order[[#This Row],[quantity]]-order[[#This Row],[discount]]</f>
        <v>-86483</v>
      </c>
      <c r="T473" s="3">
        <f>order[[#This Row],[quantity]]*order[[#This Row],[selling_price]]</f>
        <v>8128</v>
      </c>
    </row>
    <row r="474" spans="1:20" x14ac:dyDescent="0.3">
      <c r="A474">
        <v>473</v>
      </c>
      <c r="B474" s="11">
        <v>45465</v>
      </c>
      <c r="C474">
        <v>282</v>
      </c>
      <c r="D474" t="str">
        <f>_xlfn.XLOOKUP(order[[#This Row],[customer_id]],customer[customer_id],customer[customer_name])</f>
        <v>Siddharth Jain</v>
      </c>
      <c r="E474">
        <v>206</v>
      </c>
      <c r="F474">
        <v>1</v>
      </c>
      <c r="G474">
        <v>23954</v>
      </c>
      <c r="H474">
        <v>1538</v>
      </c>
      <c r="I474" t="s">
        <v>11</v>
      </c>
      <c r="J474" t="s">
        <v>14</v>
      </c>
      <c r="K474" t="str">
        <f>_xlfn.XLOOKUP(order[[#This Row],[customer_id]],customer[customer_id],customer[city])</f>
        <v>Delhi</v>
      </c>
      <c r="L474" t="str">
        <f>_xlfn.XLOOKUP(order[[#This Row],[customer_id]],customer[customer_id],customer[state])</f>
        <v>Delhi</v>
      </c>
      <c r="M474" t="str">
        <f>_xlfn.XLOOKUP(order[[#This Row],[product_id]],products!$A$2:$A$11,products!$B$2:$B$11)</f>
        <v>Philips Air Fryer</v>
      </c>
      <c r="N474" s="3" t="str">
        <f>_xlfn.XLOOKUP(order[[#This Row],[product_id]],products!$A$2:$A$11,products!$C$2:$C$11)</f>
        <v>Home &amp; Kitchen</v>
      </c>
      <c r="O474" s="3">
        <f>_xlfn.XLOOKUP(order[[#This Row],[product_id]],Table4[product_id],Table4[cost_price])</f>
        <v>7000</v>
      </c>
      <c r="P474" s="11">
        <f>_xlfn.XLOOKUP(order[[#This Row],[order_id]],shipment[order_id],shipment[ship_date])</f>
        <v>45468</v>
      </c>
      <c r="Q474" s="11">
        <f>_xlfn.XLOOKUP(order[[#This Row],[order_id]],shipment[order_id],shipment[delivery_date])</f>
        <v>45469</v>
      </c>
      <c r="R474" s="3" t="str">
        <f>_xlfn.XLOOKUP(order[[#This Row],[order_id]],shipment[shipment_id],shipment[courier])</f>
        <v>BlueDart</v>
      </c>
      <c r="S474" s="3">
        <f>order[[#This Row],[selling_price]]-order[[#This Row],[cost_price]]*order[[#This Row],[quantity]]-order[[#This Row],[discount]]</f>
        <v>15416</v>
      </c>
      <c r="T474" s="3">
        <f>order[[#This Row],[quantity]]*order[[#This Row],[selling_price]]</f>
        <v>23954</v>
      </c>
    </row>
    <row r="475" spans="1:20" x14ac:dyDescent="0.3">
      <c r="A475">
        <v>575</v>
      </c>
      <c r="B475" s="11">
        <v>45608</v>
      </c>
      <c r="C475">
        <v>114</v>
      </c>
      <c r="D475" t="str">
        <f>_xlfn.XLOOKUP(order[[#This Row],[customer_id]],customer[customer_id],customer[customer_name])</f>
        <v>Ananya Gupta</v>
      </c>
      <c r="E475">
        <v>202</v>
      </c>
      <c r="F475">
        <v>2</v>
      </c>
      <c r="G475">
        <v>55868</v>
      </c>
      <c r="H475">
        <v>546</v>
      </c>
      <c r="I475" t="s">
        <v>11</v>
      </c>
      <c r="J475" t="s">
        <v>12</v>
      </c>
      <c r="K475" t="str">
        <f>_xlfn.XLOOKUP(order[[#This Row],[customer_id]],customer[customer_id],customer[city])</f>
        <v>Bangalore</v>
      </c>
      <c r="L475" t="str">
        <f>_xlfn.XLOOKUP(order[[#This Row],[customer_id]],customer[customer_id],customer[state])</f>
        <v>Karnataka</v>
      </c>
      <c r="M475" t="str">
        <f>_xlfn.XLOOKUP(order[[#This Row],[product_id]],products!$A$2:$A$11,products!$B$2:$B$11)</f>
        <v>Samsung Galaxy S21</v>
      </c>
      <c r="N475" s="3" t="str">
        <f>_xlfn.XLOOKUP(order[[#This Row],[product_id]],products!$A$2:$A$11,products!$C$2:$C$11)</f>
        <v>Electronics</v>
      </c>
      <c r="O475" s="3">
        <f>_xlfn.XLOOKUP(order[[#This Row],[product_id]],Table4[product_id],Table4[cost_price])</f>
        <v>45000</v>
      </c>
      <c r="P475" s="11">
        <f>_xlfn.XLOOKUP(order[[#This Row],[order_id]],shipment[order_id],shipment[ship_date])</f>
        <v>45385</v>
      </c>
      <c r="Q475" s="11">
        <f>_xlfn.XLOOKUP(order[[#This Row],[order_id]],shipment[order_id],shipment[delivery_date])</f>
        <v>45394</v>
      </c>
      <c r="R475" s="3" t="str">
        <f>_xlfn.XLOOKUP(order[[#This Row],[order_id]],shipment[shipment_id],shipment[courier])</f>
        <v>Ekart</v>
      </c>
      <c r="S475" s="3">
        <f>order[[#This Row],[selling_price]]-order[[#This Row],[cost_price]]*order[[#This Row],[quantity]]-order[[#This Row],[discount]]</f>
        <v>-34678</v>
      </c>
      <c r="T475" s="3">
        <f>order[[#This Row],[quantity]]*order[[#This Row],[selling_price]]</f>
        <v>111736</v>
      </c>
    </row>
    <row r="476" spans="1:20" x14ac:dyDescent="0.3">
      <c r="A476">
        <v>191</v>
      </c>
      <c r="B476" s="11">
        <v>45462</v>
      </c>
      <c r="C476">
        <v>229</v>
      </c>
      <c r="D476" t="str">
        <f>_xlfn.XLOOKUP(order[[#This Row],[customer_id]],customer[customer_id],customer[customer_name])</f>
        <v>Aarav Sharma</v>
      </c>
      <c r="E476">
        <v>202</v>
      </c>
      <c r="F476">
        <v>2</v>
      </c>
      <c r="G476">
        <v>59846</v>
      </c>
      <c r="H476">
        <v>521</v>
      </c>
      <c r="I476" t="s">
        <v>13</v>
      </c>
      <c r="J476" t="s">
        <v>10</v>
      </c>
      <c r="K476" t="str">
        <f>_xlfn.XLOOKUP(order[[#This Row],[customer_id]],customer[customer_id],customer[city])</f>
        <v>Hyderabad</v>
      </c>
      <c r="L476" t="str">
        <f>_xlfn.XLOOKUP(order[[#This Row],[customer_id]],customer[customer_id],customer[state])</f>
        <v>Telangana</v>
      </c>
      <c r="M476" t="str">
        <f>_xlfn.XLOOKUP(order[[#This Row],[product_id]],products!$A$2:$A$11,products!$B$2:$B$11)</f>
        <v>Samsung Galaxy S21</v>
      </c>
      <c r="N476" s="3" t="str">
        <f>_xlfn.XLOOKUP(order[[#This Row],[product_id]],products!$A$2:$A$11,products!$C$2:$C$11)</f>
        <v>Electronics</v>
      </c>
      <c r="O476" s="3">
        <f>_xlfn.XLOOKUP(order[[#This Row],[product_id]],Table4[product_id],Table4[cost_price])</f>
        <v>45000</v>
      </c>
      <c r="P476" s="11">
        <f>_xlfn.XLOOKUP(order[[#This Row],[order_id]],shipment[order_id],shipment[ship_date])</f>
        <v>45526</v>
      </c>
      <c r="Q476" s="11">
        <f>_xlfn.XLOOKUP(order[[#This Row],[order_id]],shipment[order_id],shipment[delivery_date])</f>
        <v>45533</v>
      </c>
      <c r="R476" s="3" t="str">
        <f>_xlfn.XLOOKUP(order[[#This Row],[order_id]],shipment[shipment_id],shipment[courier])</f>
        <v>Ekart</v>
      </c>
      <c r="S476" s="3">
        <f>order[[#This Row],[selling_price]]-order[[#This Row],[cost_price]]*order[[#This Row],[quantity]]-order[[#This Row],[discount]]</f>
        <v>-30675</v>
      </c>
      <c r="T476" s="3">
        <f>order[[#This Row],[quantity]]*order[[#This Row],[selling_price]]</f>
        <v>119692</v>
      </c>
    </row>
    <row r="477" spans="1:20" x14ac:dyDescent="0.3">
      <c r="A477">
        <v>692</v>
      </c>
      <c r="B477" s="11">
        <v>45514</v>
      </c>
      <c r="C477">
        <v>127</v>
      </c>
      <c r="D477" t="str">
        <f>_xlfn.XLOOKUP(order[[#This Row],[customer_id]],customer[customer_id],customer[customer_name])</f>
        <v>Neha Kapoor</v>
      </c>
      <c r="E477">
        <v>202</v>
      </c>
      <c r="F477">
        <v>1</v>
      </c>
      <c r="G477">
        <v>1302</v>
      </c>
      <c r="H477">
        <v>475</v>
      </c>
      <c r="I477" t="s">
        <v>13</v>
      </c>
      <c r="J477" t="s">
        <v>14</v>
      </c>
      <c r="K477" t="str">
        <f>_xlfn.XLOOKUP(order[[#This Row],[customer_id]],customer[customer_id],customer[city])</f>
        <v>Hyderabad</v>
      </c>
      <c r="L477" t="str">
        <f>_xlfn.XLOOKUP(order[[#This Row],[customer_id]],customer[customer_id],customer[state])</f>
        <v>Telangana</v>
      </c>
      <c r="M477" t="str">
        <f>_xlfn.XLOOKUP(order[[#This Row],[product_id]],products!$A$2:$A$11,products!$B$2:$B$11)</f>
        <v>Samsung Galaxy S21</v>
      </c>
      <c r="N477" s="3" t="str">
        <f>_xlfn.XLOOKUP(order[[#This Row],[product_id]],products!$A$2:$A$11,products!$C$2:$C$11)</f>
        <v>Electronics</v>
      </c>
      <c r="O477" s="3">
        <f>_xlfn.XLOOKUP(order[[#This Row],[product_id]],Table4[product_id],Table4[cost_price])</f>
        <v>45000</v>
      </c>
      <c r="P477" s="11">
        <f>_xlfn.XLOOKUP(order[[#This Row],[order_id]],shipment[order_id],shipment[ship_date])</f>
        <v>45559</v>
      </c>
      <c r="Q477" s="11">
        <f>_xlfn.XLOOKUP(order[[#This Row],[order_id]],shipment[order_id],shipment[delivery_date])</f>
        <v>45566</v>
      </c>
      <c r="R477" s="3" t="str">
        <f>_xlfn.XLOOKUP(order[[#This Row],[order_id]],shipment[shipment_id],shipment[courier])</f>
        <v>Delhivery</v>
      </c>
      <c r="S477" s="3">
        <f>order[[#This Row],[selling_price]]-order[[#This Row],[cost_price]]*order[[#This Row],[quantity]]-order[[#This Row],[discount]]</f>
        <v>-44173</v>
      </c>
      <c r="T477" s="3">
        <f>order[[#This Row],[quantity]]*order[[#This Row],[selling_price]]</f>
        <v>1302</v>
      </c>
    </row>
    <row r="478" spans="1:20" x14ac:dyDescent="0.3">
      <c r="A478">
        <v>380</v>
      </c>
      <c r="B478" s="11">
        <v>45374</v>
      </c>
      <c r="C478">
        <v>139</v>
      </c>
      <c r="D478" t="str">
        <f>_xlfn.XLOOKUP(order[[#This Row],[customer_id]],customer[customer_id],customer[customer_name])</f>
        <v>Neha Kapoor</v>
      </c>
      <c r="E478">
        <v>202</v>
      </c>
      <c r="F478">
        <v>2</v>
      </c>
      <c r="G478">
        <v>5752</v>
      </c>
      <c r="H478">
        <v>467</v>
      </c>
      <c r="I478" t="s">
        <v>9</v>
      </c>
      <c r="J478" t="s">
        <v>14</v>
      </c>
      <c r="K478" t="str">
        <f>_xlfn.XLOOKUP(order[[#This Row],[customer_id]],customer[customer_id],customer[city])</f>
        <v>Chennai</v>
      </c>
      <c r="L478" t="str">
        <f>_xlfn.XLOOKUP(order[[#This Row],[customer_id]],customer[customer_id],customer[state])</f>
        <v>Tamil Nadu</v>
      </c>
      <c r="M478" t="str">
        <f>_xlfn.XLOOKUP(order[[#This Row],[product_id]],products!$A$2:$A$11,products!$B$2:$B$11)</f>
        <v>Samsung Galaxy S21</v>
      </c>
      <c r="N478" s="3" t="str">
        <f>_xlfn.XLOOKUP(order[[#This Row],[product_id]],products!$A$2:$A$11,products!$C$2:$C$11)</f>
        <v>Electronics</v>
      </c>
      <c r="O478" s="3">
        <f>_xlfn.XLOOKUP(order[[#This Row],[product_id]],Table4[product_id],Table4[cost_price])</f>
        <v>45000</v>
      </c>
      <c r="P478" s="11">
        <f>_xlfn.XLOOKUP(order[[#This Row],[order_id]],shipment[order_id],shipment[ship_date])</f>
        <v>45414</v>
      </c>
      <c r="Q478" s="11">
        <f>_xlfn.XLOOKUP(order[[#This Row],[order_id]],shipment[order_id],shipment[delivery_date])</f>
        <v>45415</v>
      </c>
      <c r="R478" s="3" t="str">
        <f>_xlfn.XLOOKUP(order[[#This Row],[order_id]],shipment[shipment_id],shipment[courier])</f>
        <v>BlueDart</v>
      </c>
      <c r="S478" s="3">
        <f>order[[#This Row],[selling_price]]-order[[#This Row],[cost_price]]*order[[#This Row],[quantity]]-order[[#This Row],[discount]]</f>
        <v>-84715</v>
      </c>
      <c r="T478" s="3">
        <f>order[[#This Row],[quantity]]*order[[#This Row],[selling_price]]</f>
        <v>11504</v>
      </c>
    </row>
    <row r="479" spans="1:20" x14ac:dyDescent="0.3">
      <c r="A479">
        <v>478</v>
      </c>
      <c r="B479" s="11">
        <v>45480</v>
      </c>
      <c r="C479">
        <v>256</v>
      </c>
      <c r="D479" t="str">
        <f>_xlfn.XLOOKUP(order[[#This Row],[customer_id]],customer[customer_id],customer[customer_name])</f>
        <v>Priya Reddy</v>
      </c>
      <c r="E479">
        <v>208</v>
      </c>
      <c r="F479">
        <v>1</v>
      </c>
      <c r="G479">
        <v>43801</v>
      </c>
      <c r="H479">
        <v>1464</v>
      </c>
      <c r="I479" t="s">
        <v>11</v>
      </c>
      <c r="J479" t="s">
        <v>10</v>
      </c>
      <c r="K479" t="str">
        <f>_xlfn.XLOOKUP(order[[#This Row],[customer_id]],customer[customer_id],customer[city])</f>
        <v>Hyderabad</v>
      </c>
      <c r="L479" t="str">
        <f>_xlfn.XLOOKUP(order[[#This Row],[customer_id]],customer[customer_id],customer[state])</f>
        <v>Telangana</v>
      </c>
      <c r="M479" t="str">
        <f>_xlfn.XLOOKUP(order[[#This Row],[product_id]],products!$A$2:$A$11,products!$B$2:$B$11)</f>
        <v>Adidas Ultraboost Shoes</v>
      </c>
      <c r="N479" s="3" t="str">
        <f>_xlfn.XLOOKUP(order[[#This Row],[product_id]],products!$A$2:$A$11,products!$C$2:$C$11)</f>
        <v>Fashion</v>
      </c>
      <c r="O479" s="3">
        <f>_xlfn.XLOOKUP(order[[#This Row],[product_id]],Table4[product_id],Table4[cost_price])</f>
        <v>9000</v>
      </c>
      <c r="P479" s="11">
        <f>_xlfn.XLOOKUP(order[[#This Row],[order_id]],shipment[order_id],shipment[ship_date])</f>
        <v>45493</v>
      </c>
      <c r="Q479" s="11">
        <f>_xlfn.XLOOKUP(order[[#This Row],[order_id]],shipment[order_id],shipment[delivery_date])</f>
        <v>45496</v>
      </c>
      <c r="R479" s="3" t="str">
        <f>_xlfn.XLOOKUP(order[[#This Row],[order_id]],shipment[shipment_id],shipment[courier])</f>
        <v>Ekart</v>
      </c>
      <c r="S479" s="3">
        <f>order[[#This Row],[selling_price]]-order[[#This Row],[cost_price]]*order[[#This Row],[quantity]]-order[[#This Row],[discount]]</f>
        <v>33337</v>
      </c>
      <c r="T479" s="3">
        <f>order[[#This Row],[quantity]]*order[[#This Row],[selling_price]]</f>
        <v>43801</v>
      </c>
    </row>
    <row r="480" spans="1:20" x14ac:dyDescent="0.3">
      <c r="A480">
        <v>479</v>
      </c>
      <c r="B480" s="11">
        <v>45364</v>
      </c>
      <c r="C480">
        <v>191</v>
      </c>
      <c r="D480" t="str">
        <f>_xlfn.XLOOKUP(order[[#This Row],[customer_id]],customer[customer_id],customer[customer_name])</f>
        <v>Priya Reddy</v>
      </c>
      <c r="E480">
        <v>204</v>
      </c>
      <c r="F480">
        <v>3</v>
      </c>
      <c r="G480">
        <v>17434</v>
      </c>
      <c r="H480">
        <v>86</v>
      </c>
      <c r="I480" t="s">
        <v>11</v>
      </c>
      <c r="J480" t="s">
        <v>10</v>
      </c>
      <c r="K480" t="str">
        <f>_xlfn.XLOOKUP(order[[#This Row],[customer_id]],customer[customer_id],customer[city])</f>
        <v>Pune</v>
      </c>
      <c r="L480" t="str">
        <f>_xlfn.XLOOKUP(order[[#This Row],[customer_id]],customer[customer_id],customer[state])</f>
        <v>Maharashtra</v>
      </c>
      <c r="M480" t="str">
        <f>_xlfn.XLOOKUP(order[[#This Row],[product_id]],products!$A$2:$A$11,products!$B$2:$B$11)</f>
        <v>Levi's Slim Fit Jeans</v>
      </c>
      <c r="N480" s="3" t="str">
        <f>_xlfn.XLOOKUP(order[[#This Row],[product_id]],products!$A$2:$A$11,products!$C$2:$C$11)</f>
        <v>Fashion</v>
      </c>
      <c r="O480" s="3">
        <f>_xlfn.XLOOKUP(order[[#This Row],[product_id]],Table4[product_id],Table4[cost_price])</f>
        <v>1800</v>
      </c>
      <c r="P480" s="11">
        <f>_xlfn.XLOOKUP(order[[#This Row],[order_id]],shipment[order_id],shipment[ship_date])</f>
        <v>45656</v>
      </c>
      <c r="Q480" s="11">
        <f>_xlfn.XLOOKUP(order[[#This Row],[order_id]],shipment[order_id],shipment[delivery_date])</f>
        <v>45665</v>
      </c>
      <c r="R480" s="3" t="str">
        <f>_xlfn.XLOOKUP(order[[#This Row],[order_id]],shipment[shipment_id],shipment[courier])</f>
        <v>Delhivery</v>
      </c>
      <c r="S480" s="3">
        <f>order[[#This Row],[selling_price]]-order[[#This Row],[cost_price]]*order[[#This Row],[quantity]]-order[[#This Row],[discount]]</f>
        <v>11948</v>
      </c>
      <c r="T480" s="3">
        <f>order[[#This Row],[quantity]]*order[[#This Row],[selling_price]]</f>
        <v>52302</v>
      </c>
    </row>
    <row r="481" spans="1:20" x14ac:dyDescent="0.3">
      <c r="A481">
        <v>981</v>
      </c>
      <c r="B481" s="11">
        <v>45432</v>
      </c>
      <c r="C481">
        <v>138</v>
      </c>
      <c r="D481" t="str">
        <f>_xlfn.XLOOKUP(order[[#This Row],[customer_id]],customer[customer_id],customer[customer_name])</f>
        <v>Sneha Iyer</v>
      </c>
      <c r="E481">
        <v>202</v>
      </c>
      <c r="F481">
        <v>2</v>
      </c>
      <c r="G481">
        <v>38824</v>
      </c>
      <c r="H481">
        <v>426</v>
      </c>
      <c r="I481" t="s">
        <v>15</v>
      </c>
      <c r="J481" t="s">
        <v>14</v>
      </c>
      <c r="K481" t="str">
        <f>_xlfn.XLOOKUP(order[[#This Row],[customer_id]],customer[customer_id],customer[city])</f>
        <v>Chennai</v>
      </c>
      <c r="L481" t="str">
        <f>_xlfn.XLOOKUP(order[[#This Row],[customer_id]],customer[customer_id],customer[state])</f>
        <v>Tamil Nadu</v>
      </c>
      <c r="M481" t="str">
        <f>_xlfn.XLOOKUP(order[[#This Row],[product_id]],products!$A$2:$A$11,products!$B$2:$B$11)</f>
        <v>Samsung Galaxy S21</v>
      </c>
      <c r="N481" s="3" t="str">
        <f>_xlfn.XLOOKUP(order[[#This Row],[product_id]],products!$A$2:$A$11,products!$C$2:$C$11)</f>
        <v>Electronics</v>
      </c>
      <c r="O481" s="3">
        <f>_xlfn.XLOOKUP(order[[#This Row],[product_id]],Table4[product_id],Table4[cost_price])</f>
        <v>45000</v>
      </c>
      <c r="P481" s="11">
        <f>_xlfn.XLOOKUP(order[[#This Row],[order_id]],shipment[order_id],shipment[ship_date])</f>
        <v>45468</v>
      </c>
      <c r="Q481" s="11">
        <f>_xlfn.XLOOKUP(order[[#This Row],[order_id]],shipment[order_id],shipment[delivery_date])</f>
        <v>45476</v>
      </c>
      <c r="R481" s="3" t="str">
        <f>_xlfn.XLOOKUP(order[[#This Row],[order_id]],shipment[shipment_id],shipment[courier])</f>
        <v>DTDC</v>
      </c>
      <c r="S481" s="3">
        <f>order[[#This Row],[selling_price]]-order[[#This Row],[cost_price]]*order[[#This Row],[quantity]]-order[[#This Row],[discount]]</f>
        <v>-51602</v>
      </c>
      <c r="T481" s="3">
        <f>order[[#This Row],[quantity]]*order[[#This Row],[selling_price]]</f>
        <v>77648</v>
      </c>
    </row>
    <row r="482" spans="1:20" x14ac:dyDescent="0.3">
      <c r="A482">
        <v>481</v>
      </c>
      <c r="B482" s="11">
        <v>45531</v>
      </c>
      <c r="C482">
        <v>212</v>
      </c>
      <c r="D482" t="str">
        <f>_xlfn.XLOOKUP(order[[#This Row],[customer_id]],customer[customer_id],customer[customer_name])</f>
        <v>Vikram Singh</v>
      </c>
      <c r="E482">
        <v>209</v>
      </c>
      <c r="F482">
        <v>4</v>
      </c>
      <c r="G482">
        <v>27384</v>
      </c>
      <c r="H482">
        <v>2048</v>
      </c>
      <c r="I482" t="s">
        <v>9</v>
      </c>
      <c r="J482" t="s">
        <v>10</v>
      </c>
      <c r="K482" t="str">
        <f>_xlfn.XLOOKUP(order[[#This Row],[customer_id]],customer[customer_id],customer[city])</f>
        <v>Ahmedabad</v>
      </c>
      <c r="L482" t="str">
        <f>_xlfn.XLOOKUP(order[[#This Row],[customer_id]],customer[customer_id],customer[state])</f>
        <v>Gujarat</v>
      </c>
      <c r="M482" t="str">
        <f>_xlfn.XLOOKUP(order[[#This Row],[product_id]],products!$A$2:$A$11,products!$B$2:$B$11)</f>
        <v>Milton Thermosteel Bottle</v>
      </c>
      <c r="N482" s="3" t="str">
        <f>_xlfn.XLOOKUP(order[[#This Row],[product_id]],products!$A$2:$A$11,products!$C$2:$C$11)</f>
        <v>Home &amp; Kitchen</v>
      </c>
      <c r="O482" s="3">
        <f>_xlfn.XLOOKUP(order[[#This Row],[product_id]],Table4[product_id],Table4[cost_price])</f>
        <v>800</v>
      </c>
      <c r="P482" s="11">
        <f>_xlfn.XLOOKUP(order[[#This Row],[order_id]],shipment[order_id],shipment[ship_date])</f>
        <v>45423</v>
      </c>
      <c r="Q482" s="11">
        <f>_xlfn.XLOOKUP(order[[#This Row],[order_id]],shipment[order_id],shipment[delivery_date])</f>
        <v>45425</v>
      </c>
      <c r="R482" s="3" t="str">
        <f>_xlfn.XLOOKUP(order[[#This Row],[order_id]],shipment[shipment_id],shipment[courier])</f>
        <v>DTDC</v>
      </c>
      <c r="S482" s="3">
        <f>order[[#This Row],[selling_price]]-order[[#This Row],[cost_price]]*order[[#This Row],[quantity]]-order[[#This Row],[discount]]</f>
        <v>22136</v>
      </c>
      <c r="T482" s="3">
        <f>order[[#This Row],[quantity]]*order[[#This Row],[selling_price]]</f>
        <v>109536</v>
      </c>
    </row>
    <row r="483" spans="1:20" x14ac:dyDescent="0.3">
      <c r="A483">
        <v>482</v>
      </c>
      <c r="B483" s="11">
        <v>45521</v>
      </c>
      <c r="C483">
        <v>127</v>
      </c>
      <c r="D483" t="str">
        <f>_xlfn.XLOOKUP(order[[#This Row],[customer_id]],customer[customer_id],customer[customer_name])</f>
        <v>Neha Kapoor</v>
      </c>
      <c r="E483">
        <v>204</v>
      </c>
      <c r="F483">
        <v>4</v>
      </c>
      <c r="G483">
        <v>63738</v>
      </c>
      <c r="H483">
        <v>4139</v>
      </c>
      <c r="I483" t="s">
        <v>13</v>
      </c>
      <c r="J483" t="s">
        <v>10</v>
      </c>
      <c r="K483" t="str">
        <f>_xlfn.XLOOKUP(order[[#This Row],[customer_id]],customer[customer_id],customer[city])</f>
        <v>Hyderabad</v>
      </c>
      <c r="L483" t="str">
        <f>_xlfn.XLOOKUP(order[[#This Row],[customer_id]],customer[customer_id],customer[state])</f>
        <v>Telangana</v>
      </c>
      <c r="M483" t="str">
        <f>_xlfn.XLOOKUP(order[[#This Row],[product_id]],products!$A$2:$A$11,products!$B$2:$B$11)</f>
        <v>Levi's Slim Fit Jeans</v>
      </c>
      <c r="N483" s="3" t="str">
        <f>_xlfn.XLOOKUP(order[[#This Row],[product_id]],products!$A$2:$A$11,products!$C$2:$C$11)</f>
        <v>Fashion</v>
      </c>
      <c r="O483" s="3">
        <f>_xlfn.XLOOKUP(order[[#This Row],[product_id]],Table4[product_id],Table4[cost_price])</f>
        <v>1800</v>
      </c>
      <c r="P483" s="11">
        <f>_xlfn.XLOOKUP(order[[#This Row],[order_id]],shipment[order_id],shipment[ship_date])</f>
        <v>45408</v>
      </c>
      <c r="Q483" s="11">
        <f>_xlfn.XLOOKUP(order[[#This Row],[order_id]],shipment[order_id],shipment[delivery_date])</f>
        <v>45413</v>
      </c>
      <c r="R483" s="3" t="str">
        <f>_xlfn.XLOOKUP(order[[#This Row],[order_id]],shipment[shipment_id],shipment[courier])</f>
        <v>DTDC</v>
      </c>
      <c r="S483" s="3">
        <f>order[[#This Row],[selling_price]]-order[[#This Row],[cost_price]]*order[[#This Row],[quantity]]-order[[#This Row],[discount]]</f>
        <v>52399</v>
      </c>
      <c r="T483" s="3">
        <f>order[[#This Row],[quantity]]*order[[#This Row],[selling_price]]</f>
        <v>254952</v>
      </c>
    </row>
    <row r="484" spans="1:20" x14ac:dyDescent="0.3">
      <c r="A484">
        <v>483</v>
      </c>
      <c r="B484" s="11">
        <v>45538</v>
      </c>
      <c r="C484">
        <v>146</v>
      </c>
      <c r="D484" t="str">
        <f>_xlfn.XLOOKUP(order[[#This Row],[customer_id]],customer[customer_id],customer[customer_name])</f>
        <v>Siddharth Jain</v>
      </c>
      <c r="E484">
        <v>209</v>
      </c>
      <c r="F484">
        <v>4</v>
      </c>
      <c r="G484">
        <v>24471</v>
      </c>
      <c r="H484">
        <v>3180</v>
      </c>
      <c r="I484" t="s">
        <v>9</v>
      </c>
      <c r="J484" t="s">
        <v>14</v>
      </c>
      <c r="K484" t="str">
        <f>_xlfn.XLOOKUP(order[[#This Row],[customer_id]],customer[customer_id],customer[city])</f>
        <v>Hyderabad</v>
      </c>
      <c r="L484" t="str">
        <f>_xlfn.XLOOKUP(order[[#This Row],[customer_id]],customer[customer_id],customer[state])</f>
        <v>Telangana</v>
      </c>
      <c r="M484" t="str">
        <f>_xlfn.XLOOKUP(order[[#This Row],[product_id]],products!$A$2:$A$11,products!$B$2:$B$11)</f>
        <v>Milton Thermosteel Bottle</v>
      </c>
      <c r="N484" s="3" t="str">
        <f>_xlfn.XLOOKUP(order[[#This Row],[product_id]],products!$A$2:$A$11,products!$C$2:$C$11)</f>
        <v>Home &amp; Kitchen</v>
      </c>
      <c r="O484" s="3">
        <f>_xlfn.XLOOKUP(order[[#This Row],[product_id]],Table4[product_id],Table4[cost_price])</f>
        <v>800</v>
      </c>
      <c r="P484" s="11">
        <f>_xlfn.XLOOKUP(order[[#This Row],[order_id]],shipment[order_id],shipment[ship_date])</f>
        <v>45530</v>
      </c>
      <c r="Q484" s="11">
        <f>_xlfn.XLOOKUP(order[[#This Row],[order_id]],shipment[order_id],shipment[delivery_date])</f>
        <v>45532</v>
      </c>
      <c r="R484" s="3" t="str">
        <f>_xlfn.XLOOKUP(order[[#This Row],[order_id]],shipment[shipment_id],shipment[courier])</f>
        <v>Delhivery</v>
      </c>
      <c r="S484" s="3">
        <f>order[[#This Row],[selling_price]]-order[[#This Row],[cost_price]]*order[[#This Row],[quantity]]-order[[#This Row],[discount]]</f>
        <v>18091</v>
      </c>
      <c r="T484" s="3">
        <f>order[[#This Row],[quantity]]*order[[#This Row],[selling_price]]</f>
        <v>97884</v>
      </c>
    </row>
    <row r="485" spans="1:20" x14ac:dyDescent="0.3">
      <c r="A485">
        <v>484</v>
      </c>
      <c r="B485" s="11">
        <v>45632</v>
      </c>
      <c r="C485">
        <v>133</v>
      </c>
      <c r="D485" t="str">
        <f>_xlfn.XLOOKUP(order[[#This Row],[customer_id]],customer[customer_id],customer[customer_name])</f>
        <v>Manish Yadav</v>
      </c>
      <c r="E485">
        <v>204</v>
      </c>
      <c r="F485">
        <v>2</v>
      </c>
      <c r="G485">
        <v>18263</v>
      </c>
      <c r="H485">
        <v>3027</v>
      </c>
      <c r="I485" t="s">
        <v>13</v>
      </c>
      <c r="J485" t="s">
        <v>12</v>
      </c>
      <c r="K485" t="str">
        <f>_xlfn.XLOOKUP(order[[#This Row],[customer_id]],customer[customer_id],customer[city])</f>
        <v>Hyderabad</v>
      </c>
      <c r="L485" t="str">
        <f>_xlfn.XLOOKUP(order[[#This Row],[customer_id]],customer[customer_id],customer[state])</f>
        <v>Telangana</v>
      </c>
      <c r="M485" t="str">
        <f>_xlfn.XLOOKUP(order[[#This Row],[product_id]],products!$A$2:$A$11,products!$B$2:$B$11)</f>
        <v>Levi's Slim Fit Jeans</v>
      </c>
      <c r="N485" s="3" t="str">
        <f>_xlfn.XLOOKUP(order[[#This Row],[product_id]],products!$A$2:$A$11,products!$C$2:$C$11)</f>
        <v>Fashion</v>
      </c>
      <c r="O485" s="3">
        <f>_xlfn.XLOOKUP(order[[#This Row],[product_id]],Table4[product_id],Table4[cost_price])</f>
        <v>1800</v>
      </c>
      <c r="P485" s="11">
        <f>_xlfn.XLOOKUP(order[[#This Row],[order_id]],shipment[order_id],shipment[ship_date])</f>
        <v>45398</v>
      </c>
      <c r="Q485" s="11">
        <f>_xlfn.XLOOKUP(order[[#This Row],[order_id]],shipment[order_id],shipment[delivery_date])</f>
        <v>45399</v>
      </c>
      <c r="R485" s="3" t="str">
        <f>_xlfn.XLOOKUP(order[[#This Row],[order_id]],shipment[shipment_id],shipment[courier])</f>
        <v>Delhivery</v>
      </c>
      <c r="S485" s="3">
        <f>order[[#This Row],[selling_price]]-order[[#This Row],[cost_price]]*order[[#This Row],[quantity]]-order[[#This Row],[discount]]</f>
        <v>11636</v>
      </c>
      <c r="T485" s="3">
        <f>order[[#This Row],[quantity]]*order[[#This Row],[selling_price]]</f>
        <v>36526</v>
      </c>
    </row>
    <row r="486" spans="1:20" x14ac:dyDescent="0.3">
      <c r="A486">
        <v>386</v>
      </c>
      <c r="B486" s="11">
        <v>45397</v>
      </c>
      <c r="C486">
        <v>282</v>
      </c>
      <c r="D486" t="str">
        <f>_xlfn.XLOOKUP(order[[#This Row],[customer_id]],customer[customer_id],customer[customer_name])</f>
        <v>Siddharth Jain</v>
      </c>
      <c r="E486">
        <v>202</v>
      </c>
      <c r="F486">
        <v>2</v>
      </c>
      <c r="G486">
        <v>39254</v>
      </c>
      <c r="H486">
        <v>403</v>
      </c>
      <c r="I486" t="s">
        <v>9</v>
      </c>
      <c r="J486" t="s">
        <v>12</v>
      </c>
      <c r="K486" t="str">
        <f>_xlfn.XLOOKUP(order[[#This Row],[customer_id]],customer[customer_id],customer[city])</f>
        <v>Delhi</v>
      </c>
      <c r="L486" t="str">
        <f>_xlfn.XLOOKUP(order[[#This Row],[customer_id]],customer[customer_id],customer[state])</f>
        <v>Delhi</v>
      </c>
      <c r="M486" t="str">
        <f>_xlfn.XLOOKUP(order[[#This Row],[product_id]],products!$A$2:$A$11,products!$B$2:$B$11)</f>
        <v>Samsung Galaxy S21</v>
      </c>
      <c r="N486" s="3" t="str">
        <f>_xlfn.XLOOKUP(order[[#This Row],[product_id]],products!$A$2:$A$11,products!$C$2:$C$11)</f>
        <v>Electronics</v>
      </c>
      <c r="O486" s="3">
        <f>_xlfn.XLOOKUP(order[[#This Row],[product_id]],Table4[product_id],Table4[cost_price])</f>
        <v>45000</v>
      </c>
      <c r="P486" s="11">
        <f>_xlfn.XLOOKUP(order[[#This Row],[order_id]],shipment[order_id],shipment[ship_date])</f>
        <v>45608</v>
      </c>
      <c r="Q486" s="11">
        <f>_xlfn.XLOOKUP(order[[#This Row],[order_id]],shipment[order_id],shipment[delivery_date])</f>
        <v>45613</v>
      </c>
      <c r="R486" s="3" t="str">
        <f>_xlfn.XLOOKUP(order[[#This Row],[order_id]],shipment[shipment_id],shipment[courier])</f>
        <v>Ekart</v>
      </c>
      <c r="S486" s="3">
        <f>order[[#This Row],[selling_price]]-order[[#This Row],[cost_price]]*order[[#This Row],[quantity]]-order[[#This Row],[discount]]</f>
        <v>-51149</v>
      </c>
      <c r="T486" s="3">
        <f>order[[#This Row],[quantity]]*order[[#This Row],[selling_price]]</f>
        <v>78508</v>
      </c>
    </row>
    <row r="487" spans="1:20" x14ac:dyDescent="0.3">
      <c r="A487">
        <v>565</v>
      </c>
      <c r="B487" s="11">
        <v>45431</v>
      </c>
      <c r="C487">
        <v>132</v>
      </c>
      <c r="D487" t="str">
        <f>_xlfn.XLOOKUP(order[[#This Row],[customer_id]],customer[customer_id],customer[customer_name])</f>
        <v>Sneha Iyer</v>
      </c>
      <c r="E487">
        <v>202</v>
      </c>
      <c r="F487">
        <v>2</v>
      </c>
      <c r="G487">
        <v>63637</v>
      </c>
      <c r="H487">
        <v>403</v>
      </c>
      <c r="I487" t="s">
        <v>11</v>
      </c>
      <c r="J487" t="s">
        <v>12</v>
      </c>
      <c r="K487" t="str">
        <f>_xlfn.XLOOKUP(order[[#This Row],[customer_id]],customer[customer_id],customer[city])</f>
        <v>Hyderabad</v>
      </c>
      <c r="L487" t="str">
        <f>_xlfn.XLOOKUP(order[[#This Row],[customer_id]],customer[customer_id],customer[state])</f>
        <v>Telangana</v>
      </c>
      <c r="M487" t="str">
        <f>_xlfn.XLOOKUP(order[[#This Row],[product_id]],products!$A$2:$A$11,products!$B$2:$B$11)</f>
        <v>Samsung Galaxy S21</v>
      </c>
      <c r="N487" s="3" t="str">
        <f>_xlfn.XLOOKUP(order[[#This Row],[product_id]],products!$A$2:$A$11,products!$C$2:$C$11)</f>
        <v>Electronics</v>
      </c>
      <c r="O487" s="3">
        <f>_xlfn.XLOOKUP(order[[#This Row],[product_id]],Table4[product_id],Table4[cost_price])</f>
        <v>45000</v>
      </c>
      <c r="P487" s="11">
        <f>_xlfn.XLOOKUP(order[[#This Row],[order_id]],shipment[order_id],shipment[ship_date])</f>
        <v>45398</v>
      </c>
      <c r="Q487" s="11">
        <f>_xlfn.XLOOKUP(order[[#This Row],[order_id]],shipment[order_id],shipment[delivery_date])</f>
        <v>45404</v>
      </c>
      <c r="R487" s="3" t="str">
        <f>_xlfn.XLOOKUP(order[[#This Row],[order_id]],shipment[shipment_id],shipment[courier])</f>
        <v>Ekart</v>
      </c>
      <c r="S487" s="3">
        <f>order[[#This Row],[selling_price]]-order[[#This Row],[cost_price]]*order[[#This Row],[quantity]]-order[[#This Row],[discount]]</f>
        <v>-26766</v>
      </c>
      <c r="T487" s="3">
        <f>order[[#This Row],[quantity]]*order[[#This Row],[selling_price]]</f>
        <v>127274</v>
      </c>
    </row>
    <row r="488" spans="1:20" x14ac:dyDescent="0.3">
      <c r="A488">
        <v>487</v>
      </c>
      <c r="B488" s="11">
        <v>45331</v>
      </c>
      <c r="C488">
        <v>233</v>
      </c>
      <c r="D488" t="str">
        <f>_xlfn.XLOOKUP(order[[#This Row],[customer_id]],customer[customer_id],customer[customer_name])</f>
        <v>Arjun Nair</v>
      </c>
      <c r="E488">
        <v>207</v>
      </c>
      <c r="F488">
        <v>1</v>
      </c>
      <c r="G488">
        <v>40741</v>
      </c>
      <c r="H488">
        <v>3584</v>
      </c>
      <c r="I488" t="s">
        <v>13</v>
      </c>
      <c r="J488" t="s">
        <v>14</v>
      </c>
      <c r="K488" t="str">
        <f>_xlfn.XLOOKUP(order[[#This Row],[customer_id]],customer[customer_id],customer[city])</f>
        <v>Hyderabad</v>
      </c>
      <c r="L488" t="str">
        <f>_xlfn.XLOOKUP(order[[#This Row],[customer_id]],customer[customer_id],customer[state])</f>
        <v>Telangana</v>
      </c>
      <c r="M488" t="str">
        <f>_xlfn.XLOOKUP(order[[#This Row],[product_id]],products!$A$2:$A$11,products!$B$2:$B$11)</f>
        <v>Sony WH-1000XM4 Headphones</v>
      </c>
      <c r="N488" s="3" t="str">
        <f>_xlfn.XLOOKUP(order[[#This Row],[product_id]],products!$A$2:$A$11,products!$C$2:$C$11)</f>
        <v>Electronics</v>
      </c>
      <c r="O488" s="3">
        <f>_xlfn.XLOOKUP(order[[#This Row],[product_id]],Table4[product_id],Table4[cost_price])</f>
        <v>20000</v>
      </c>
      <c r="P488" s="11">
        <f>_xlfn.XLOOKUP(order[[#This Row],[order_id]],shipment[order_id],shipment[ship_date])</f>
        <v>45558</v>
      </c>
      <c r="Q488" s="11">
        <f>_xlfn.XLOOKUP(order[[#This Row],[order_id]],shipment[order_id],shipment[delivery_date])</f>
        <v>45566</v>
      </c>
      <c r="R488" s="3" t="str">
        <f>_xlfn.XLOOKUP(order[[#This Row],[order_id]],shipment[shipment_id],shipment[courier])</f>
        <v>Ekart</v>
      </c>
      <c r="S488" s="3">
        <f>order[[#This Row],[selling_price]]-order[[#This Row],[cost_price]]*order[[#This Row],[quantity]]-order[[#This Row],[discount]]</f>
        <v>17157</v>
      </c>
      <c r="T488" s="3">
        <f>order[[#This Row],[quantity]]*order[[#This Row],[selling_price]]</f>
        <v>40741</v>
      </c>
    </row>
    <row r="489" spans="1:20" x14ac:dyDescent="0.3">
      <c r="A489">
        <v>252</v>
      </c>
      <c r="B489" s="11">
        <v>45306</v>
      </c>
      <c r="C489">
        <v>210</v>
      </c>
      <c r="D489" t="str">
        <f>_xlfn.XLOOKUP(order[[#This Row],[customer_id]],customer[customer_id],customer[customer_name])</f>
        <v>Neha Kapoor</v>
      </c>
      <c r="E489">
        <v>202</v>
      </c>
      <c r="F489">
        <v>4</v>
      </c>
      <c r="G489">
        <v>26761</v>
      </c>
      <c r="H489">
        <v>345</v>
      </c>
      <c r="I489" t="s">
        <v>13</v>
      </c>
      <c r="J489" t="s">
        <v>10</v>
      </c>
      <c r="K489" t="str">
        <f>_xlfn.XLOOKUP(order[[#This Row],[customer_id]],customer[customer_id],customer[city])</f>
        <v>Bangalore</v>
      </c>
      <c r="L489" t="str">
        <f>_xlfn.XLOOKUP(order[[#This Row],[customer_id]],customer[customer_id],customer[state])</f>
        <v>Karnataka</v>
      </c>
      <c r="M489" t="str">
        <f>_xlfn.XLOOKUP(order[[#This Row],[product_id]],products!$A$2:$A$11,products!$B$2:$B$11)</f>
        <v>Samsung Galaxy S21</v>
      </c>
      <c r="N489" s="3" t="str">
        <f>_xlfn.XLOOKUP(order[[#This Row],[product_id]],products!$A$2:$A$11,products!$C$2:$C$11)</f>
        <v>Electronics</v>
      </c>
      <c r="O489" s="3">
        <f>_xlfn.XLOOKUP(order[[#This Row],[product_id]],Table4[product_id],Table4[cost_price])</f>
        <v>45000</v>
      </c>
      <c r="P489" s="11">
        <f>_xlfn.XLOOKUP(order[[#This Row],[order_id]],shipment[order_id],shipment[ship_date])</f>
        <v>45550</v>
      </c>
      <c r="Q489" s="11">
        <f>_xlfn.XLOOKUP(order[[#This Row],[order_id]],shipment[order_id],shipment[delivery_date])</f>
        <v>45557</v>
      </c>
      <c r="R489" s="3" t="str">
        <f>_xlfn.XLOOKUP(order[[#This Row],[order_id]],shipment[shipment_id],shipment[courier])</f>
        <v>BlueDart</v>
      </c>
      <c r="S489" s="3">
        <f>order[[#This Row],[selling_price]]-order[[#This Row],[cost_price]]*order[[#This Row],[quantity]]-order[[#This Row],[discount]]</f>
        <v>-153584</v>
      </c>
      <c r="T489" s="3">
        <f>order[[#This Row],[quantity]]*order[[#This Row],[selling_price]]</f>
        <v>107044</v>
      </c>
    </row>
    <row r="490" spans="1:20" x14ac:dyDescent="0.3">
      <c r="A490">
        <v>843</v>
      </c>
      <c r="B490" s="11">
        <v>45565</v>
      </c>
      <c r="C490">
        <v>202</v>
      </c>
      <c r="D490" t="str">
        <f>_xlfn.XLOOKUP(order[[#This Row],[customer_id]],customer[customer_id],customer[customer_name])</f>
        <v>Meera Joshi</v>
      </c>
      <c r="E490">
        <v>202</v>
      </c>
      <c r="F490">
        <v>2</v>
      </c>
      <c r="G490">
        <v>39015</v>
      </c>
      <c r="H490">
        <v>314</v>
      </c>
      <c r="I490" t="s">
        <v>9</v>
      </c>
      <c r="J490" t="s">
        <v>10</v>
      </c>
      <c r="K490" t="str">
        <f>_xlfn.XLOOKUP(order[[#This Row],[customer_id]],customer[customer_id],customer[city])</f>
        <v>Chennai</v>
      </c>
      <c r="L490" t="str">
        <f>_xlfn.XLOOKUP(order[[#This Row],[customer_id]],customer[customer_id],customer[state])</f>
        <v>Tamil Nadu</v>
      </c>
      <c r="M490" t="str">
        <f>_xlfn.XLOOKUP(order[[#This Row],[product_id]],products!$A$2:$A$11,products!$B$2:$B$11)</f>
        <v>Samsung Galaxy S21</v>
      </c>
      <c r="N490" s="3" t="str">
        <f>_xlfn.XLOOKUP(order[[#This Row],[product_id]],products!$A$2:$A$11,products!$C$2:$C$11)</f>
        <v>Electronics</v>
      </c>
      <c r="O490" s="3">
        <f>_xlfn.XLOOKUP(order[[#This Row],[product_id]],Table4[product_id],Table4[cost_price])</f>
        <v>45000</v>
      </c>
      <c r="P490" s="11">
        <f>_xlfn.XLOOKUP(order[[#This Row],[order_id]],shipment[order_id],shipment[ship_date])</f>
        <v>45328</v>
      </c>
      <c r="Q490" s="11">
        <f>_xlfn.XLOOKUP(order[[#This Row],[order_id]],shipment[order_id],shipment[delivery_date])</f>
        <v>45336</v>
      </c>
      <c r="R490" s="3" t="str">
        <f>_xlfn.XLOOKUP(order[[#This Row],[order_id]],shipment[shipment_id],shipment[courier])</f>
        <v>Delhivery</v>
      </c>
      <c r="S490" s="3">
        <f>order[[#This Row],[selling_price]]-order[[#This Row],[cost_price]]*order[[#This Row],[quantity]]-order[[#This Row],[discount]]</f>
        <v>-51299</v>
      </c>
      <c r="T490" s="3">
        <f>order[[#This Row],[quantity]]*order[[#This Row],[selling_price]]</f>
        <v>78030</v>
      </c>
    </row>
    <row r="491" spans="1:20" x14ac:dyDescent="0.3">
      <c r="A491">
        <v>490</v>
      </c>
      <c r="B491" s="11">
        <v>45349</v>
      </c>
      <c r="C491">
        <v>237</v>
      </c>
      <c r="D491" t="str">
        <f>_xlfn.XLOOKUP(order[[#This Row],[customer_id]],customer[customer_id],customer[customer_name])</f>
        <v>Ananya Gupta</v>
      </c>
      <c r="E491">
        <v>203</v>
      </c>
      <c r="F491">
        <v>2</v>
      </c>
      <c r="G491">
        <v>35169</v>
      </c>
      <c r="H491">
        <v>1577</v>
      </c>
      <c r="I491" t="s">
        <v>13</v>
      </c>
      <c r="J491" t="s">
        <v>14</v>
      </c>
      <c r="K491" t="str">
        <f>_xlfn.XLOOKUP(order[[#This Row],[customer_id]],customer[customer_id],customer[city])</f>
        <v>Hyderabad</v>
      </c>
      <c r="L491" t="str">
        <f>_xlfn.XLOOKUP(order[[#This Row],[customer_id]],customer[customer_id],customer[state])</f>
        <v>Telangana</v>
      </c>
      <c r="M491" t="str">
        <f>_xlfn.XLOOKUP(order[[#This Row],[product_id]],products!$A$2:$A$11,products!$B$2:$B$11)</f>
        <v>Nike Air Max Shoes</v>
      </c>
      <c r="N491" s="3" t="str">
        <f>_xlfn.XLOOKUP(order[[#This Row],[product_id]],products!$A$2:$A$11,products!$C$2:$C$11)</f>
        <v>Fashion</v>
      </c>
      <c r="O491" s="3">
        <f>_xlfn.XLOOKUP(order[[#This Row],[product_id]],Table4[product_id],Table4[cost_price])</f>
        <v>4000</v>
      </c>
      <c r="P491" s="11">
        <f>_xlfn.XLOOKUP(order[[#This Row],[order_id]],shipment[order_id],shipment[ship_date])</f>
        <v>45648</v>
      </c>
      <c r="Q491" s="11">
        <f>_xlfn.XLOOKUP(order[[#This Row],[order_id]],shipment[order_id],shipment[delivery_date])</f>
        <v>45652</v>
      </c>
      <c r="R491" s="3" t="str">
        <f>_xlfn.XLOOKUP(order[[#This Row],[order_id]],shipment[shipment_id],shipment[courier])</f>
        <v>Delhivery</v>
      </c>
      <c r="S491" s="3">
        <f>order[[#This Row],[selling_price]]-order[[#This Row],[cost_price]]*order[[#This Row],[quantity]]-order[[#This Row],[discount]]</f>
        <v>25592</v>
      </c>
      <c r="T491" s="3">
        <f>order[[#This Row],[quantity]]*order[[#This Row],[selling_price]]</f>
        <v>70338</v>
      </c>
    </row>
    <row r="492" spans="1:20" x14ac:dyDescent="0.3">
      <c r="A492">
        <v>55</v>
      </c>
      <c r="B492" s="11">
        <v>45499</v>
      </c>
      <c r="C492">
        <v>193</v>
      </c>
      <c r="D492" t="str">
        <f>_xlfn.XLOOKUP(order[[#This Row],[customer_id]],customer[customer_id],customer[customer_name])</f>
        <v>Vikram Singh</v>
      </c>
      <c r="E492">
        <v>202</v>
      </c>
      <c r="F492">
        <v>2</v>
      </c>
      <c r="G492">
        <v>31176</v>
      </c>
      <c r="H492">
        <v>296</v>
      </c>
      <c r="I492" t="s">
        <v>15</v>
      </c>
      <c r="J492" t="s">
        <v>14</v>
      </c>
      <c r="K492" t="str">
        <f>_xlfn.XLOOKUP(order[[#This Row],[customer_id]],customer[customer_id],customer[city])</f>
        <v>Mumbai</v>
      </c>
      <c r="L492" t="str">
        <f>_xlfn.XLOOKUP(order[[#This Row],[customer_id]],customer[customer_id],customer[state])</f>
        <v>Maharashtra</v>
      </c>
      <c r="M492" t="str">
        <f>_xlfn.XLOOKUP(order[[#This Row],[product_id]],products!$A$2:$A$11,products!$B$2:$B$11)</f>
        <v>Samsung Galaxy S21</v>
      </c>
      <c r="N492" s="3" t="str">
        <f>_xlfn.XLOOKUP(order[[#This Row],[product_id]],products!$A$2:$A$11,products!$C$2:$C$11)</f>
        <v>Electronics</v>
      </c>
      <c r="O492" s="3">
        <f>_xlfn.XLOOKUP(order[[#This Row],[product_id]],Table4[product_id],Table4[cost_price])</f>
        <v>45000</v>
      </c>
      <c r="P492" s="11">
        <f>_xlfn.XLOOKUP(order[[#This Row],[order_id]],shipment[order_id],shipment[ship_date])</f>
        <v>45545</v>
      </c>
      <c r="Q492" s="11">
        <f>_xlfn.XLOOKUP(order[[#This Row],[order_id]],shipment[order_id],shipment[delivery_date])</f>
        <v>45555</v>
      </c>
      <c r="R492" s="3" t="str">
        <f>_xlfn.XLOOKUP(order[[#This Row],[order_id]],shipment[shipment_id],shipment[courier])</f>
        <v>Delhivery</v>
      </c>
      <c r="S492" s="3">
        <f>order[[#This Row],[selling_price]]-order[[#This Row],[cost_price]]*order[[#This Row],[quantity]]-order[[#This Row],[discount]]</f>
        <v>-59120</v>
      </c>
      <c r="T492" s="3">
        <f>order[[#This Row],[quantity]]*order[[#This Row],[selling_price]]</f>
        <v>62352</v>
      </c>
    </row>
    <row r="493" spans="1:20" x14ac:dyDescent="0.3">
      <c r="A493">
        <v>492</v>
      </c>
      <c r="B493" s="11">
        <v>45644</v>
      </c>
      <c r="C493">
        <v>141</v>
      </c>
      <c r="D493" t="str">
        <f>_xlfn.XLOOKUP(order[[#This Row],[customer_id]],customer[customer_id],customer[customer_name])</f>
        <v>Neha Kapoor</v>
      </c>
      <c r="E493">
        <v>205</v>
      </c>
      <c r="F493">
        <v>4</v>
      </c>
      <c r="G493">
        <v>23185</v>
      </c>
      <c r="H493">
        <v>4876</v>
      </c>
      <c r="I493" t="s">
        <v>9</v>
      </c>
      <c r="J493" t="s">
        <v>14</v>
      </c>
      <c r="K493" t="str">
        <f>_xlfn.XLOOKUP(order[[#This Row],[customer_id]],customer[customer_id],customer[city])</f>
        <v>Ahmedabad</v>
      </c>
      <c r="L493" t="str">
        <f>_xlfn.XLOOKUP(order[[#This Row],[customer_id]],customer[customer_id],customer[state])</f>
        <v>Gujarat</v>
      </c>
      <c r="M493" t="str">
        <f>_xlfn.XLOOKUP(order[[#This Row],[product_id]],products!$A$2:$A$11,products!$B$2:$B$11)</f>
        <v>Prestige Pressure Cooker 5L</v>
      </c>
      <c r="N493" s="3" t="str">
        <f>_xlfn.XLOOKUP(order[[#This Row],[product_id]],products!$A$2:$A$11,products!$C$2:$C$11)</f>
        <v>Home &amp; Kitchen</v>
      </c>
      <c r="O493" s="3">
        <f>_xlfn.XLOOKUP(order[[#This Row],[product_id]],Table4[product_id],Table4[cost_price])</f>
        <v>1200</v>
      </c>
      <c r="P493" s="11">
        <f>_xlfn.XLOOKUP(order[[#This Row],[order_id]],shipment[order_id],shipment[ship_date])</f>
        <v>45651</v>
      </c>
      <c r="Q493" s="11">
        <f>_xlfn.XLOOKUP(order[[#This Row],[order_id]],shipment[order_id],shipment[delivery_date])</f>
        <v>45657</v>
      </c>
      <c r="R493" s="3" t="str">
        <f>_xlfn.XLOOKUP(order[[#This Row],[order_id]],shipment[shipment_id],shipment[courier])</f>
        <v>Ekart</v>
      </c>
      <c r="S493" s="3">
        <f>order[[#This Row],[selling_price]]-order[[#This Row],[cost_price]]*order[[#This Row],[quantity]]-order[[#This Row],[discount]]</f>
        <v>13509</v>
      </c>
      <c r="T493" s="3">
        <f>order[[#This Row],[quantity]]*order[[#This Row],[selling_price]]</f>
        <v>92740</v>
      </c>
    </row>
    <row r="494" spans="1:20" x14ac:dyDescent="0.3">
      <c r="A494">
        <v>493</v>
      </c>
      <c r="B494" s="11">
        <v>45553</v>
      </c>
      <c r="C494">
        <v>280</v>
      </c>
      <c r="D494" t="str">
        <f>_xlfn.XLOOKUP(order[[#This Row],[customer_id]],customer[customer_id],customer[customer_name])</f>
        <v>Aarav Sharma</v>
      </c>
      <c r="E494">
        <v>208</v>
      </c>
      <c r="F494">
        <v>1</v>
      </c>
      <c r="G494">
        <v>38934</v>
      </c>
      <c r="H494">
        <v>1500</v>
      </c>
      <c r="I494" t="s">
        <v>15</v>
      </c>
      <c r="J494" t="s">
        <v>12</v>
      </c>
      <c r="K494" t="str">
        <f>_xlfn.XLOOKUP(order[[#This Row],[customer_id]],customer[customer_id],customer[city])</f>
        <v>Hyderabad</v>
      </c>
      <c r="L494" t="str">
        <f>_xlfn.XLOOKUP(order[[#This Row],[customer_id]],customer[customer_id],customer[state])</f>
        <v>Telangana</v>
      </c>
      <c r="M494" t="str">
        <f>_xlfn.XLOOKUP(order[[#This Row],[product_id]],products!$A$2:$A$11,products!$B$2:$B$11)</f>
        <v>Adidas Ultraboost Shoes</v>
      </c>
      <c r="N494" s="3" t="str">
        <f>_xlfn.XLOOKUP(order[[#This Row],[product_id]],products!$A$2:$A$11,products!$C$2:$C$11)</f>
        <v>Fashion</v>
      </c>
      <c r="O494" s="3">
        <f>_xlfn.XLOOKUP(order[[#This Row],[product_id]],Table4[product_id],Table4[cost_price])</f>
        <v>9000</v>
      </c>
      <c r="P494" s="11">
        <f>_xlfn.XLOOKUP(order[[#This Row],[order_id]],shipment[order_id],shipment[ship_date])</f>
        <v>45416</v>
      </c>
      <c r="Q494" s="11">
        <f>_xlfn.XLOOKUP(order[[#This Row],[order_id]],shipment[order_id],shipment[delivery_date])</f>
        <v>45426</v>
      </c>
      <c r="R494" s="3" t="str">
        <f>_xlfn.XLOOKUP(order[[#This Row],[order_id]],shipment[shipment_id],shipment[courier])</f>
        <v>BlueDart</v>
      </c>
      <c r="S494" s="3">
        <f>order[[#This Row],[selling_price]]-order[[#This Row],[cost_price]]*order[[#This Row],[quantity]]-order[[#This Row],[discount]]</f>
        <v>28434</v>
      </c>
      <c r="T494" s="3">
        <f>order[[#This Row],[quantity]]*order[[#This Row],[selling_price]]</f>
        <v>38934</v>
      </c>
    </row>
    <row r="495" spans="1:20" x14ac:dyDescent="0.3">
      <c r="A495">
        <v>494</v>
      </c>
      <c r="B495" s="11">
        <v>45364</v>
      </c>
      <c r="C495">
        <v>286</v>
      </c>
      <c r="D495" t="str">
        <f>_xlfn.XLOOKUP(order[[#This Row],[customer_id]],customer[customer_id],customer[customer_name])</f>
        <v>Arjun Nair</v>
      </c>
      <c r="E495">
        <v>206</v>
      </c>
      <c r="F495">
        <v>3</v>
      </c>
      <c r="G495">
        <v>33520</v>
      </c>
      <c r="H495">
        <v>4172</v>
      </c>
      <c r="I495" t="s">
        <v>9</v>
      </c>
      <c r="J495" t="s">
        <v>10</v>
      </c>
      <c r="K495" t="str">
        <f>_xlfn.XLOOKUP(order[[#This Row],[customer_id]],customer[customer_id],customer[city])</f>
        <v>Hyderabad</v>
      </c>
      <c r="L495" t="str">
        <f>_xlfn.XLOOKUP(order[[#This Row],[customer_id]],customer[customer_id],customer[state])</f>
        <v>Telangana</v>
      </c>
      <c r="M495" t="str">
        <f>_xlfn.XLOOKUP(order[[#This Row],[product_id]],products!$A$2:$A$11,products!$B$2:$B$11)</f>
        <v>Philips Air Fryer</v>
      </c>
      <c r="N495" s="3" t="str">
        <f>_xlfn.XLOOKUP(order[[#This Row],[product_id]],products!$A$2:$A$11,products!$C$2:$C$11)</f>
        <v>Home &amp; Kitchen</v>
      </c>
      <c r="O495" s="3">
        <f>_xlfn.XLOOKUP(order[[#This Row],[product_id]],Table4[product_id],Table4[cost_price])</f>
        <v>7000</v>
      </c>
      <c r="P495" s="11">
        <f>_xlfn.XLOOKUP(order[[#This Row],[order_id]],shipment[order_id],shipment[ship_date])</f>
        <v>45596</v>
      </c>
      <c r="Q495" s="11">
        <f>_xlfn.XLOOKUP(order[[#This Row],[order_id]],shipment[order_id],shipment[delivery_date])</f>
        <v>45598</v>
      </c>
      <c r="R495" s="3" t="str">
        <f>_xlfn.XLOOKUP(order[[#This Row],[order_id]],shipment[shipment_id],shipment[courier])</f>
        <v>Delhivery</v>
      </c>
      <c r="S495" s="3">
        <f>order[[#This Row],[selling_price]]-order[[#This Row],[cost_price]]*order[[#This Row],[quantity]]-order[[#This Row],[discount]]</f>
        <v>8348</v>
      </c>
      <c r="T495" s="3">
        <f>order[[#This Row],[quantity]]*order[[#This Row],[selling_price]]</f>
        <v>100560</v>
      </c>
    </row>
    <row r="496" spans="1:20" x14ac:dyDescent="0.3">
      <c r="A496">
        <v>495</v>
      </c>
      <c r="B496" s="11">
        <v>45425</v>
      </c>
      <c r="C496">
        <v>185</v>
      </c>
      <c r="D496" t="str">
        <f>_xlfn.XLOOKUP(order[[#This Row],[customer_id]],customer[customer_id],customer[customer_name])</f>
        <v>Karan Patel</v>
      </c>
      <c r="E496">
        <v>205</v>
      </c>
      <c r="F496">
        <v>4</v>
      </c>
      <c r="G496">
        <v>23360</v>
      </c>
      <c r="H496">
        <v>2685</v>
      </c>
      <c r="I496" t="s">
        <v>9</v>
      </c>
      <c r="J496" t="s">
        <v>14</v>
      </c>
      <c r="K496" t="str">
        <f>_xlfn.XLOOKUP(order[[#This Row],[customer_id]],customer[customer_id],customer[city])</f>
        <v>Pune</v>
      </c>
      <c r="L496" t="str">
        <f>_xlfn.XLOOKUP(order[[#This Row],[customer_id]],customer[customer_id],customer[state])</f>
        <v>Maharashtra</v>
      </c>
      <c r="M496" t="str">
        <f>_xlfn.XLOOKUP(order[[#This Row],[product_id]],products!$A$2:$A$11,products!$B$2:$B$11)</f>
        <v>Prestige Pressure Cooker 5L</v>
      </c>
      <c r="N496" s="3" t="str">
        <f>_xlfn.XLOOKUP(order[[#This Row],[product_id]],products!$A$2:$A$11,products!$C$2:$C$11)</f>
        <v>Home &amp; Kitchen</v>
      </c>
      <c r="O496" s="3">
        <f>_xlfn.XLOOKUP(order[[#This Row],[product_id]],Table4[product_id],Table4[cost_price])</f>
        <v>1200</v>
      </c>
      <c r="P496" s="11">
        <f>_xlfn.XLOOKUP(order[[#This Row],[order_id]],shipment[order_id],shipment[ship_date])</f>
        <v>45613</v>
      </c>
      <c r="Q496" s="11">
        <f>_xlfn.XLOOKUP(order[[#This Row],[order_id]],shipment[order_id],shipment[delivery_date])</f>
        <v>45620</v>
      </c>
      <c r="R496" s="3" t="str">
        <f>_xlfn.XLOOKUP(order[[#This Row],[order_id]],shipment[shipment_id],shipment[courier])</f>
        <v>BlueDart</v>
      </c>
      <c r="S496" s="3">
        <f>order[[#This Row],[selling_price]]-order[[#This Row],[cost_price]]*order[[#This Row],[quantity]]-order[[#This Row],[discount]]</f>
        <v>15875</v>
      </c>
      <c r="T496" s="3">
        <f>order[[#This Row],[quantity]]*order[[#This Row],[selling_price]]</f>
        <v>93440</v>
      </c>
    </row>
    <row r="497" spans="1:20" x14ac:dyDescent="0.3">
      <c r="A497">
        <v>436</v>
      </c>
      <c r="B497" s="11">
        <v>45458</v>
      </c>
      <c r="C497">
        <v>255</v>
      </c>
      <c r="D497" t="str">
        <f>_xlfn.XLOOKUP(order[[#This Row],[customer_id]],customer[customer_id],customer[customer_name])</f>
        <v>Meera Joshi</v>
      </c>
      <c r="E497">
        <v>202</v>
      </c>
      <c r="F497">
        <v>1</v>
      </c>
      <c r="G497">
        <v>40944</v>
      </c>
      <c r="H497">
        <v>284</v>
      </c>
      <c r="I497" t="s">
        <v>11</v>
      </c>
      <c r="J497" t="s">
        <v>10</v>
      </c>
      <c r="K497" t="str">
        <f>_xlfn.XLOOKUP(order[[#This Row],[customer_id]],customer[customer_id],customer[city])</f>
        <v>Ahmedabad</v>
      </c>
      <c r="L497" t="str">
        <f>_xlfn.XLOOKUP(order[[#This Row],[customer_id]],customer[customer_id],customer[state])</f>
        <v>Gujarat</v>
      </c>
      <c r="M497" t="str">
        <f>_xlfn.XLOOKUP(order[[#This Row],[product_id]],products!$A$2:$A$11,products!$B$2:$B$11)</f>
        <v>Samsung Galaxy S21</v>
      </c>
      <c r="N497" s="3" t="str">
        <f>_xlfn.XLOOKUP(order[[#This Row],[product_id]],products!$A$2:$A$11,products!$C$2:$C$11)</f>
        <v>Electronics</v>
      </c>
      <c r="O497" s="3">
        <f>_xlfn.XLOOKUP(order[[#This Row],[product_id]],Table4[product_id],Table4[cost_price])</f>
        <v>45000</v>
      </c>
      <c r="P497" s="11">
        <f>_xlfn.XLOOKUP(order[[#This Row],[order_id]],shipment[order_id],shipment[ship_date])</f>
        <v>45423</v>
      </c>
      <c r="Q497" s="11">
        <f>_xlfn.XLOOKUP(order[[#This Row],[order_id]],shipment[order_id],shipment[delivery_date])</f>
        <v>45426</v>
      </c>
      <c r="R497" s="3" t="str">
        <f>_xlfn.XLOOKUP(order[[#This Row],[order_id]],shipment[shipment_id],shipment[courier])</f>
        <v>DTDC</v>
      </c>
      <c r="S497" s="3">
        <f>order[[#This Row],[selling_price]]-order[[#This Row],[cost_price]]*order[[#This Row],[quantity]]-order[[#This Row],[discount]]</f>
        <v>-4340</v>
      </c>
      <c r="T497" s="3">
        <f>order[[#This Row],[quantity]]*order[[#This Row],[selling_price]]</f>
        <v>40944</v>
      </c>
    </row>
    <row r="498" spans="1:20" x14ac:dyDescent="0.3">
      <c r="A498">
        <v>497</v>
      </c>
      <c r="B498" s="11">
        <v>45655</v>
      </c>
      <c r="C498">
        <v>261</v>
      </c>
      <c r="D498" t="str">
        <f>_xlfn.XLOOKUP(order[[#This Row],[customer_id]],customer[customer_id],customer[customer_name])</f>
        <v>Siddharth Jain</v>
      </c>
      <c r="E498">
        <v>203</v>
      </c>
      <c r="F498">
        <v>3</v>
      </c>
      <c r="G498">
        <v>56259</v>
      </c>
      <c r="H498">
        <v>2126</v>
      </c>
      <c r="I498" t="s">
        <v>9</v>
      </c>
      <c r="J498" t="s">
        <v>10</v>
      </c>
      <c r="K498" t="str">
        <f>_xlfn.XLOOKUP(order[[#This Row],[customer_id]],customer[customer_id],customer[city])</f>
        <v>Hyderabad</v>
      </c>
      <c r="L498" t="str">
        <f>_xlfn.XLOOKUP(order[[#This Row],[customer_id]],customer[customer_id],customer[state])</f>
        <v>Telangana</v>
      </c>
      <c r="M498" t="str">
        <f>_xlfn.XLOOKUP(order[[#This Row],[product_id]],products!$A$2:$A$11,products!$B$2:$B$11)</f>
        <v>Nike Air Max Shoes</v>
      </c>
      <c r="N498" s="3" t="str">
        <f>_xlfn.XLOOKUP(order[[#This Row],[product_id]],products!$A$2:$A$11,products!$C$2:$C$11)</f>
        <v>Fashion</v>
      </c>
      <c r="O498" s="3">
        <f>_xlfn.XLOOKUP(order[[#This Row],[product_id]],Table4[product_id],Table4[cost_price])</f>
        <v>4000</v>
      </c>
      <c r="P498" s="11">
        <f>_xlfn.XLOOKUP(order[[#This Row],[order_id]],shipment[order_id],shipment[ship_date])</f>
        <v>45421</v>
      </c>
      <c r="Q498" s="11">
        <f>_xlfn.XLOOKUP(order[[#This Row],[order_id]],shipment[order_id],shipment[delivery_date])</f>
        <v>45429</v>
      </c>
      <c r="R498" s="3" t="str">
        <f>_xlfn.XLOOKUP(order[[#This Row],[order_id]],shipment[shipment_id],shipment[courier])</f>
        <v>Ekart</v>
      </c>
      <c r="S498" s="3">
        <f>order[[#This Row],[selling_price]]-order[[#This Row],[cost_price]]*order[[#This Row],[quantity]]-order[[#This Row],[discount]]</f>
        <v>42133</v>
      </c>
      <c r="T498" s="3">
        <f>order[[#This Row],[quantity]]*order[[#This Row],[selling_price]]</f>
        <v>168777</v>
      </c>
    </row>
    <row r="499" spans="1:20" x14ac:dyDescent="0.3">
      <c r="A499">
        <v>498</v>
      </c>
      <c r="B499" s="11">
        <v>45301</v>
      </c>
      <c r="C499">
        <v>153</v>
      </c>
      <c r="D499" t="str">
        <f>_xlfn.XLOOKUP(order[[#This Row],[customer_id]],customer[customer_id],customer[customer_name])</f>
        <v>Meera Joshi</v>
      </c>
      <c r="E499">
        <v>207</v>
      </c>
      <c r="F499">
        <v>1</v>
      </c>
      <c r="G499">
        <v>51283</v>
      </c>
      <c r="H499">
        <v>3746</v>
      </c>
      <c r="I499" t="s">
        <v>11</v>
      </c>
      <c r="J499" t="s">
        <v>10</v>
      </c>
      <c r="K499" t="str">
        <f>_xlfn.XLOOKUP(order[[#This Row],[customer_id]],customer[customer_id],customer[city])</f>
        <v>Ahmedabad</v>
      </c>
      <c r="L499" t="str">
        <f>_xlfn.XLOOKUP(order[[#This Row],[customer_id]],customer[customer_id],customer[state])</f>
        <v>Gujarat</v>
      </c>
      <c r="M499" t="str">
        <f>_xlfn.XLOOKUP(order[[#This Row],[product_id]],products!$A$2:$A$11,products!$B$2:$B$11)</f>
        <v>Sony WH-1000XM4 Headphones</v>
      </c>
      <c r="N499" s="3" t="str">
        <f>_xlfn.XLOOKUP(order[[#This Row],[product_id]],products!$A$2:$A$11,products!$C$2:$C$11)</f>
        <v>Electronics</v>
      </c>
      <c r="O499" s="3">
        <f>_xlfn.XLOOKUP(order[[#This Row],[product_id]],Table4[product_id],Table4[cost_price])</f>
        <v>20000</v>
      </c>
      <c r="P499" s="11">
        <f>_xlfn.XLOOKUP(order[[#This Row],[order_id]],shipment[order_id],shipment[ship_date])</f>
        <v>45552</v>
      </c>
      <c r="Q499" s="11">
        <f>_xlfn.XLOOKUP(order[[#This Row],[order_id]],shipment[order_id],shipment[delivery_date])</f>
        <v>45557</v>
      </c>
      <c r="R499" s="3" t="str">
        <f>_xlfn.XLOOKUP(order[[#This Row],[order_id]],shipment[shipment_id],shipment[courier])</f>
        <v>DTDC</v>
      </c>
      <c r="S499" s="3">
        <f>order[[#This Row],[selling_price]]-order[[#This Row],[cost_price]]*order[[#This Row],[quantity]]-order[[#This Row],[discount]]</f>
        <v>27537</v>
      </c>
      <c r="T499" s="3">
        <f>order[[#This Row],[quantity]]*order[[#This Row],[selling_price]]</f>
        <v>51283</v>
      </c>
    </row>
    <row r="500" spans="1:20" x14ac:dyDescent="0.3">
      <c r="A500">
        <v>499</v>
      </c>
      <c r="B500" s="11">
        <v>45369</v>
      </c>
      <c r="C500">
        <v>118</v>
      </c>
      <c r="D500" t="str">
        <f>_xlfn.XLOOKUP(order[[#This Row],[customer_id]],customer[customer_id],customer[customer_name])</f>
        <v>Ananya Gupta</v>
      </c>
      <c r="E500">
        <v>204</v>
      </c>
      <c r="F500">
        <v>1</v>
      </c>
      <c r="G500">
        <v>52073</v>
      </c>
      <c r="H500">
        <v>4312</v>
      </c>
      <c r="I500" t="s">
        <v>13</v>
      </c>
      <c r="J500" t="s">
        <v>14</v>
      </c>
      <c r="K500" t="str">
        <f>_xlfn.XLOOKUP(order[[#This Row],[customer_id]],customer[customer_id],customer[city])</f>
        <v>Pune</v>
      </c>
      <c r="L500" t="str">
        <f>_xlfn.XLOOKUP(order[[#This Row],[customer_id]],customer[customer_id],customer[state])</f>
        <v>Maharashtra</v>
      </c>
      <c r="M500" t="str">
        <f>_xlfn.XLOOKUP(order[[#This Row],[product_id]],products!$A$2:$A$11,products!$B$2:$B$11)</f>
        <v>Levi's Slim Fit Jeans</v>
      </c>
      <c r="N500" s="3" t="str">
        <f>_xlfn.XLOOKUP(order[[#This Row],[product_id]],products!$A$2:$A$11,products!$C$2:$C$11)</f>
        <v>Fashion</v>
      </c>
      <c r="O500" s="3">
        <f>_xlfn.XLOOKUP(order[[#This Row],[product_id]],Table4[product_id],Table4[cost_price])</f>
        <v>1800</v>
      </c>
      <c r="P500" s="11">
        <f>_xlfn.XLOOKUP(order[[#This Row],[order_id]],shipment[order_id],shipment[ship_date])</f>
        <v>45652</v>
      </c>
      <c r="Q500" s="11">
        <f>_xlfn.XLOOKUP(order[[#This Row],[order_id]],shipment[order_id],shipment[delivery_date])</f>
        <v>45658</v>
      </c>
      <c r="R500" s="3" t="str">
        <f>_xlfn.XLOOKUP(order[[#This Row],[order_id]],shipment[shipment_id],shipment[courier])</f>
        <v>Ekart</v>
      </c>
      <c r="S500" s="3">
        <f>order[[#This Row],[selling_price]]-order[[#This Row],[cost_price]]*order[[#This Row],[quantity]]-order[[#This Row],[discount]]</f>
        <v>45961</v>
      </c>
      <c r="T500" s="3">
        <f>order[[#This Row],[quantity]]*order[[#This Row],[selling_price]]</f>
        <v>52073</v>
      </c>
    </row>
    <row r="501" spans="1:20" x14ac:dyDescent="0.3">
      <c r="A501">
        <v>847</v>
      </c>
      <c r="B501" s="11">
        <v>45606</v>
      </c>
      <c r="C501">
        <v>103</v>
      </c>
      <c r="D501" t="str">
        <f>_xlfn.XLOOKUP(order[[#This Row],[customer_id]],customer[customer_id],customer[customer_name])</f>
        <v>Vikram Singh</v>
      </c>
      <c r="E501">
        <v>202</v>
      </c>
      <c r="F501">
        <v>4</v>
      </c>
      <c r="G501">
        <v>33113</v>
      </c>
      <c r="H501">
        <v>252</v>
      </c>
      <c r="I501" t="s">
        <v>11</v>
      </c>
      <c r="J501" t="s">
        <v>14</v>
      </c>
      <c r="K501" t="str">
        <f>_xlfn.XLOOKUP(order[[#This Row],[customer_id]],customer[customer_id],customer[city])</f>
        <v>Delhi</v>
      </c>
      <c r="L501" t="str">
        <f>_xlfn.XLOOKUP(order[[#This Row],[customer_id]],customer[customer_id],customer[state])</f>
        <v>Delhi</v>
      </c>
      <c r="M501" t="str">
        <f>_xlfn.XLOOKUP(order[[#This Row],[product_id]],products!$A$2:$A$11,products!$B$2:$B$11)</f>
        <v>Samsung Galaxy S21</v>
      </c>
      <c r="N501" s="3" t="str">
        <f>_xlfn.XLOOKUP(order[[#This Row],[product_id]],products!$A$2:$A$11,products!$C$2:$C$11)</f>
        <v>Electronics</v>
      </c>
      <c r="O501" s="3">
        <f>_xlfn.XLOOKUP(order[[#This Row],[product_id]],Table4[product_id],Table4[cost_price])</f>
        <v>45000</v>
      </c>
      <c r="P501" s="11">
        <f>_xlfn.XLOOKUP(order[[#This Row],[order_id]],shipment[order_id],shipment[ship_date])</f>
        <v>45552</v>
      </c>
      <c r="Q501" s="11">
        <f>_xlfn.XLOOKUP(order[[#This Row],[order_id]],shipment[order_id],shipment[delivery_date])</f>
        <v>45559</v>
      </c>
      <c r="R501" s="3" t="str">
        <f>_xlfn.XLOOKUP(order[[#This Row],[order_id]],shipment[shipment_id],shipment[courier])</f>
        <v>Ekart</v>
      </c>
      <c r="S501" s="3">
        <f>order[[#This Row],[selling_price]]-order[[#This Row],[cost_price]]*order[[#This Row],[quantity]]-order[[#This Row],[discount]]</f>
        <v>-147139</v>
      </c>
      <c r="T501" s="3">
        <f>order[[#This Row],[quantity]]*order[[#This Row],[selling_price]]</f>
        <v>132452</v>
      </c>
    </row>
    <row r="502" spans="1:20" x14ac:dyDescent="0.3">
      <c r="A502">
        <v>558</v>
      </c>
      <c r="B502" s="11">
        <v>45441</v>
      </c>
      <c r="C502">
        <v>220</v>
      </c>
      <c r="D502" t="str">
        <f>_xlfn.XLOOKUP(order[[#This Row],[customer_id]],customer[customer_id],customer[customer_name])</f>
        <v>Rahul Mehta</v>
      </c>
      <c r="E502">
        <v>202</v>
      </c>
      <c r="F502">
        <v>3</v>
      </c>
      <c r="G502">
        <v>66786</v>
      </c>
      <c r="H502">
        <v>251</v>
      </c>
      <c r="I502" t="s">
        <v>11</v>
      </c>
      <c r="J502" t="s">
        <v>10</v>
      </c>
      <c r="K502" t="str">
        <f>_xlfn.XLOOKUP(order[[#This Row],[customer_id]],customer[customer_id],customer[city])</f>
        <v>Chennai</v>
      </c>
      <c r="L502" t="str">
        <f>_xlfn.XLOOKUP(order[[#This Row],[customer_id]],customer[customer_id],customer[state])</f>
        <v>Tamil Nadu</v>
      </c>
      <c r="M502" t="str">
        <f>_xlfn.XLOOKUP(order[[#This Row],[product_id]],products!$A$2:$A$11,products!$B$2:$B$11)</f>
        <v>Samsung Galaxy S21</v>
      </c>
      <c r="N502" s="3" t="str">
        <f>_xlfn.XLOOKUP(order[[#This Row],[product_id]],products!$A$2:$A$11,products!$C$2:$C$11)</f>
        <v>Electronics</v>
      </c>
      <c r="O502" s="3">
        <f>_xlfn.XLOOKUP(order[[#This Row],[product_id]],Table4[product_id],Table4[cost_price])</f>
        <v>45000</v>
      </c>
      <c r="P502" s="11">
        <f>_xlfn.XLOOKUP(order[[#This Row],[order_id]],shipment[order_id],shipment[ship_date])</f>
        <v>45426</v>
      </c>
      <c r="Q502" s="11">
        <f>_xlfn.XLOOKUP(order[[#This Row],[order_id]],shipment[order_id],shipment[delivery_date])</f>
        <v>45436</v>
      </c>
      <c r="R502" s="3" t="str">
        <f>_xlfn.XLOOKUP(order[[#This Row],[order_id]],shipment[shipment_id],shipment[courier])</f>
        <v>BlueDart</v>
      </c>
      <c r="S502" s="3">
        <f>order[[#This Row],[selling_price]]-order[[#This Row],[cost_price]]*order[[#This Row],[quantity]]-order[[#This Row],[discount]]</f>
        <v>-68465</v>
      </c>
      <c r="T502" s="3">
        <f>order[[#This Row],[quantity]]*order[[#This Row],[selling_price]]</f>
        <v>200358</v>
      </c>
    </row>
    <row r="503" spans="1:20" x14ac:dyDescent="0.3">
      <c r="A503">
        <v>855</v>
      </c>
      <c r="B503" s="11">
        <v>45615</v>
      </c>
      <c r="C503">
        <v>207</v>
      </c>
      <c r="D503" t="str">
        <f>_xlfn.XLOOKUP(order[[#This Row],[customer_id]],customer[customer_id],customer[customer_name])</f>
        <v>Neha Kapoor</v>
      </c>
      <c r="E503">
        <v>202</v>
      </c>
      <c r="F503">
        <v>4</v>
      </c>
      <c r="G503">
        <v>28285</v>
      </c>
      <c r="H503">
        <v>242</v>
      </c>
      <c r="I503" t="s">
        <v>13</v>
      </c>
      <c r="J503" t="s">
        <v>12</v>
      </c>
      <c r="K503" t="str">
        <f>_xlfn.XLOOKUP(order[[#This Row],[customer_id]],customer[customer_id],customer[city])</f>
        <v>Mumbai</v>
      </c>
      <c r="L503" t="str">
        <f>_xlfn.XLOOKUP(order[[#This Row],[customer_id]],customer[customer_id],customer[state])</f>
        <v>Maharashtra</v>
      </c>
      <c r="M503" t="str">
        <f>_xlfn.XLOOKUP(order[[#This Row],[product_id]],products!$A$2:$A$11,products!$B$2:$B$11)</f>
        <v>Samsung Galaxy S21</v>
      </c>
      <c r="N503" s="3" t="str">
        <f>_xlfn.XLOOKUP(order[[#This Row],[product_id]],products!$A$2:$A$11,products!$C$2:$C$11)</f>
        <v>Electronics</v>
      </c>
      <c r="O503" s="3">
        <f>_xlfn.XLOOKUP(order[[#This Row],[product_id]],Table4[product_id],Table4[cost_price])</f>
        <v>45000</v>
      </c>
      <c r="P503" s="11">
        <f>_xlfn.XLOOKUP(order[[#This Row],[order_id]],shipment[order_id],shipment[ship_date])</f>
        <v>45609</v>
      </c>
      <c r="Q503" s="11">
        <f>_xlfn.XLOOKUP(order[[#This Row],[order_id]],shipment[order_id],shipment[delivery_date])</f>
        <v>45619</v>
      </c>
      <c r="R503" s="3" t="str">
        <f>_xlfn.XLOOKUP(order[[#This Row],[order_id]],shipment[shipment_id],shipment[courier])</f>
        <v>DTDC</v>
      </c>
      <c r="S503" s="3">
        <f>order[[#This Row],[selling_price]]-order[[#This Row],[cost_price]]*order[[#This Row],[quantity]]-order[[#This Row],[discount]]</f>
        <v>-151957</v>
      </c>
      <c r="T503" s="3">
        <f>order[[#This Row],[quantity]]*order[[#This Row],[selling_price]]</f>
        <v>113140</v>
      </c>
    </row>
    <row r="504" spans="1:20" x14ac:dyDescent="0.3">
      <c r="A504">
        <v>503</v>
      </c>
      <c r="B504" s="11">
        <v>45633</v>
      </c>
      <c r="C504">
        <v>244</v>
      </c>
      <c r="D504" t="str">
        <f>_xlfn.XLOOKUP(order[[#This Row],[customer_id]],customer[customer_id],customer[customer_name])</f>
        <v>Ananya Gupta</v>
      </c>
      <c r="E504">
        <v>205</v>
      </c>
      <c r="F504">
        <v>1</v>
      </c>
      <c r="G504">
        <v>15472</v>
      </c>
      <c r="H504">
        <v>1559</v>
      </c>
      <c r="I504" t="s">
        <v>13</v>
      </c>
      <c r="J504" t="s">
        <v>14</v>
      </c>
      <c r="K504" t="str">
        <f>_xlfn.XLOOKUP(order[[#This Row],[customer_id]],customer[customer_id],customer[city])</f>
        <v>Chennai</v>
      </c>
      <c r="L504" t="str">
        <f>_xlfn.XLOOKUP(order[[#This Row],[customer_id]],customer[customer_id],customer[state])</f>
        <v>Tamil Nadu</v>
      </c>
      <c r="M504" t="str">
        <f>_xlfn.XLOOKUP(order[[#This Row],[product_id]],products!$A$2:$A$11,products!$B$2:$B$11)</f>
        <v>Prestige Pressure Cooker 5L</v>
      </c>
      <c r="N504" s="3" t="str">
        <f>_xlfn.XLOOKUP(order[[#This Row],[product_id]],products!$A$2:$A$11,products!$C$2:$C$11)</f>
        <v>Home &amp; Kitchen</v>
      </c>
      <c r="O504" s="3">
        <f>_xlfn.XLOOKUP(order[[#This Row],[product_id]],Table4[product_id],Table4[cost_price])</f>
        <v>1200</v>
      </c>
      <c r="P504" s="11">
        <f>_xlfn.XLOOKUP(order[[#This Row],[order_id]],shipment[order_id],shipment[ship_date])</f>
        <v>45333</v>
      </c>
      <c r="Q504" s="11">
        <f>_xlfn.XLOOKUP(order[[#This Row],[order_id]],shipment[order_id],shipment[delivery_date])</f>
        <v>45343</v>
      </c>
      <c r="R504" s="3" t="str">
        <f>_xlfn.XLOOKUP(order[[#This Row],[order_id]],shipment[shipment_id],shipment[courier])</f>
        <v>Ekart</v>
      </c>
      <c r="S504" s="3">
        <f>order[[#This Row],[selling_price]]-order[[#This Row],[cost_price]]*order[[#This Row],[quantity]]-order[[#This Row],[discount]]</f>
        <v>12713</v>
      </c>
      <c r="T504" s="3">
        <f>order[[#This Row],[quantity]]*order[[#This Row],[selling_price]]</f>
        <v>15472</v>
      </c>
    </row>
    <row r="505" spans="1:20" x14ac:dyDescent="0.3">
      <c r="A505">
        <v>888</v>
      </c>
      <c r="B505" s="11">
        <v>45311</v>
      </c>
      <c r="C505">
        <v>272</v>
      </c>
      <c r="D505" t="str">
        <f>_xlfn.XLOOKUP(order[[#This Row],[customer_id]],customer[customer_id],customer[customer_name])</f>
        <v>Manish Yadav</v>
      </c>
      <c r="E505">
        <v>202</v>
      </c>
      <c r="F505">
        <v>4</v>
      </c>
      <c r="G505">
        <v>31108</v>
      </c>
      <c r="H505">
        <v>241</v>
      </c>
      <c r="I505" t="s">
        <v>13</v>
      </c>
      <c r="J505" t="s">
        <v>14</v>
      </c>
      <c r="K505" t="str">
        <f>_xlfn.XLOOKUP(order[[#This Row],[customer_id]],customer[customer_id],customer[city])</f>
        <v>Hyderabad</v>
      </c>
      <c r="L505" t="str">
        <f>_xlfn.XLOOKUP(order[[#This Row],[customer_id]],customer[customer_id],customer[state])</f>
        <v>Telangana</v>
      </c>
      <c r="M505" t="str">
        <f>_xlfn.XLOOKUP(order[[#This Row],[product_id]],products!$A$2:$A$11,products!$B$2:$B$11)</f>
        <v>Samsung Galaxy S21</v>
      </c>
      <c r="N505" s="3" t="str">
        <f>_xlfn.XLOOKUP(order[[#This Row],[product_id]],products!$A$2:$A$11,products!$C$2:$C$11)</f>
        <v>Electronics</v>
      </c>
      <c r="O505" s="3">
        <f>_xlfn.XLOOKUP(order[[#This Row],[product_id]],Table4[product_id],Table4[cost_price])</f>
        <v>45000</v>
      </c>
      <c r="P505" s="11">
        <f>_xlfn.XLOOKUP(order[[#This Row],[order_id]],shipment[order_id],shipment[ship_date])</f>
        <v>45302</v>
      </c>
      <c r="Q505" s="11">
        <f>_xlfn.XLOOKUP(order[[#This Row],[order_id]],shipment[order_id],shipment[delivery_date])</f>
        <v>45311</v>
      </c>
      <c r="R505" s="3" t="str">
        <f>_xlfn.XLOOKUP(order[[#This Row],[order_id]],shipment[shipment_id],shipment[courier])</f>
        <v>DTDC</v>
      </c>
      <c r="S505" s="3">
        <f>order[[#This Row],[selling_price]]-order[[#This Row],[cost_price]]*order[[#This Row],[quantity]]-order[[#This Row],[discount]]</f>
        <v>-149133</v>
      </c>
      <c r="T505" s="3">
        <f>order[[#This Row],[quantity]]*order[[#This Row],[selling_price]]</f>
        <v>124432</v>
      </c>
    </row>
    <row r="506" spans="1:20" x14ac:dyDescent="0.3">
      <c r="A506">
        <v>89</v>
      </c>
      <c r="B506" s="11">
        <v>45631</v>
      </c>
      <c r="C506">
        <v>136</v>
      </c>
      <c r="D506" t="str">
        <f>_xlfn.XLOOKUP(order[[#This Row],[customer_id]],customer[customer_id],customer[customer_name])</f>
        <v>Meera Joshi</v>
      </c>
      <c r="E506">
        <v>202</v>
      </c>
      <c r="F506">
        <v>1</v>
      </c>
      <c r="G506">
        <v>36797</v>
      </c>
      <c r="H506">
        <v>233</v>
      </c>
      <c r="I506" t="s">
        <v>13</v>
      </c>
      <c r="J506" t="s">
        <v>10</v>
      </c>
      <c r="K506" t="str">
        <f>_xlfn.XLOOKUP(order[[#This Row],[customer_id]],customer[customer_id],customer[city])</f>
        <v>Hyderabad</v>
      </c>
      <c r="L506" t="str">
        <f>_xlfn.XLOOKUP(order[[#This Row],[customer_id]],customer[customer_id],customer[state])</f>
        <v>Telangana</v>
      </c>
      <c r="M506" t="str">
        <f>_xlfn.XLOOKUP(order[[#This Row],[product_id]],products!$A$2:$A$11,products!$B$2:$B$11)</f>
        <v>Samsung Galaxy S21</v>
      </c>
      <c r="N506" s="3" t="str">
        <f>_xlfn.XLOOKUP(order[[#This Row],[product_id]],products!$A$2:$A$11,products!$C$2:$C$11)</f>
        <v>Electronics</v>
      </c>
      <c r="O506" s="3">
        <f>_xlfn.XLOOKUP(order[[#This Row],[product_id]],Table4[product_id],Table4[cost_price])</f>
        <v>45000</v>
      </c>
      <c r="P506" s="11">
        <f>_xlfn.XLOOKUP(order[[#This Row],[order_id]],shipment[order_id],shipment[ship_date])</f>
        <v>45576</v>
      </c>
      <c r="Q506" s="11">
        <f>_xlfn.XLOOKUP(order[[#This Row],[order_id]],shipment[order_id],shipment[delivery_date])</f>
        <v>45579</v>
      </c>
      <c r="R506" s="3" t="str">
        <f>_xlfn.XLOOKUP(order[[#This Row],[order_id]],shipment[shipment_id],shipment[courier])</f>
        <v>Ekart</v>
      </c>
      <c r="S506" s="3">
        <f>order[[#This Row],[selling_price]]-order[[#This Row],[cost_price]]*order[[#This Row],[quantity]]-order[[#This Row],[discount]]</f>
        <v>-8436</v>
      </c>
      <c r="T506" s="3">
        <f>order[[#This Row],[quantity]]*order[[#This Row],[selling_price]]</f>
        <v>36797</v>
      </c>
    </row>
    <row r="507" spans="1:20" x14ac:dyDescent="0.3">
      <c r="A507">
        <v>506</v>
      </c>
      <c r="B507" s="11">
        <v>45534</v>
      </c>
      <c r="C507">
        <v>160</v>
      </c>
      <c r="D507" t="str">
        <f>_xlfn.XLOOKUP(order[[#This Row],[customer_id]],customer[customer_id],customer[customer_name])</f>
        <v>Arjun Nair</v>
      </c>
      <c r="E507">
        <v>207</v>
      </c>
      <c r="F507">
        <v>1</v>
      </c>
      <c r="G507">
        <v>50363</v>
      </c>
      <c r="H507">
        <v>2274</v>
      </c>
      <c r="I507" t="s">
        <v>9</v>
      </c>
      <c r="J507" t="s">
        <v>14</v>
      </c>
      <c r="K507" t="str">
        <f>_xlfn.XLOOKUP(order[[#This Row],[customer_id]],customer[customer_id],customer[city])</f>
        <v>Delhi</v>
      </c>
      <c r="L507" t="str">
        <f>_xlfn.XLOOKUP(order[[#This Row],[customer_id]],customer[customer_id],customer[state])</f>
        <v>Delhi</v>
      </c>
      <c r="M507" t="str">
        <f>_xlfn.XLOOKUP(order[[#This Row],[product_id]],products!$A$2:$A$11,products!$B$2:$B$11)</f>
        <v>Sony WH-1000XM4 Headphones</v>
      </c>
      <c r="N507" s="3" t="str">
        <f>_xlfn.XLOOKUP(order[[#This Row],[product_id]],products!$A$2:$A$11,products!$C$2:$C$11)</f>
        <v>Electronics</v>
      </c>
      <c r="O507" s="3">
        <f>_xlfn.XLOOKUP(order[[#This Row],[product_id]],Table4[product_id],Table4[cost_price])</f>
        <v>20000</v>
      </c>
      <c r="P507" s="11">
        <f>_xlfn.XLOOKUP(order[[#This Row],[order_id]],shipment[order_id],shipment[ship_date])</f>
        <v>45323</v>
      </c>
      <c r="Q507" s="11">
        <f>_xlfn.XLOOKUP(order[[#This Row],[order_id]],shipment[order_id],shipment[delivery_date])</f>
        <v>45327</v>
      </c>
      <c r="R507" s="3" t="str">
        <f>_xlfn.XLOOKUP(order[[#This Row],[order_id]],shipment[shipment_id],shipment[courier])</f>
        <v>BlueDart</v>
      </c>
      <c r="S507" s="3">
        <f>order[[#This Row],[selling_price]]-order[[#This Row],[cost_price]]*order[[#This Row],[quantity]]-order[[#This Row],[discount]]</f>
        <v>28089</v>
      </c>
      <c r="T507" s="3">
        <f>order[[#This Row],[quantity]]*order[[#This Row],[selling_price]]</f>
        <v>50363</v>
      </c>
    </row>
    <row r="508" spans="1:20" x14ac:dyDescent="0.3">
      <c r="A508">
        <v>507</v>
      </c>
      <c r="B508" s="11">
        <v>45566</v>
      </c>
      <c r="C508">
        <v>141</v>
      </c>
      <c r="D508" t="str">
        <f>_xlfn.XLOOKUP(order[[#This Row],[customer_id]],customer[customer_id],customer[customer_name])</f>
        <v>Neha Kapoor</v>
      </c>
      <c r="E508">
        <v>205</v>
      </c>
      <c r="F508">
        <v>1</v>
      </c>
      <c r="G508">
        <v>8204</v>
      </c>
      <c r="H508">
        <v>3427</v>
      </c>
      <c r="I508" t="s">
        <v>11</v>
      </c>
      <c r="J508" t="s">
        <v>12</v>
      </c>
      <c r="K508" t="str">
        <f>_xlfn.XLOOKUP(order[[#This Row],[customer_id]],customer[customer_id],customer[city])</f>
        <v>Ahmedabad</v>
      </c>
      <c r="L508" t="str">
        <f>_xlfn.XLOOKUP(order[[#This Row],[customer_id]],customer[customer_id],customer[state])</f>
        <v>Gujarat</v>
      </c>
      <c r="M508" t="str">
        <f>_xlfn.XLOOKUP(order[[#This Row],[product_id]],products!$A$2:$A$11,products!$B$2:$B$11)</f>
        <v>Prestige Pressure Cooker 5L</v>
      </c>
      <c r="N508" s="3" t="str">
        <f>_xlfn.XLOOKUP(order[[#This Row],[product_id]],products!$A$2:$A$11,products!$C$2:$C$11)</f>
        <v>Home &amp; Kitchen</v>
      </c>
      <c r="O508" s="3">
        <f>_xlfn.XLOOKUP(order[[#This Row],[product_id]],Table4[product_id],Table4[cost_price])</f>
        <v>1200</v>
      </c>
      <c r="P508" s="11">
        <f>_xlfn.XLOOKUP(order[[#This Row],[order_id]],shipment[order_id],shipment[ship_date])</f>
        <v>45510</v>
      </c>
      <c r="Q508" s="11">
        <f>_xlfn.XLOOKUP(order[[#This Row],[order_id]],shipment[order_id],shipment[delivery_date])</f>
        <v>45511</v>
      </c>
      <c r="R508" s="3" t="str">
        <f>_xlfn.XLOOKUP(order[[#This Row],[order_id]],shipment[shipment_id],shipment[courier])</f>
        <v>DTDC</v>
      </c>
      <c r="S508" s="3">
        <f>order[[#This Row],[selling_price]]-order[[#This Row],[cost_price]]*order[[#This Row],[quantity]]-order[[#This Row],[discount]]</f>
        <v>3577</v>
      </c>
      <c r="T508" s="3">
        <f>order[[#This Row],[quantity]]*order[[#This Row],[selling_price]]</f>
        <v>8204</v>
      </c>
    </row>
    <row r="509" spans="1:20" x14ac:dyDescent="0.3">
      <c r="A509">
        <v>1104</v>
      </c>
      <c r="B509" s="11">
        <v>45383</v>
      </c>
      <c r="C509">
        <v>124</v>
      </c>
      <c r="D509" t="str">
        <f>_xlfn.XLOOKUP(order[[#This Row],[customer_id]],customer[customer_id],customer[customer_name])</f>
        <v>Neha Kapoor</v>
      </c>
      <c r="E509">
        <v>202</v>
      </c>
      <c r="F509">
        <v>1</v>
      </c>
      <c r="G509">
        <v>12617</v>
      </c>
      <c r="H509">
        <v>193</v>
      </c>
      <c r="I509" t="s">
        <v>11</v>
      </c>
      <c r="J509" t="s">
        <v>12</v>
      </c>
      <c r="K509" t="str">
        <f>_xlfn.XLOOKUP(order[[#This Row],[customer_id]],customer[customer_id],customer[city])</f>
        <v>Mumbai</v>
      </c>
      <c r="L509" t="str">
        <f>_xlfn.XLOOKUP(order[[#This Row],[customer_id]],customer[customer_id],customer[state])</f>
        <v>Maharashtra</v>
      </c>
      <c r="M509" t="str">
        <f>_xlfn.XLOOKUP(order[[#This Row],[product_id]],products!$A$2:$A$11,products!$B$2:$B$11)</f>
        <v>Samsung Galaxy S21</v>
      </c>
      <c r="N509" s="3" t="str">
        <f>_xlfn.XLOOKUP(order[[#This Row],[product_id]],products!$A$2:$A$11,products!$C$2:$C$11)</f>
        <v>Electronics</v>
      </c>
      <c r="O509" s="3">
        <f>_xlfn.XLOOKUP(order[[#This Row],[product_id]],Table4[product_id],Table4[cost_price])</f>
        <v>45000</v>
      </c>
      <c r="P509" s="11">
        <f>_xlfn.XLOOKUP(order[[#This Row],[order_id]],shipment[order_id],shipment[ship_date])</f>
        <v>45486</v>
      </c>
      <c r="Q509" s="11">
        <f>_xlfn.XLOOKUP(order[[#This Row],[order_id]],shipment[order_id],shipment[delivery_date])</f>
        <v>45492</v>
      </c>
      <c r="R509" s="3" t="str">
        <f>_xlfn.XLOOKUP(order[[#This Row],[order_id]],shipment[shipment_id],shipment[courier])</f>
        <v>Ekart</v>
      </c>
      <c r="S509" s="3">
        <f>order[[#This Row],[selling_price]]-order[[#This Row],[cost_price]]*order[[#This Row],[quantity]]-order[[#This Row],[discount]]</f>
        <v>-32576</v>
      </c>
      <c r="T509" s="3">
        <f>order[[#This Row],[quantity]]*order[[#This Row],[selling_price]]</f>
        <v>12617</v>
      </c>
    </row>
    <row r="510" spans="1:20" x14ac:dyDescent="0.3">
      <c r="A510">
        <v>509</v>
      </c>
      <c r="B510" s="11">
        <v>45396</v>
      </c>
      <c r="C510">
        <v>112</v>
      </c>
      <c r="D510" t="str">
        <f>_xlfn.XLOOKUP(order[[#This Row],[customer_id]],customer[customer_id],customer[customer_name])</f>
        <v>Siddharth Jain</v>
      </c>
      <c r="E510">
        <v>206</v>
      </c>
      <c r="F510">
        <v>4</v>
      </c>
      <c r="G510">
        <v>58582</v>
      </c>
      <c r="H510">
        <v>3931</v>
      </c>
      <c r="I510" t="s">
        <v>11</v>
      </c>
      <c r="J510" t="s">
        <v>12</v>
      </c>
      <c r="K510" t="str">
        <f>_xlfn.XLOOKUP(order[[#This Row],[customer_id]],customer[customer_id],customer[city])</f>
        <v>Mumbai</v>
      </c>
      <c r="L510" t="str">
        <f>_xlfn.XLOOKUP(order[[#This Row],[customer_id]],customer[customer_id],customer[state])</f>
        <v>Maharashtra</v>
      </c>
      <c r="M510" t="str">
        <f>_xlfn.XLOOKUP(order[[#This Row],[product_id]],products!$A$2:$A$11,products!$B$2:$B$11)</f>
        <v>Philips Air Fryer</v>
      </c>
      <c r="N510" s="3" t="str">
        <f>_xlfn.XLOOKUP(order[[#This Row],[product_id]],products!$A$2:$A$11,products!$C$2:$C$11)</f>
        <v>Home &amp; Kitchen</v>
      </c>
      <c r="O510" s="3">
        <f>_xlfn.XLOOKUP(order[[#This Row],[product_id]],Table4[product_id],Table4[cost_price])</f>
        <v>7000</v>
      </c>
      <c r="P510" s="11">
        <f>_xlfn.XLOOKUP(order[[#This Row],[order_id]],shipment[order_id],shipment[ship_date])</f>
        <v>45476</v>
      </c>
      <c r="Q510" s="11">
        <f>_xlfn.XLOOKUP(order[[#This Row],[order_id]],shipment[order_id],shipment[delivery_date])</f>
        <v>45486</v>
      </c>
      <c r="R510" s="3" t="str">
        <f>_xlfn.XLOOKUP(order[[#This Row],[order_id]],shipment[shipment_id],shipment[courier])</f>
        <v>Delhivery</v>
      </c>
      <c r="S510" s="3">
        <f>order[[#This Row],[selling_price]]-order[[#This Row],[cost_price]]*order[[#This Row],[quantity]]-order[[#This Row],[discount]]</f>
        <v>26651</v>
      </c>
      <c r="T510" s="3">
        <f>order[[#This Row],[quantity]]*order[[#This Row],[selling_price]]</f>
        <v>234328</v>
      </c>
    </row>
    <row r="511" spans="1:20" x14ac:dyDescent="0.3">
      <c r="A511">
        <v>510</v>
      </c>
      <c r="B511" s="11">
        <v>45617</v>
      </c>
      <c r="C511">
        <v>274</v>
      </c>
      <c r="D511" t="str">
        <f>_xlfn.XLOOKUP(order[[#This Row],[customer_id]],customer[customer_id],customer[customer_name])</f>
        <v>Sneha Iyer</v>
      </c>
      <c r="E511">
        <v>206</v>
      </c>
      <c r="F511">
        <v>3</v>
      </c>
      <c r="G511">
        <v>37589</v>
      </c>
      <c r="H511">
        <v>1144</v>
      </c>
      <c r="I511" t="s">
        <v>11</v>
      </c>
      <c r="J511" t="s">
        <v>12</v>
      </c>
      <c r="K511" t="str">
        <f>_xlfn.XLOOKUP(order[[#This Row],[customer_id]],customer[customer_id],customer[city])</f>
        <v>Bangalore</v>
      </c>
      <c r="L511" t="str">
        <f>_xlfn.XLOOKUP(order[[#This Row],[customer_id]],customer[customer_id],customer[state])</f>
        <v>Karnataka</v>
      </c>
      <c r="M511" t="str">
        <f>_xlfn.XLOOKUP(order[[#This Row],[product_id]],products!$A$2:$A$11,products!$B$2:$B$11)</f>
        <v>Philips Air Fryer</v>
      </c>
      <c r="N511" s="3" t="str">
        <f>_xlfn.XLOOKUP(order[[#This Row],[product_id]],products!$A$2:$A$11,products!$C$2:$C$11)</f>
        <v>Home &amp; Kitchen</v>
      </c>
      <c r="O511" s="3">
        <f>_xlfn.XLOOKUP(order[[#This Row],[product_id]],Table4[product_id],Table4[cost_price])</f>
        <v>7000</v>
      </c>
      <c r="P511" s="11">
        <f>_xlfn.XLOOKUP(order[[#This Row],[order_id]],shipment[order_id],shipment[ship_date])</f>
        <v>45407</v>
      </c>
      <c r="Q511" s="11">
        <f>_xlfn.XLOOKUP(order[[#This Row],[order_id]],shipment[order_id],shipment[delivery_date])</f>
        <v>45408</v>
      </c>
      <c r="R511" s="3" t="str">
        <f>_xlfn.XLOOKUP(order[[#This Row],[order_id]],shipment[shipment_id],shipment[courier])</f>
        <v>Delhivery</v>
      </c>
      <c r="S511" s="3">
        <f>order[[#This Row],[selling_price]]-order[[#This Row],[cost_price]]*order[[#This Row],[quantity]]-order[[#This Row],[discount]]</f>
        <v>15445</v>
      </c>
      <c r="T511" s="3">
        <f>order[[#This Row],[quantity]]*order[[#This Row],[selling_price]]</f>
        <v>112767</v>
      </c>
    </row>
    <row r="512" spans="1:20" x14ac:dyDescent="0.3">
      <c r="A512">
        <v>326</v>
      </c>
      <c r="B512" s="11">
        <v>45592</v>
      </c>
      <c r="C512">
        <v>298</v>
      </c>
      <c r="D512" t="str">
        <f>_xlfn.XLOOKUP(order[[#This Row],[customer_id]],customer[customer_id],customer[customer_name])</f>
        <v>Karan Patel</v>
      </c>
      <c r="E512">
        <v>202</v>
      </c>
      <c r="F512">
        <v>2</v>
      </c>
      <c r="G512">
        <v>32865</v>
      </c>
      <c r="H512">
        <v>143</v>
      </c>
      <c r="I512" t="s">
        <v>9</v>
      </c>
      <c r="J512" t="s">
        <v>10</v>
      </c>
      <c r="K512" t="str">
        <f>_xlfn.XLOOKUP(order[[#This Row],[customer_id]],customer[customer_id],customer[city])</f>
        <v>Bangalore</v>
      </c>
      <c r="L512" t="str">
        <f>_xlfn.XLOOKUP(order[[#This Row],[customer_id]],customer[customer_id],customer[state])</f>
        <v>Karnataka</v>
      </c>
      <c r="M512" t="str">
        <f>_xlfn.XLOOKUP(order[[#This Row],[product_id]],products!$A$2:$A$11,products!$B$2:$B$11)</f>
        <v>Samsung Galaxy S21</v>
      </c>
      <c r="N512" s="3" t="str">
        <f>_xlfn.XLOOKUP(order[[#This Row],[product_id]],products!$A$2:$A$11,products!$C$2:$C$11)</f>
        <v>Electronics</v>
      </c>
      <c r="O512" s="3">
        <f>_xlfn.XLOOKUP(order[[#This Row],[product_id]],Table4[product_id],Table4[cost_price])</f>
        <v>45000</v>
      </c>
      <c r="P512" s="11">
        <f>_xlfn.XLOOKUP(order[[#This Row],[order_id]],shipment[order_id],shipment[ship_date])</f>
        <v>45421</v>
      </c>
      <c r="Q512" s="11">
        <f>_xlfn.XLOOKUP(order[[#This Row],[order_id]],shipment[order_id],shipment[delivery_date])</f>
        <v>45422</v>
      </c>
      <c r="R512" s="3" t="str">
        <f>_xlfn.XLOOKUP(order[[#This Row],[order_id]],shipment[shipment_id],shipment[courier])</f>
        <v>Delhivery</v>
      </c>
      <c r="S512" s="3">
        <f>order[[#This Row],[selling_price]]-order[[#This Row],[cost_price]]*order[[#This Row],[quantity]]-order[[#This Row],[discount]]</f>
        <v>-57278</v>
      </c>
      <c r="T512" s="3">
        <f>order[[#This Row],[quantity]]*order[[#This Row],[selling_price]]</f>
        <v>65730</v>
      </c>
    </row>
    <row r="513" spans="1:20" x14ac:dyDescent="0.3">
      <c r="A513">
        <v>512</v>
      </c>
      <c r="B513" s="11">
        <v>45593</v>
      </c>
      <c r="C513">
        <v>165</v>
      </c>
      <c r="D513" t="str">
        <f>_xlfn.XLOOKUP(order[[#This Row],[customer_id]],customer[customer_id],customer[customer_name])</f>
        <v>Ishita Bose</v>
      </c>
      <c r="E513">
        <v>208</v>
      </c>
      <c r="F513">
        <v>1</v>
      </c>
      <c r="G513">
        <v>28648</v>
      </c>
      <c r="H513">
        <v>3956</v>
      </c>
      <c r="I513" t="s">
        <v>15</v>
      </c>
      <c r="J513" t="s">
        <v>12</v>
      </c>
      <c r="K513" t="str">
        <f>_xlfn.XLOOKUP(order[[#This Row],[customer_id]],customer[customer_id],customer[city])</f>
        <v>Pune</v>
      </c>
      <c r="L513" t="str">
        <f>_xlfn.XLOOKUP(order[[#This Row],[customer_id]],customer[customer_id],customer[state])</f>
        <v>Maharashtra</v>
      </c>
      <c r="M513" t="str">
        <f>_xlfn.XLOOKUP(order[[#This Row],[product_id]],products!$A$2:$A$11,products!$B$2:$B$11)</f>
        <v>Adidas Ultraboost Shoes</v>
      </c>
      <c r="N513" s="3" t="str">
        <f>_xlfn.XLOOKUP(order[[#This Row],[product_id]],products!$A$2:$A$11,products!$C$2:$C$11)</f>
        <v>Fashion</v>
      </c>
      <c r="O513" s="3">
        <f>_xlfn.XLOOKUP(order[[#This Row],[product_id]],Table4[product_id],Table4[cost_price])</f>
        <v>9000</v>
      </c>
      <c r="P513" s="11">
        <f>_xlfn.XLOOKUP(order[[#This Row],[order_id]],shipment[order_id],shipment[ship_date])</f>
        <v>45316</v>
      </c>
      <c r="Q513" s="11">
        <f>_xlfn.XLOOKUP(order[[#This Row],[order_id]],shipment[order_id],shipment[delivery_date])</f>
        <v>45320</v>
      </c>
      <c r="R513" s="3" t="str">
        <f>_xlfn.XLOOKUP(order[[#This Row],[order_id]],shipment[shipment_id],shipment[courier])</f>
        <v>Delhivery</v>
      </c>
      <c r="S513" s="3">
        <f>order[[#This Row],[selling_price]]-order[[#This Row],[cost_price]]*order[[#This Row],[quantity]]-order[[#This Row],[discount]]</f>
        <v>15692</v>
      </c>
      <c r="T513" s="3">
        <f>order[[#This Row],[quantity]]*order[[#This Row],[selling_price]]</f>
        <v>28648</v>
      </c>
    </row>
    <row r="514" spans="1:20" x14ac:dyDescent="0.3">
      <c r="A514">
        <v>513</v>
      </c>
      <c r="B514" s="11">
        <v>45299</v>
      </c>
      <c r="C514">
        <v>123</v>
      </c>
      <c r="D514" t="str">
        <f>_xlfn.XLOOKUP(order[[#This Row],[customer_id]],customer[customer_id],customer[customer_name])</f>
        <v>Ananya Gupta</v>
      </c>
      <c r="E514">
        <v>204</v>
      </c>
      <c r="F514">
        <v>4</v>
      </c>
      <c r="G514">
        <v>14881</v>
      </c>
      <c r="H514">
        <v>3173</v>
      </c>
      <c r="I514" t="s">
        <v>15</v>
      </c>
      <c r="J514" t="s">
        <v>12</v>
      </c>
      <c r="K514" t="str">
        <f>_xlfn.XLOOKUP(order[[#This Row],[customer_id]],customer[customer_id],customer[city])</f>
        <v>Hyderabad</v>
      </c>
      <c r="L514" t="str">
        <f>_xlfn.XLOOKUP(order[[#This Row],[customer_id]],customer[customer_id],customer[state])</f>
        <v>Telangana</v>
      </c>
      <c r="M514" t="str">
        <f>_xlfn.XLOOKUP(order[[#This Row],[product_id]],products!$A$2:$A$11,products!$B$2:$B$11)</f>
        <v>Levi's Slim Fit Jeans</v>
      </c>
      <c r="N514" s="3" t="str">
        <f>_xlfn.XLOOKUP(order[[#This Row],[product_id]],products!$A$2:$A$11,products!$C$2:$C$11)</f>
        <v>Fashion</v>
      </c>
      <c r="O514" s="3">
        <f>_xlfn.XLOOKUP(order[[#This Row],[product_id]],Table4[product_id],Table4[cost_price])</f>
        <v>1800</v>
      </c>
      <c r="P514" s="11">
        <f>_xlfn.XLOOKUP(order[[#This Row],[order_id]],shipment[order_id],shipment[ship_date])</f>
        <v>45293</v>
      </c>
      <c r="Q514" s="11">
        <f>_xlfn.XLOOKUP(order[[#This Row],[order_id]],shipment[order_id],shipment[delivery_date])</f>
        <v>45295</v>
      </c>
      <c r="R514" s="3" t="str">
        <f>_xlfn.XLOOKUP(order[[#This Row],[order_id]],shipment[shipment_id],shipment[courier])</f>
        <v>DTDC</v>
      </c>
      <c r="S514" s="3">
        <f>order[[#This Row],[selling_price]]-order[[#This Row],[cost_price]]*order[[#This Row],[quantity]]-order[[#This Row],[discount]]</f>
        <v>4508</v>
      </c>
      <c r="T514" s="3">
        <f>order[[#This Row],[quantity]]*order[[#This Row],[selling_price]]</f>
        <v>59524</v>
      </c>
    </row>
    <row r="515" spans="1:20" x14ac:dyDescent="0.3">
      <c r="A515">
        <v>514</v>
      </c>
      <c r="B515" s="11">
        <v>45339</v>
      </c>
      <c r="C515">
        <v>126</v>
      </c>
      <c r="D515" t="str">
        <f>_xlfn.XLOOKUP(order[[#This Row],[customer_id]],customer[customer_id],customer[customer_name])</f>
        <v>Meera Joshi</v>
      </c>
      <c r="E515">
        <v>206</v>
      </c>
      <c r="F515">
        <v>2</v>
      </c>
      <c r="G515">
        <v>57282</v>
      </c>
      <c r="H515">
        <v>685</v>
      </c>
      <c r="I515" t="s">
        <v>13</v>
      </c>
      <c r="J515" t="s">
        <v>10</v>
      </c>
      <c r="K515" t="str">
        <f>_xlfn.XLOOKUP(order[[#This Row],[customer_id]],customer[customer_id],customer[city])</f>
        <v>Mumbai</v>
      </c>
      <c r="L515" t="str">
        <f>_xlfn.XLOOKUP(order[[#This Row],[customer_id]],customer[customer_id],customer[state])</f>
        <v>Maharashtra</v>
      </c>
      <c r="M515" t="str">
        <f>_xlfn.XLOOKUP(order[[#This Row],[product_id]],products!$A$2:$A$11,products!$B$2:$B$11)</f>
        <v>Philips Air Fryer</v>
      </c>
      <c r="N515" s="3" t="str">
        <f>_xlfn.XLOOKUP(order[[#This Row],[product_id]],products!$A$2:$A$11,products!$C$2:$C$11)</f>
        <v>Home &amp; Kitchen</v>
      </c>
      <c r="O515" s="3">
        <f>_xlfn.XLOOKUP(order[[#This Row],[product_id]],Table4[product_id],Table4[cost_price])</f>
        <v>7000</v>
      </c>
      <c r="P515" s="11">
        <f>_xlfn.XLOOKUP(order[[#This Row],[order_id]],shipment[order_id],shipment[ship_date])</f>
        <v>45539</v>
      </c>
      <c r="Q515" s="11">
        <f>_xlfn.XLOOKUP(order[[#This Row],[order_id]],shipment[order_id],shipment[delivery_date])</f>
        <v>45545</v>
      </c>
      <c r="R515" s="3" t="str">
        <f>_xlfn.XLOOKUP(order[[#This Row],[order_id]],shipment[shipment_id],shipment[courier])</f>
        <v>Ekart</v>
      </c>
      <c r="S515" s="3">
        <f>order[[#This Row],[selling_price]]-order[[#This Row],[cost_price]]*order[[#This Row],[quantity]]-order[[#This Row],[discount]]</f>
        <v>42597</v>
      </c>
      <c r="T515" s="3">
        <f>order[[#This Row],[quantity]]*order[[#This Row],[selling_price]]</f>
        <v>114564</v>
      </c>
    </row>
    <row r="516" spans="1:20" x14ac:dyDescent="0.3">
      <c r="A516">
        <v>515</v>
      </c>
      <c r="B516" s="11">
        <v>45484</v>
      </c>
      <c r="C516">
        <v>227</v>
      </c>
      <c r="D516" t="str">
        <f>_xlfn.XLOOKUP(order[[#This Row],[customer_id]],customer[customer_id],customer[customer_name])</f>
        <v>Rohit Verma</v>
      </c>
      <c r="E516">
        <v>206</v>
      </c>
      <c r="F516">
        <v>1</v>
      </c>
      <c r="G516">
        <v>19778</v>
      </c>
      <c r="H516">
        <v>2835</v>
      </c>
      <c r="I516" t="s">
        <v>9</v>
      </c>
      <c r="J516" t="s">
        <v>10</v>
      </c>
      <c r="K516" t="str">
        <f>_xlfn.XLOOKUP(order[[#This Row],[customer_id]],customer[customer_id],customer[city])</f>
        <v>Mumbai</v>
      </c>
      <c r="L516" t="str">
        <f>_xlfn.XLOOKUP(order[[#This Row],[customer_id]],customer[customer_id],customer[state])</f>
        <v>Maharashtra</v>
      </c>
      <c r="M516" t="str">
        <f>_xlfn.XLOOKUP(order[[#This Row],[product_id]],products!$A$2:$A$11,products!$B$2:$B$11)</f>
        <v>Philips Air Fryer</v>
      </c>
      <c r="N516" s="3" t="str">
        <f>_xlfn.XLOOKUP(order[[#This Row],[product_id]],products!$A$2:$A$11,products!$C$2:$C$11)</f>
        <v>Home &amp; Kitchen</v>
      </c>
      <c r="O516" s="3">
        <f>_xlfn.XLOOKUP(order[[#This Row],[product_id]],Table4[product_id],Table4[cost_price])</f>
        <v>7000</v>
      </c>
      <c r="P516" s="11">
        <f>_xlfn.XLOOKUP(order[[#This Row],[order_id]],shipment[order_id],shipment[ship_date])</f>
        <v>45588</v>
      </c>
      <c r="Q516" s="11">
        <f>_xlfn.XLOOKUP(order[[#This Row],[order_id]],shipment[order_id],shipment[delivery_date])</f>
        <v>45595</v>
      </c>
      <c r="R516" s="3" t="str">
        <f>_xlfn.XLOOKUP(order[[#This Row],[order_id]],shipment[shipment_id],shipment[courier])</f>
        <v>Ekart</v>
      </c>
      <c r="S516" s="3">
        <f>order[[#This Row],[selling_price]]-order[[#This Row],[cost_price]]*order[[#This Row],[quantity]]-order[[#This Row],[discount]]</f>
        <v>9943</v>
      </c>
      <c r="T516" s="3">
        <f>order[[#This Row],[quantity]]*order[[#This Row],[selling_price]]</f>
        <v>19778</v>
      </c>
    </row>
    <row r="517" spans="1:20" x14ac:dyDescent="0.3">
      <c r="A517">
        <v>516</v>
      </c>
      <c r="B517" s="11">
        <v>45521</v>
      </c>
      <c r="C517">
        <v>112</v>
      </c>
      <c r="D517" t="str">
        <f>_xlfn.XLOOKUP(order[[#This Row],[customer_id]],customer[customer_id],customer[customer_name])</f>
        <v>Siddharth Jain</v>
      </c>
      <c r="E517">
        <v>205</v>
      </c>
      <c r="F517">
        <v>4</v>
      </c>
      <c r="G517">
        <v>37368</v>
      </c>
      <c r="H517">
        <v>4206</v>
      </c>
      <c r="I517" t="s">
        <v>11</v>
      </c>
      <c r="J517" t="s">
        <v>12</v>
      </c>
      <c r="K517" t="str">
        <f>_xlfn.XLOOKUP(order[[#This Row],[customer_id]],customer[customer_id],customer[city])</f>
        <v>Mumbai</v>
      </c>
      <c r="L517" t="str">
        <f>_xlfn.XLOOKUP(order[[#This Row],[customer_id]],customer[customer_id],customer[state])</f>
        <v>Maharashtra</v>
      </c>
      <c r="M517" t="str">
        <f>_xlfn.XLOOKUP(order[[#This Row],[product_id]],products!$A$2:$A$11,products!$B$2:$B$11)</f>
        <v>Prestige Pressure Cooker 5L</v>
      </c>
      <c r="N517" s="3" t="str">
        <f>_xlfn.XLOOKUP(order[[#This Row],[product_id]],products!$A$2:$A$11,products!$C$2:$C$11)</f>
        <v>Home &amp; Kitchen</v>
      </c>
      <c r="O517" s="3">
        <f>_xlfn.XLOOKUP(order[[#This Row],[product_id]],Table4[product_id],Table4[cost_price])</f>
        <v>1200</v>
      </c>
      <c r="P517" s="11">
        <f>_xlfn.XLOOKUP(order[[#This Row],[order_id]],shipment[order_id],shipment[ship_date])</f>
        <v>45560</v>
      </c>
      <c r="Q517" s="11">
        <f>_xlfn.XLOOKUP(order[[#This Row],[order_id]],shipment[order_id],shipment[delivery_date])</f>
        <v>45564</v>
      </c>
      <c r="R517" s="3" t="str">
        <f>_xlfn.XLOOKUP(order[[#This Row],[order_id]],shipment[shipment_id],shipment[courier])</f>
        <v>BlueDart</v>
      </c>
      <c r="S517" s="3">
        <f>order[[#This Row],[selling_price]]-order[[#This Row],[cost_price]]*order[[#This Row],[quantity]]-order[[#This Row],[discount]]</f>
        <v>28362</v>
      </c>
      <c r="T517" s="3">
        <f>order[[#This Row],[quantity]]*order[[#This Row],[selling_price]]</f>
        <v>149472</v>
      </c>
    </row>
    <row r="518" spans="1:20" x14ac:dyDescent="0.3">
      <c r="A518">
        <v>376</v>
      </c>
      <c r="B518" s="11">
        <v>45455</v>
      </c>
      <c r="C518">
        <v>266</v>
      </c>
      <c r="D518" t="str">
        <f>_xlfn.XLOOKUP(order[[#This Row],[customer_id]],customer[customer_id],customer[customer_name])</f>
        <v>Karan Patel</v>
      </c>
      <c r="E518">
        <v>202</v>
      </c>
      <c r="F518">
        <v>1</v>
      </c>
      <c r="G518">
        <v>32960</v>
      </c>
      <c r="H518">
        <v>110</v>
      </c>
      <c r="I518" t="s">
        <v>15</v>
      </c>
      <c r="J518" t="s">
        <v>12</v>
      </c>
      <c r="K518" t="str">
        <f>_xlfn.XLOOKUP(order[[#This Row],[customer_id]],customer[customer_id],customer[city])</f>
        <v>Chennai</v>
      </c>
      <c r="L518" t="str">
        <f>_xlfn.XLOOKUP(order[[#This Row],[customer_id]],customer[customer_id],customer[state])</f>
        <v>Tamil Nadu</v>
      </c>
      <c r="M518" t="str">
        <f>_xlfn.XLOOKUP(order[[#This Row],[product_id]],products!$A$2:$A$11,products!$B$2:$B$11)</f>
        <v>Samsung Galaxy S21</v>
      </c>
      <c r="N518" s="3" t="str">
        <f>_xlfn.XLOOKUP(order[[#This Row],[product_id]],products!$A$2:$A$11,products!$C$2:$C$11)</f>
        <v>Electronics</v>
      </c>
      <c r="O518" s="3">
        <f>_xlfn.XLOOKUP(order[[#This Row],[product_id]],Table4[product_id],Table4[cost_price])</f>
        <v>45000</v>
      </c>
      <c r="P518" s="11">
        <f>_xlfn.XLOOKUP(order[[#This Row],[order_id]],shipment[order_id],shipment[ship_date])</f>
        <v>45602</v>
      </c>
      <c r="Q518" s="11">
        <f>_xlfn.XLOOKUP(order[[#This Row],[order_id]],shipment[order_id],shipment[delivery_date])</f>
        <v>45608</v>
      </c>
      <c r="R518" s="3" t="str">
        <f>_xlfn.XLOOKUP(order[[#This Row],[order_id]],shipment[shipment_id],shipment[courier])</f>
        <v>Ekart</v>
      </c>
      <c r="S518" s="3">
        <f>order[[#This Row],[selling_price]]-order[[#This Row],[cost_price]]*order[[#This Row],[quantity]]-order[[#This Row],[discount]]</f>
        <v>-12150</v>
      </c>
      <c r="T518" s="3">
        <f>order[[#This Row],[quantity]]*order[[#This Row],[selling_price]]</f>
        <v>32960</v>
      </c>
    </row>
    <row r="519" spans="1:20" x14ac:dyDescent="0.3">
      <c r="A519">
        <v>518</v>
      </c>
      <c r="B519" s="11">
        <v>45464</v>
      </c>
      <c r="C519">
        <v>267</v>
      </c>
      <c r="D519" t="str">
        <f>_xlfn.XLOOKUP(order[[#This Row],[customer_id]],customer[customer_id],customer[customer_name])</f>
        <v>Neha Kapoor</v>
      </c>
      <c r="E519">
        <v>204</v>
      </c>
      <c r="F519">
        <v>3</v>
      </c>
      <c r="G519">
        <v>53026</v>
      </c>
      <c r="H519">
        <v>3995</v>
      </c>
      <c r="I519" t="s">
        <v>11</v>
      </c>
      <c r="J519" t="s">
        <v>12</v>
      </c>
      <c r="K519" t="str">
        <f>_xlfn.XLOOKUP(order[[#This Row],[customer_id]],customer[customer_id],customer[city])</f>
        <v>Hyderabad</v>
      </c>
      <c r="L519" t="str">
        <f>_xlfn.XLOOKUP(order[[#This Row],[customer_id]],customer[customer_id],customer[state])</f>
        <v>Telangana</v>
      </c>
      <c r="M519" t="str">
        <f>_xlfn.XLOOKUP(order[[#This Row],[product_id]],products!$A$2:$A$11,products!$B$2:$B$11)</f>
        <v>Levi's Slim Fit Jeans</v>
      </c>
      <c r="N519" s="3" t="str">
        <f>_xlfn.XLOOKUP(order[[#This Row],[product_id]],products!$A$2:$A$11,products!$C$2:$C$11)</f>
        <v>Fashion</v>
      </c>
      <c r="O519" s="3">
        <f>_xlfn.XLOOKUP(order[[#This Row],[product_id]],Table4[product_id],Table4[cost_price])</f>
        <v>1800</v>
      </c>
      <c r="P519" s="11">
        <f>_xlfn.XLOOKUP(order[[#This Row],[order_id]],shipment[order_id],shipment[ship_date])</f>
        <v>45334</v>
      </c>
      <c r="Q519" s="11">
        <f>_xlfn.XLOOKUP(order[[#This Row],[order_id]],shipment[order_id],shipment[delivery_date])</f>
        <v>45337</v>
      </c>
      <c r="R519" s="3" t="str">
        <f>_xlfn.XLOOKUP(order[[#This Row],[order_id]],shipment[shipment_id],shipment[courier])</f>
        <v>Ekart</v>
      </c>
      <c r="S519" s="3">
        <f>order[[#This Row],[selling_price]]-order[[#This Row],[cost_price]]*order[[#This Row],[quantity]]-order[[#This Row],[discount]]</f>
        <v>43631</v>
      </c>
      <c r="T519" s="3">
        <f>order[[#This Row],[quantity]]*order[[#This Row],[selling_price]]</f>
        <v>159078</v>
      </c>
    </row>
    <row r="520" spans="1:20" x14ac:dyDescent="0.3">
      <c r="A520">
        <v>519</v>
      </c>
      <c r="B520" s="11">
        <v>45471</v>
      </c>
      <c r="C520">
        <v>189</v>
      </c>
      <c r="D520" t="str">
        <f>_xlfn.XLOOKUP(order[[#This Row],[customer_id]],customer[customer_id],customer[customer_name])</f>
        <v>Karan Patel</v>
      </c>
      <c r="E520">
        <v>208</v>
      </c>
      <c r="F520">
        <v>1</v>
      </c>
      <c r="G520">
        <v>30928</v>
      </c>
      <c r="H520">
        <v>4840</v>
      </c>
      <c r="I520" t="s">
        <v>13</v>
      </c>
      <c r="J520" t="s">
        <v>12</v>
      </c>
      <c r="K520" t="str">
        <f>_xlfn.XLOOKUP(order[[#This Row],[customer_id]],customer[customer_id],customer[city])</f>
        <v>Bangalore</v>
      </c>
      <c r="L520" t="str">
        <f>_xlfn.XLOOKUP(order[[#This Row],[customer_id]],customer[customer_id],customer[state])</f>
        <v>Karnataka</v>
      </c>
      <c r="M520" t="str">
        <f>_xlfn.XLOOKUP(order[[#This Row],[product_id]],products!$A$2:$A$11,products!$B$2:$B$11)</f>
        <v>Adidas Ultraboost Shoes</v>
      </c>
      <c r="N520" s="3" t="str">
        <f>_xlfn.XLOOKUP(order[[#This Row],[product_id]],products!$A$2:$A$11,products!$C$2:$C$11)</f>
        <v>Fashion</v>
      </c>
      <c r="O520" s="3">
        <f>_xlfn.XLOOKUP(order[[#This Row],[product_id]],Table4[product_id],Table4[cost_price])</f>
        <v>9000</v>
      </c>
      <c r="P520" s="11">
        <f>_xlfn.XLOOKUP(order[[#This Row],[order_id]],shipment[order_id],shipment[ship_date])</f>
        <v>45343</v>
      </c>
      <c r="Q520" s="11">
        <f>_xlfn.XLOOKUP(order[[#This Row],[order_id]],shipment[order_id],shipment[delivery_date])</f>
        <v>45353</v>
      </c>
      <c r="R520" s="3" t="str">
        <f>_xlfn.XLOOKUP(order[[#This Row],[order_id]],shipment[shipment_id],shipment[courier])</f>
        <v>DTDC</v>
      </c>
      <c r="S520" s="3">
        <f>order[[#This Row],[selling_price]]-order[[#This Row],[cost_price]]*order[[#This Row],[quantity]]-order[[#This Row],[discount]]</f>
        <v>17088</v>
      </c>
      <c r="T520" s="3">
        <f>order[[#This Row],[quantity]]*order[[#This Row],[selling_price]]</f>
        <v>30928</v>
      </c>
    </row>
    <row r="521" spans="1:20" x14ac:dyDescent="0.3">
      <c r="A521">
        <v>1103</v>
      </c>
      <c r="B521" s="11">
        <v>45494</v>
      </c>
      <c r="C521">
        <v>247</v>
      </c>
      <c r="D521" t="str">
        <f>_xlfn.XLOOKUP(order[[#This Row],[customer_id]],customer[customer_id],customer[customer_name])</f>
        <v>Pooja Nair</v>
      </c>
      <c r="E521">
        <v>202</v>
      </c>
      <c r="F521">
        <v>1</v>
      </c>
      <c r="G521">
        <v>39865</v>
      </c>
      <c r="H521">
        <v>58</v>
      </c>
      <c r="I521" t="s">
        <v>13</v>
      </c>
      <c r="J521" t="s">
        <v>12</v>
      </c>
      <c r="K521" t="str">
        <f>_xlfn.XLOOKUP(order[[#This Row],[customer_id]],customer[customer_id],customer[city])</f>
        <v>Pune</v>
      </c>
      <c r="L521" t="str">
        <f>_xlfn.XLOOKUP(order[[#This Row],[customer_id]],customer[customer_id],customer[state])</f>
        <v>Maharashtra</v>
      </c>
      <c r="M521" t="str">
        <f>_xlfn.XLOOKUP(order[[#This Row],[product_id]],products!$A$2:$A$11,products!$B$2:$B$11)</f>
        <v>Samsung Galaxy S21</v>
      </c>
      <c r="N521" s="3" t="str">
        <f>_xlfn.XLOOKUP(order[[#This Row],[product_id]],products!$A$2:$A$11,products!$C$2:$C$11)</f>
        <v>Electronics</v>
      </c>
      <c r="O521" s="3">
        <f>_xlfn.XLOOKUP(order[[#This Row],[product_id]],Table4[product_id],Table4[cost_price])</f>
        <v>45000</v>
      </c>
      <c r="P521" s="11">
        <f>_xlfn.XLOOKUP(order[[#This Row],[order_id]],shipment[order_id],shipment[ship_date])</f>
        <v>45320</v>
      </c>
      <c r="Q521" s="11">
        <f>_xlfn.XLOOKUP(order[[#This Row],[order_id]],shipment[order_id],shipment[delivery_date])</f>
        <v>45325</v>
      </c>
      <c r="R521" s="3" t="str">
        <f>_xlfn.XLOOKUP(order[[#This Row],[order_id]],shipment[shipment_id],shipment[courier])</f>
        <v>BlueDart</v>
      </c>
      <c r="S521" s="3">
        <f>order[[#This Row],[selling_price]]-order[[#This Row],[cost_price]]*order[[#This Row],[quantity]]-order[[#This Row],[discount]]</f>
        <v>-5193</v>
      </c>
      <c r="T521" s="3">
        <f>order[[#This Row],[quantity]]*order[[#This Row],[selling_price]]</f>
        <v>39865</v>
      </c>
    </row>
    <row r="522" spans="1:20" x14ac:dyDescent="0.3">
      <c r="A522">
        <v>521</v>
      </c>
      <c r="B522" s="11">
        <v>45548</v>
      </c>
      <c r="C522">
        <v>180</v>
      </c>
      <c r="D522" t="str">
        <f>_xlfn.XLOOKUP(order[[#This Row],[customer_id]],customer[customer_id],customer[customer_name])</f>
        <v>Siddharth Jain</v>
      </c>
      <c r="E522">
        <v>204</v>
      </c>
      <c r="F522">
        <v>2</v>
      </c>
      <c r="G522">
        <v>26203</v>
      </c>
      <c r="H522">
        <v>324</v>
      </c>
      <c r="I522" t="s">
        <v>13</v>
      </c>
      <c r="J522" t="s">
        <v>14</v>
      </c>
      <c r="K522" t="str">
        <f>_xlfn.XLOOKUP(order[[#This Row],[customer_id]],customer[customer_id],customer[city])</f>
        <v>Hyderabad</v>
      </c>
      <c r="L522" t="str">
        <f>_xlfn.XLOOKUP(order[[#This Row],[customer_id]],customer[customer_id],customer[state])</f>
        <v>Telangana</v>
      </c>
      <c r="M522" t="str">
        <f>_xlfn.XLOOKUP(order[[#This Row],[product_id]],products!$A$2:$A$11,products!$B$2:$B$11)</f>
        <v>Levi's Slim Fit Jeans</v>
      </c>
      <c r="N522" s="3" t="str">
        <f>_xlfn.XLOOKUP(order[[#This Row],[product_id]],products!$A$2:$A$11,products!$C$2:$C$11)</f>
        <v>Fashion</v>
      </c>
      <c r="O522" s="3">
        <f>_xlfn.XLOOKUP(order[[#This Row],[product_id]],Table4[product_id],Table4[cost_price])</f>
        <v>1800</v>
      </c>
      <c r="P522" s="11">
        <f>_xlfn.XLOOKUP(order[[#This Row],[order_id]],shipment[order_id],shipment[ship_date])</f>
        <v>45634</v>
      </c>
      <c r="Q522" s="11">
        <f>_xlfn.XLOOKUP(order[[#This Row],[order_id]],shipment[order_id],shipment[delivery_date])</f>
        <v>45644</v>
      </c>
      <c r="R522" s="3" t="str">
        <f>_xlfn.XLOOKUP(order[[#This Row],[order_id]],shipment[shipment_id],shipment[courier])</f>
        <v>Ekart</v>
      </c>
      <c r="S522" s="3">
        <f>order[[#This Row],[selling_price]]-order[[#This Row],[cost_price]]*order[[#This Row],[quantity]]-order[[#This Row],[discount]]</f>
        <v>22279</v>
      </c>
      <c r="T522" s="3">
        <f>order[[#This Row],[quantity]]*order[[#This Row],[selling_price]]</f>
        <v>52406</v>
      </c>
    </row>
    <row r="523" spans="1:20" x14ac:dyDescent="0.3">
      <c r="A523">
        <v>912</v>
      </c>
      <c r="B523" s="11">
        <v>45452</v>
      </c>
      <c r="C523">
        <v>242</v>
      </c>
      <c r="D523" t="str">
        <f>_xlfn.XLOOKUP(order[[#This Row],[customer_id]],customer[customer_id],customer[customer_name])</f>
        <v>Arjun Nair</v>
      </c>
      <c r="E523">
        <v>202</v>
      </c>
      <c r="F523">
        <v>3</v>
      </c>
      <c r="G523">
        <v>27615</v>
      </c>
      <c r="H523">
        <v>53</v>
      </c>
      <c r="I523" t="s">
        <v>13</v>
      </c>
      <c r="J523" t="s">
        <v>14</v>
      </c>
      <c r="K523" t="str">
        <f>_xlfn.XLOOKUP(order[[#This Row],[customer_id]],customer[customer_id],customer[city])</f>
        <v>Bangalore</v>
      </c>
      <c r="L523" t="str">
        <f>_xlfn.XLOOKUP(order[[#This Row],[customer_id]],customer[customer_id],customer[state])</f>
        <v>Karnataka</v>
      </c>
      <c r="M523" t="str">
        <f>_xlfn.XLOOKUP(order[[#This Row],[product_id]],products!$A$2:$A$11,products!$B$2:$B$11)</f>
        <v>Samsung Galaxy S21</v>
      </c>
      <c r="N523" s="3" t="str">
        <f>_xlfn.XLOOKUP(order[[#This Row],[product_id]],products!$A$2:$A$11,products!$C$2:$C$11)</f>
        <v>Electronics</v>
      </c>
      <c r="O523" s="3">
        <f>_xlfn.XLOOKUP(order[[#This Row],[product_id]],Table4[product_id],Table4[cost_price])</f>
        <v>45000</v>
      </c>
      <c r="P523" s="11">
        <f>_xlfn.XLOOKUP(order[[#This Row],[order_id]],shipment[order_id],shipment[ship_date])</f>
        <v>45521</v>
      </c>
      <c r="Q523" s="11">
        <f>_xlfn.XLOOKUP(order[[#This Row],[order_id]],shipment[order_id],shipment[delivery_date])</f>
        <v>45522</v>
      </c>
      <c r="R523" s="3" t="str">
        <f>_xlfn.XLOOKUP(order[[#This Row],[order_id]],shipment[shipment_id],shipment[courier])</f>
        <v>Ekart</v>
      </c>
      <c r="S523" s="3">
        <f>order[[#This Row],[selling_price]]-order[[#This Row],[cost_price]]*order[[#This Row],[quantity]]-order[[#This Row],[discount]]</f>
        <v>-107438</v>
      </c>
      <c r="T523" s="3">
        <f>order[[#This Row],[quantity]]*order[[#This Row],[selling_price]]</f>
        <v>82845</v>
      </c>
    </row>
    <row r="524" spans="1:20" x14ac:dyDescent="0.3">
      <c r="A524">
        <v>523</v>
      </c>
      <c r="B524" s="11">
        <v>45305</v>
      </c>
      <c r="C524">
        <v>268</v>
      </c>
      <c r="D524" t="str">
        <f>_xlfn.XLOOKUP(order[[#This Row],[customer_id]],customer[customer_id],customer[customer_name])</f>
        <v>Rahul Mehta</v>
      </c>
      <c r="E524">
        <v>204</v>
      </c>
      <c r="F524">
        <v>4</v>
      </c>
      <c r="G524">
        <v>53685</v>
      </c>
      <c r="H524">
        <v>1660</v>
      </c>
      <c r="I524" t="s">
        <v>11</v>
      </c>
      <c r="J524" t="s">
        <v>14</v>
      </c>
      <c r="K524" t="str">
        <f>_xlfn.XLOOKUP(order[[#This Row],[customer_id]],customer[customer_id],customer[city])</f>
        <v>Mumbai</v>
      </c>
      <c r="L524" t="str">
        <f>_xlfn.XLOOKUP(order[[#This Row],[customer_id]],customer[customer_id],customer[state])</f>
        <v>Maharashtra</v>
      </c>
      <c r="M524" t="str">
        <f>_xlfn.XLOOKUP(order[[#This Row],[product_id]],products!$A$2:$A$11,products!$B$2:$B$11)</f>
        <v>Levi's Slim Fit Jeans</v>
      </c>
      <c r="N524" s="3" t="str">
        <f>_xlfn.XLOOKUP(order[[#This Row],[product_id]],products!$A$2:$A$11,products!$C$2:$C$11)</f>
        <v>Fashion</v>
      </c>
      <c r="O524" s="3">
        <f>_xlfn.XLOOKUP(order[[#This Row],[product_id]],Table4[product_id],Table4[cost_price])</f>
        <v>1800</v>
      </c>
      <c r="P524" s="11">
        <f>_xlfn.XLOOKUP(order[[#This Row],[order_id]],shipment[order_id],shipment[ship_date])</f>
        <v>45611</v>
      </c>
      <c r="Q524" s="11">
        <f>_xlfn.XLOOKUP(order[[#This Row],[order_id]],shipment[order_id],shipment[delivery_date])</f>
        <v>45619</v>
      </c>
      <c r="R524" s="3" t="str">
        <f>_xlfn.XLOOKUP(order[[#This Row],[order_id]],shipment[shipment_id],shipment[courier])</f>
        <v>Delhivery</v>
      </c>
      <c r="S524" s="3">
        <f>order[[#This Row],[selling_price]]-order[[#This Row],[cost_price]]*order[[#This Row],[quantity]]-order[[#This Row],[discount]]</f>
        <v>44825</v>
      </c>
      <c r="T524" s="3">
        <f>order[[#This Row],[quantity]]*order[[#This Row],[selling_price]]</f>
        <v>214740</v>
      </c>
    </row>
    <row r="525" spans="1:20" x14ac:dyDescent="0.3">
      <c r="A525">
        <v>816</v>
      </c>
      <c r="B525" s="11">
        <v>45330</v>
      </c>
      <c r="C525">
        <v>149</v>
      </c>
      <c r="D525" t="str">
        <f>_xlfn.XLOOKUP(order[[#This Row],[customer_id]],customer[customer_id],customer[customer_name])</f>
        <v>Karan Patel</v>
      </c>
      <c r="E525">
        <v>202</v>
      </c>
      <c r="F525">
        <v>3</v>
      </c>
      <c r="G525">
        <v>24950</v>
      </c>
      <c r="H525">
        <v>26</v>
      </c>
      <c r="I525" t="s">
        <v>13</v>
      </c>
      <c r="J525" t="s">
        <v>14</v>
      </c>
      <c r="K525" t="str">
        <f>_xlfn.XLOOKUP(order[[#This Row],[customer_id]],customer[customer_id],customer[city])</f>
        <v>Delhi</v>
      </c>
      <c r="L525" t="str">
        <f>_xlfn.XLOOKUP(order[[#This Row],[customer_id]],customer[customer_id],customer[state])</f>
        <v>Delhi</v>
      </c>
      <c r="M525" t="str">
        <f>_xlfn.XLOOKUP(order[[#This Row],[product_id]],products!$A$2:$A$11,products!$B$2:$B$11)</f>
        <v>Samsung Galaxy S21</v>
      </c>
      <c r="N525" s="3" t="str">
        <f>_xlfn.XLOOKUP(order[[#This Row],[product_id]],products!$A$2:$A$11,products!$C$2:$C$11)</f>
        <v>Electronics</v>
      </c>
      <c r="O525" s="3">
        <f>_xlfn.XLOOKUP(order[[#This Row],[product_id]],Table4[product_id],Table4[cost_price])</f>
        <v>45000</v>
      </c>
      <c r="P525" s="11">
        <f>_xlfn.XLOOKUP(order[[#This Row],[order_id]],shipment[order_id],shipment[ship_date])</f>
        <v>45296</v>
      </c>
      <c r="Q525" s="11">
        <f>_xlfn.XLOOKUP(order[[#This Row],[order_id]],shipment[order_id],shipment[delivery_date])</f>
        <v>45306</v>
      </c>
      <c r="R525" s="3" t="str">
        <f>_xlfn.XLOOKUP(order[[#This Row],[order_id]],shipment[shipment_id],shipment[courier])</f>
        <v>BlueDart</v>
      </c>
      <c r="S525" s="3">
        <f>order[[#This Row],[selling_price]]-order[[#This Row],[cost_price]]*order[[#This Row],[quantity]]-order[[#This Row],[discount]]</f>
        <v>-110076</v>
      </c>
      <c r="T525" s="3">
        <f>order[[#This Row],[quantity]]*order[[#This Row],[selling_price]]</f>
        <v>74850</v>
      </c>
    </row>
    <row r="526" spans="1:20" x14ac:dyDescent="0.3">
      <c r="A526">
        <v>525</v>
      </c>
      <c r="B526" s="11">
        <v>45577</v>
      </c>
      <c r="C526">
        <v>131</v>
      </c>
      <c r="D526" t="str">
        <f>_xlfn.XLOOKUP(order[[#This Row],[customer_id]],customer[customer_id],customer[customer_name])</f>
        <v>Siddharth Jain</v>
      </c>
      <c r="E526">
        <v>204</v>
      </c>
      <c r="F526">
        <v>1</v>
      </c>
      <c r="G526">
        <v>13828</v>
      </c>
      <c r="H526">
        <v>1376</v>
      </c>
      <c r="I526" t="s">
        <v>13</v>
      </c>
      <c r="J526" t="s">
        <v>10</v>
      </c>
      <c r="K526" t="str">
        <f>_xlfn.XLOOKUP(order[[#This Row],[customer_id]],customer[customer_id],customer[city])</f>
        <v>Mumbai</v>
      </c>
      <c r="L526" t="str">
        <f>_xlfn.XLOOKUP(order[[#This Row],[customer_id]],customer[customer_id],customer[state])</f>
        <v>Maharashtra</v>
      </c>
      <c r="M526" t="str">
        <f>_xlfn.XLOOKUP(order[[#This Row],[product_id]],products!$A$2:$A$11,products!$B$2:$B$11)</f>
        <v>Levi's Slim Fit Jeans</v>
      </c>
      <c r="N526" s="3" t="str">
        <f>_xlfn.XLOOKUP(order[[#This Row],[product_id]],products!$A$2:$A$11,products!$C$2:$C$11)</f>
        <v>Fashion</v>
      </c>
      <c r="O526" s="3">
        <f>_xlfn.XLOOKUP(order[[#This Row],[product_id]],Table4[product_id],Table4[cost_price])</f>
        <v>1800</v>
      </c>
      <c r="P526" s="11">
        <f>_xlfn.XLOOKUP(order[[#This Row],[order_id]],shipment[order_id],shipment[ship_date])</f>
        <v>45484</v>
      </c>
      <c r="Q526" s="11">
        <f>_xlfn.XLOOKUP(order[[#This Row],[order_id]],shipment[order_id],shipment[delivery_date])</f>
        <v>45491</v>
      </c>
      <c r="R526" s="3" t="str">
        <f>_xlfn.XLOOKUP(order[[#This Row],[order_id]],shipment[shipment_id],shipment[courier])</f>
        <v>BlueDart</v>
      </c>
      <c r="S526" s="3">
        <f>order[[#This Row],[selling_price]]-order[[#This Row],[cost_price]]*order[[#This Row],[quantity]]-order[[#This Row],[discount]]</f>
        <v>10652</v>
      </c>
      <c r="T526" s="3">
        <f>order[[#This Row],[quantity]]*order[[#This Row],[selling_price]]</f>
        <v>13828</v>
      </c>
    </row>
    <row r="527" spans="1:20" x14ac:dyDescent="0.3">
      <c r="A527">
        <v>315</v>
      </c>
      <c r="B527" s="11">
        <v>45610</v>
      </c>
      <c r="C527">
        <v>122</v>
      </c>
      <c r="D527" t="str">
        <f>_xlfn.XLOOKUP(order[[#This Row],[customer_id]],customer[customer_id],customer[customer_name])</f>
        <v>Priya Reddy</v>
      </c>
      <c r="E527">
        <v>202</v>
      </c>
      <c r="F527">
        <v>3</v>
      </c>
      <c r="G527">
        <v>57971</v>
      </c>
      <c r="H527">
        <v>23</v>
      </c>
      <c r="I527" t="s">
        <v>15</v>
      </c>
      <c r="J527" t="s">
        <v>12</v>
      </c>
      <c r="K527" t="str">
        <f>_xlfn.XLOOKUP(order[[#This Row],[customer_id]],customer[customer_id],customer[city])</f>
        <v>Hyderabad</v>
      </c>
      <c r="L527" t="str">
        <f>_xlfn.XLOOKUP(order[[#This Row],[customer_id]],customer[customer_id],customer[state])</f>
        <v>Telangana</v>
      </c>
      <c r="M527" t="str">
        <f>_xlfn.XLOOKUP(order[[#This Row],[product_id]],products!$A$2:$A$11,products!$B$2:$B$11)</f>
        <v>Samsung Galaxy S21</v>
      </c>
      <c r="N527" s="3" t="str">
        <f>_xlfn.XLOOKUP(order[[#This Row],[product_id]],products!$A$2:$A$11,products!$C$2:$C$11)</f>
        <v>Electronics</v>
      </c>
      <c r="O527" s="3">
        <f>_xlfn.XLOOKUP(order[[#This Row],[product_id]],Table4[product_id],Table4[cost_price])</f>
        <v>45000</v>
      </c>
      <c r="P527" s="11">
        <f>_xlfn.XLOOKUP(order[[#This Row],[order_id]],shipment[order_id],shipment[ship_date])</f>
        <v>45395</v>
      </c>
      <c r="Q527" s="11">
        <f>_xlfn.XLOOKUP(order[[#This Row],[order_id]],shipment[order_id],shipment[delivery_date])</f>
        <v>45402</v>
      </c>
      <c r="R527" s="3" t="str">
        <f>_xlfn.XLOOKUP(order[[#This Row],[order_id]],shipment[shipment_id],shipment[courier])</f>
        <v>BlueDart</v>
      </c>
      <c r="S527" s="3">
        <f>order[[#This Row],[selling_price]]-order[[#This Row],[cost_price]]*order[[#This Row],[quantity]]-order[[#This Row],[discount]]</f>
        <v>-77052</v>
      </c>
      <c r="T527" s="3">
        <f>order[[#This Row],[quantity]]*order[[#This Row],[selling_price]]</f>
        <v>173913</v>
      </c>
    </row>
    <row r="528" spans="1:20" x14ac:dyDescent="0.3">
      <c r="A528">
        <v>517</v>
      </c>
      <c r="B528" s="11">
        <v>45429</v>
      </c>
      <c r="C528">
        <v>204</v>
      </c>
      <c r="D528" t="str">
        <f>_xlfn.XLOOKUP(order[[#This Row],[customer_id]],customer[customer_id],customer[customer_name])</f>
        <v>Meera Joshi</v>
      </c>
      <c r="E528">
        <v>210</v>
      </c>
      <c r="F528">
        <v>4</v>
      </c>
      <c r="G528">
        <v>63281</v>
      </c>
      <c r="H528">
        <v>4961</v>
      </c>
      <c r="I528" t="s">
        <v>9</v>
      </c>
      <c r="J528" t="s">
        <v>14</v>
      </c>
      <c r="K528" t="str">
        <f>_xlfn.XLOOKUP(order[[#This Row],[customer_id]],customer[customer_id],customer[city])</f>
        <v>Mumbai</v>
      </c>
      <c r="L528" t="str">
        <f>_xlfn.XLOOKUP(order[[#This Row],[customer_id]],customer[customer_id],customer[state])</f>
        <v>Maharashtra</v>
      </c>
      <c r="M528" t="str">
        <f>_xlfn.XLOOKUP(order[[#This Row],[product_id]],products!$A$2:$A$11,products!$B$2:$B$11)</f>
        <v>LG 43 Inch Smart TV</v>
      </c>
      <c r="N528" s="3" t="str">
        <f>_xlfn.XLOOKUP(order[[#This Row],[product_id]],products!$A$2:$A$11,products!$C$2:$C$11)</f>
        <v>Electronics</v>
      </c>
      <c r="O528" s="3">
        <f>_xlfn.XLOOKUP(order[[#This Row],[product_id]],Table4[product_id],Table4[cost_price])</f>
        <v>30000</v>
      </c>
      <c r="P528" s="11">
        <f>_xlfn.XLOOKUP(order[[#This Row],[order_id]],shipment[order_id],shipment[ship_date])</f>
        <v>45456</v>
      </c>
      <c r="Q528" s="11">
        <f>_xlfn.XLOOKUP(order[[#This Row],[order_id]],shipment[order_id],shipment[delivery_date])</f>
        <v>45458</v>
      </c>
      <c r="R528" s="3" t="str">
        <f>_xlfn.XLOOKUP(order[[#This Row],[order_id]],shipment[shipment_id],shipment[courier])</f>
        <v>Ekart</v>
      </c>
      <c r="S528" s="3">
        <f>order[[#This Row],[selling_price]]-order[[#This Row],[cost_price]]*order[[#This Row],[quantity]]-order[[#This Row],[discount]]</f>
        <v>-61680</v>
      </c>
      <c r="T528" s="3">
        <f>order[[#This Row],[quantity]]*order[[#This Row],[selling_price]]</f>
        <v>253124</v>
      </c>
    </row>
    <row r="529" spans="1:20" x14ac:dyDescent="0.3">
      <c r="A529">
        <v>528</v>
      </c>
      <c r="B529" s="11">
        <v>45329</v>
      </c>
      <c r="C529">
        <v>152</v>
      </c>
      <c r="D529" t="str">
        <f>_xlfn.XLOOKUP(order[[#This Row],[customer_id]],customer[customer_id],customer[customer_name])</f>
        <v>Manish Yadav</v>
      </c>
      <c r="E529">
        <v>205</v>
      </c>
      <c r="F529">
        <v>4</v>
      </c>
      <c r="G529">
        <v>13354</v>
      </c>
      <c r="H529">
        <v>62</v>
      </c>
      <c r="I529" t="s">
        <v>13</v>
      </c>
      <c r="J529" t="s">
        <v>12</v>
      </c>
      <c r="K529" t="str">
        <f>_xlfn.XLOOKUP(order[[#This Row],[customer_id]],customer[customer_id],customer[city])</f>
        <v>Bangalore</v>
      </c>
      <c r="L529" t="str">
        <f>_xlfn.XLOOKUP(order[[#This Row],[customer_id]],customer[customer_id],customer[state])</f>
        <v>Karnataka</v>
      </c>
      <c r="M529" t="str">
        <f>_xlfn.XLOOKUP(order[[#This Row],[product_id]],products!$A$2:$A$11,products!$B$2:$B$11)</f>
        <v>Prestige Pressure Cooker 5L</v>
      </c>
      <c r="N529" s="3" t="str">
        <f>_xlfn.XLOOKUP(order[[#This Row],[product_id]],products!$A$2:$A$11,products!$C$2:$C$11)</f>
        <v>Home &amp; Kitchen</v>
      </c>
      <c r="O529" s="3">
        <f>_xlfn.XLOOKUP(order[[#This Row],[product_id]],Table4[product_id],Table4[cost_price])</f>
        <v>1200</v>
      </c>
      <c r="P529" s="11">
        <f>_xlfn.XLOOKUP(order[[#This Row],[order_id]],shipment[order_id],shipment[ship_date])</f>
        <v>45352</v>
      </c>
      <c r="Q529" s="11">
        <f>_xlfn.XLOOKUP(order[[#This Row],[order_id]],shipment[order_id],shipment[delivery_date])</f>
        <v>45361</v>
      </c>
      <c r="R529" s="3" t="str">
        <f>_xlfn.XLOOKUP(order[[#This Row],[order_id]],shipment[shipment_id],shipment[courier])</f>
        <v>DTDC</v>
      </c>
      <c r="S529" s="3">
        <f>order[[#This Row],[selling_price]]-order[[#This Row],[cost_price]]*order[[#This Row],[quantity]]-order[[#This Row],[discount]]</f>
        <v>8492</v>
      </c>
      <c r="T529" s="3">
        <f>order[[#This Row],[quantity]]*order[[#This Row],[selling_price]]</f>
        <v>53416</v>
      </c>
    </row>
    <row r="530" spans="1:20" x14ac:dyDescent="0.3">
      <c r="A530">
        <v>529</v>
      </c>
      <c r="B530" s="11">
        <v>45415</v>
      </c>
      <c r="C530">
        <v>147</v>
      </c>
      <c r="D530" t="str">
        <f>_xlfn.XLOOKUP(order[[#This Row],[customer_id]],customer[customer_id],customer[customer_name])</f>
        <v>Priya Reddy</v>
      </c>
      <c r="E530">
        <v>210</v>
      </c>
      <c r="F530">
        <v>1</v>
      </c>
      <c r="G530">
        <v>60788</v>
      </c>
      <c r="H530">
        <v>1192</v>
      </c>
      <c r="I530" t="s">
        <v>11</v>
      </c>
      <c r="J530" t="s">
        <v>12</v>
      </c>
      <c r="K530" t="str">
        <f>_xlfn.XLOOKUP(order[[#This Row],[customer_id]],customer[customer_id],customer[city])</f>
        <v>Delhi</v>
      </c>
      <c r="L530" t="str">
        <f>_xlfn.XLOOKUP(order[[#This Row],[customer_id]],customer[customer_id],customer[state])</f>
        <v>Delhi</v>
      </c>
      <c r="M530" t="str">
        <f>_xlfn.XLOOKUP(order[[#This Row],[product_id]],products!$A$2:$A$11,products!$B$2:$B$11)</f>
        <v>LG 43 Inch Smart TV</v>
      </c>
      <c r="N530" s="3" t="str">
        <f>_xlfn.XLOOKUP(order[[#This Row],[product_id]],products!$A$2:$A$11,products!$C$2:$C$11)</f>
        <v>Electronics</v>
      </c>
      <c r="O530" s="3">
        <f>_xlfn.XLOOKUP(order[[#This Row],[product_id]],Table4[product_id],Table4[cost_price])</f>
        <v>30000</v>
      </c>
      <c r="P530" s="11">
        <f>_xlfn.XLOOKUP(order[[#This Row],[order_id]],shipment[order_id],shipment[ship_date])</f>
        <v>45448</v>
      </c>
      <c r="Q530" s="11">
        <f>_xlfn.XLOOKUP(order[[#This Row],[order_id]],shipment[order_id],shipment[delivery_date])</f>
        <v>45450</v>
      </c>
      <c r="R530" s="3" t="str">
        <f>_xlfn.XLOOKUP(order[[#This Row],[order_id]],shipment[shipment_id],shipment[courier])</f>
        <v>BlueDart</v>
      </c>
      <c r="S530" s="3">
        <f>order[[#This Row],[selling_price]]-order[[#This Row],[cost_price]]*order[[#This Row],[quantity]]-order[[#This Row],[discount]]</f>
        <v>29596</v>
      </c>
      <c r="T530" s="3">
        <f>order[[#This Row],[quantity]]*order[[#This Row],[selling_price]]</f>
        <v>60788</v>
      </c>
    </row>
    <row r="531" spans="1:20" x14ac:dyDescent="0.3">
      <c r="A531">
        <v>1071</v>
      </c>
      <c r="B531" s="11">
        <v>45486</v>
      </c>
      <c r="C531">
        <v>103</v>
      </c>
      <c r="D531" t="str">
        <f>_xlfn.XLOOKUP(order[[#This Row],[customer_id]],customer[customer_id],customer[customer_name])</f>
        <v>Vikram Singh</v>
      </c>
      <c r="E531">
        <v>210</v>
      </c>
      <c r="F531">
        <v>4</v>
      </c>
      <c r="G531">
        <v>22855</v>
      </c>
      <c r="H531">
        <v>4940</v>
      </c>
      <c r="I531" t="s">
        <v>15</v>
      </c>
      <c r="J531" t="s">
        <v>12</v>
      </c>
      <c r="K531" t="str">
        <f>_xlfn.XLOOKUP(order[[#This Row],[customer_id]],customer[customer_id],customer[city])</f>
        <v>Delhi</v>
      </c>
      <c r="L531" t="str">
        <f>_xlfn.XLOOKUP(order[[#This Row],[customer_id]],customer[customer_id],customer[state])</f>
        <v>Delhi</v>
      </c>
      <c r="M531" t="str">
        <f>_xlfn.XLOOKUP(order[[#This Row],[product_id]],products!$A$2:$A$11,products!$B$2:$B$11)</f>
        <v>LG 43 Inch Smart TV</v>
      </c>
      <c r="N531" s="3" t="str">
        <f>_xlfn.XLOOKUP(order[[#This Row],[product_id]],products!$A$2:$A$11,products!$C$2:$C$11)</f>
        <v>Electronics</v>
      </c>
      <c r="O531" s="3">
        <f>_xlfn.XLOOKUP(order[[#This Row],[product_id]],Table4[product_id],Table4[cost_price])</f>
        <v>30000</v>
      </c>
      <c r="P531" s="11">
        <f>_xlfn.XLOOKUP(order[[#This Row],[order_id]],shipment[order_id],shipment[ship_date])</f>
        <v>45388</v>
      </c>
      <c r="Q531" s="11">
        <f>_xlfn.XLOOKUP(order[[#This Row],[order_id]],shipment[order_id],shipment[delivery_date])</f>
        <v>45391</v>
      </c>
      <c r="R531" s="3" t="str">
        <f>_xlfn.XLOOKUP(order[[#This Row],[order_id]],shipment[shipment_id],shipment[courier])</f>
        <v>Delhivery</v>
      </c>
      <c r="S531" s="3">
        <f>order[[#This Row],[selling_price]]-order[[#This Row],[cost_price]]*order[[#This Row],[quantity]]-order[[#This Row],[discount]]</f>
        <v>-102085</v>
      </c>
      <c r="T531" s="3">
        <f>order[[#This Row],[quantity]]*order[[#This Row],[selling_price]]</f>
        <v>91420</v>
      </c>
    </row>
    <row r="532" spans="1:20" x14ac:dyDescent="0.3">
      <c r="A532">
        <v>70</v>
      </c>
      <c r="B532" s="11">
        <v>45347</v>
      </c>
      <c r="C532">
        <v>174</v>
      </c>
      <c r="D532" t="str">
        <f>_xlfn.XLOOKUP(order[[#This Row],[customer_id]],customer[customer_id],customer[customer_name])</f>
        <v>Rohit Verma</v>
      </c>
      <c r="E532">
        <v>210</v>
      </c>
      <c r="F532">
        <v>3</v>
      </c>
      <c r="G532">
        <v>31636</v>
      </c>
      <c r="H532">
        <v>4934</v>
      </c>
      <c r="I532" t="s">
        <v>15</v>
      </c>
      <c r="J532" t="s">
        <v>14</v>
      </c>
      <c r="K532" t="str">
        <f>_xlfn.XLOOKUP(order[[#This Row],[customer_id]],customer[customer_id],customer[city])</f>
        <v>Delhi</v>
      </c>
      <c r="L532" t="str">
        <f>_xlfn.XLOOKUP(order[[#This Row],[customer_id]],customer[customer_id],customer[state])</f>
        <v>Delhi</v>
      </c>
      <c r="M532" t="str">
        <f>_xlfn.XLOOKUP(order[[#This Row],[product_id]],products!$A$2:$A$11,products!$B$2:$B$11)</f>
        <v>LG 43 Inch Smart TV</v>
      </c>
      <c r="N532" s="3" t="str">
        <f>_xlfn.XLOOKUP(order[[#This Row],[product_id]],products!$A$2:$A$11,products!$C$2:$C$11)</f>
        <v>Electronics</v>
      </c>
      <c r="O532" s="3">
        <f>_xlfn.XLOOKUP(order[[#This Row],[product_id]],Table4[product_id],Table4[cost_price])</f>
        <v>30000</v>
      </c>
      <c r="P532" s="11">
        <f>_xlfn.XLOOKUP(order[[#This Row],[order_id]],shipment[order_id],shipment[ship_date])</f>
        <v>45656</v>
      </c>
      <c r="Q532" s="11">
        <f>_xlfn.XLOOKUP(order[[#This Row],[order_id]],shipment[order_id],shipment[delivery_date])</f>
        <v>45660</v>
      </c>
      <c r="R532" s="3" t="str">
        <f>_xlfn.XLOOKUP(order[[#This Row],[order_id]],shipment[shipment_id],shipment[courier])</f>
        <v>Delhivery</v>
      </c>
      <c r="S532" s="3">
        <f>order[[#This Row],[selling_price]]-order[[#This Row],[cost_price]]*order[[#This Row],[quantity]]-order[[#This Row],[discount]]</f>
        <v>-63298</v>
      </c>
      <c r="T532" s="3">
        <f>order[[#This Row],[quantity]]*order[[#This Row],[selling_price]]</f>
        <v>94908</v>
      </c>
    </row>
    <row r="533" spans="1:20" x14ac:dyDescent="0.3">
      <c r="A533">
        <v>532</v>
      </c>
      <c r="B533" s="11">
        <v>45521</v>
      </c>
      <c r="C533">
        <v>298</v>
      </c>
      <c r="D533" t="str">
        <f>_xlfn.XLOOKUP(order[[#This Row],[customer_id]],customer[customer_id],customer[customer_name])</f>
        <v>Karan Patel</v>
      </c>
      <c r="E533">
        <v>208</v>
      </c>
      <c r="F533">
        <v>3</v>
      </c>
      <c r="G533">
        <v>54001</v>
      </c>
      <c r="H533">
        <v>4928</v>
      </c>
      <c r="I533" t="s">
        <v>13</v>
      </c>
      <c r="J533" t="s">
        <v>10</v>
      </c>
      <c r="K533" t="str">
        <f>_xlfn.XLOOKUP(order[[#This Row],[customer_id]],customer[customer_id],customer[city])</f>
        <v>Bangalore</v>
      </c>
      <c r="L533" t="str">
        <f>_xlfn.XLOOKUP(order[[#This Row],[customer_id]],customer[customer_id],customer[state])</f>
        <v>Karnataka</v>
      </c>
      <c r="M533" t="str">
        <f>_xlfn.XLOOKUP(order[[#This Row],[product_id]],products!$A$2:$A$11,products!$B$2:$B$11)</f>
        <v>Adidas Ultraboost Shoes</v>
      </c>
      <c r="N533" s="3" t="str">
        <f>_xlfn.XLOOKUP(order[[#This Row],[product_id]],products!$A$2:$A$11,products!$C$2:$C$11)</f>
        <v>Fashion</v>
      </c>
      <c r="O533" s="3">
        <f>_xlfn.XLOOKUP(order[[#This Row],[product_id]],Table4[product_id],Table4[cost_price])</f>
        <v>9000</v>
      </c>
      <c r="P533" s="11">
        <f>_xlfn.XLOOKUP(order[[#This Row],[order_id]],shipment[order_id],shipment[ship_date])</f>
        <v>45390</v>
      </c>
      <c r="Q533" s="11">
        <f>_xlfn.XLOOKUP(order[[#This Row],[order_id]],shipment[order_id],shipment[delivery_date])</f>
        <v>45399</v>
      </c>
      <c r="R533" s="3" t="str">
        <f>_xlfn.XLOOKUP(order[[#This Row],[order_id]],shipment[shipment_id],shipment[courier])</f>
        <v>BlueDart</v>
      </c>
      <c r="S533" s="3">
        <f>order[[#This Row],[selling_price]]-order[[#This Row],[cost_price]]*order[[#This Row],[quantity]]-order[[#This Row],[discount]]</f>
        <v>22073</v>
      </c>
      <c r="T533" s="3">
        <f>order[[#This Row],[quantity]]*order[[#This Row],[selling_price]]</f>
        <v>162003</v>
      </c>
    </row>
    <row r="534" spans="1:20" x14ac:dyDescent="0.3">
      <c r="A534">
        <v>361</v>
      </c>
      <c r="B534" s="11">
        <v>45506</v>
      </c>
      <c r="C534">
        <v>209</v>
      </c>
      <c r="D534" t="str">
        <f>_xlfn.XLOOKUP(order[[#This Row],[customer_id]],customer[customer_id],customer[customer_name])</f>
        <v>Neha Kapoor</v>
      </c>
      <c r="E534">
        <v>210</v>
      </c>
      <c r="F534">
        <v>1</v>
      </c>
      <c r="G534">
        <v>3511</v>
      </c>
      <c r="H534">
        <v>4899</v>
      </c>
      <c r="I534" t="s">
        <v>13</v>
      </c>
      <c r="J534" t="s">
        <v>10</v>
      </c>
      <c r="K534" t="str">
        <f>_xlfn.XLOOKUP(order[[#This Row],[customer_id]],customer[customer_id],customer[city])</f>
        <v>Mumbai</v>
      </c>
      <c r="L534" t="str">
        <f>_xlfn.XLOOKUP(order[[#This Row],[customer_id]],customer[customer_id],customer[state])</f>
        <v>Maharashtra</v>
      </c>
      <c r="M534" t="str">
        <f>_xlfn.XLOOKUP(order[[#This Row],[product_id]],products!$A$2:$A$11,products!$B$2:$B$11)</f>
        <v>LG 43 Inch Smart TV</v>
      </c>
      <c r="N534" s="3" t="str">
        <f>_xlfn.XLOOKUP(order[[#This Row],[product_id]],products!$A$2:$A$11,products!$C$2:$C$11)</f>
        <v>Electronics</v>
      </c>
      <c r="O534" s="3">
        <f>_xlfn.XLOOKUP(order[[#This Row],[product_id]],Table4[product_id],Table4[cost_price])</f>
        <v>30000</v>
      </c>
      <c r="P534" s="11">
        <f>_xlfn.XLOOKUP(order[[#This Row],[order_id]],shipment[order_id],shipment[ship_date])</f>
        <v>45378</v>
      </c>
      <c r="Q534" s="11">
        <f>_xlfn.XLOOKUP(order[[#This Row],[order_id]],shipment[order_id],shipment[delivery_date])</f>
        <v>45388</v>
      </c>
      <c r="R534" s="3" t="str">
        <f>_xlfn.XLOOKUP(order[[#This Row],[order_id]],shipment[shipment_id],shipment[courier])</f>
        <v>Ekart</v>
      </c>
      <c r="S534" s="3">
        <f>order[[#This Row],[selling_price]]-order[[#This Row],[cost_price]]*order[[#This Row],[quantity]]-order[[#This Row],[discount]]</f>
        <v>-31388</v>
      </c>
      <c r="T534" s="3">
        <f>order[[#This Row],[quantity]]*order[[#This Row],[selling_price]]</f>
        <v>3511</v>
      </c>
    </row>
    <row r="535" spans="1:20" x14ac:dyDescent="0.3">
      <c r="A535">
        <v>785</v>
      </c>
      <c r="B535" s="11">
        <v>45517</v>
      </c>
      <c r="C535">
        <v>230</v>
      </c>
      <c r="D535" t="str">
        <f>_xlfn.XLOOKUP(order[[#This Row],[customer_id]],customer[customer_id],customer[customer_name])</f>
        <v>Rohit Verma</v>
      </c>
      <c r="E535">
        <v>210</v>
      </c>
      <c r="F535">
        <v>4</v>
      </c>
      <c r="G535">
        <v>67191</v>
      </c>
      <c r="H535">
        <v>4890</v>
      </c>
      <c r="I535" t="s">
        <v>15</v>
      </c>
      <c r="J535" t="s">
        <v>10</v>
      </c>
      <c r="K535" t="str">
        <f>_xlfn.XLOOKUP(order[[#This Row],[customer_id]],customer[customer_id],customer[city])</f>
        <v>Mumbai</v>
      </c>
      <c r="L535" t="str">
        <f>_xlfn.XLOOKUP(order[[#This Row],[customer_id]],customer[customer_id],customer[state])</f>
        <v>Maharashtra</v>
      </c>
      <c r="M535" t="str">
        <f>_xlfn.XLOOKUP(order[[#This Row],[product_id]],products!$A$2:$A$11,products!$B$2:$B$11)</f>
        <v>LG 43 Inch Smart TV</v>
      </c>
      <c r="N535" s="3" t="str">
        <f>_xlfn.XLOOKUP(order[[#This Row],[product_id]],products!$A$2:$A$11,products!$C$2:$C$11)</f>
        <v>Electronics</v>
      </c>
      <c r="O535" s="3">
        <f>_xlfn.XLOOKUP(order[[#This Row],[product_id]],Table4[product_id],Table4[cost_price])</f>
        <v>30000</v>
      </c>
      <c r="P535" s="11">
        <f>_xlfn.XLOOKUP(order[[#This Row],[order_id]],shipment[order_id],shipment[ship_date])</f>
        <v>45394</v>
      </c>
      <c r="Q535" s="11">
        <f>_xlfn.XLOOKUP(order[[#This Row],[order_id]],shipment[order_id],shipment[delivery_date])</f>
        <v>45400</v>
      </c>
      <c r="R535" s="3" t="str">
        <f>_xlfn.XLOOKUP(order[[#This Row],[order_id]],shipment[shipment_id],shipment[courier])</f>
        <v>DTDC</v>
      </c>
      <c r="S535" s="3">
        <f>order[[#This Row],[selling_price]]-order[[#This Row],[cost_price]]*order[[#This Row],[quantity]]-order[[#This Row],[discount]]</f>
        <v>-57699</v>
      </c>
      <c r="T535" s="3">
        <f>order[[#This Row],[quantity]]*order[[#This Row],[selling_price]]</f>
        <v>268764</v>
      </c>
    </row>
    <row r="536" spans="1:20" x14ac:dyDescent="0.3">
      <c r="A536">
        <v>225</v>
      </c>
      <c r="B536" s="11">
        <v>45320</v>
      </c>
      <c r="C536">
        <v>147</v>
      </c>
      <c r="D536" t="str">
        <f>_xlfn.XLOOKUP(order[[#This Row],[customer_id]],customer[customer_id],customer[customer_name])</f>
        <v>Priya Reddy</v>
      </c>
      <c r="E536">
        <v>210</v>
      </c>
      <c r="F536">
        <v>2</v>
      </c>
      <c r="G536">
        <v>12802</v>
      </c>
      <c r="H536">
        <v>4874</v>
      </c>
      <c r="I536" t="s">
        <v>9</v>
      </c>
      <c r="J536" t="s">
        <v>10</v>
      </c>
      <c r="K536" t="str">
        <f>_xlfn.XLOOKUP(order[[#This Row],[customer_id]],customer[customer_id],customer[city])</f>
        <v>Delhi</v>
      </c>
      <c r="L536" t="str">
        <f>_xlfn.XLOOKUP(order[[#This Row],[customer_id]],customer[customer_id],customer[state])</f>
        <v>Delhi</v>
      </c>
      <c r="M536" t="str">
        <f>_xlfn.XLOOKUP(order[[#This Row],[product_id]],products!$A$2:$A$11,products!$B$2:$B$11)</f>
        <v>LG 43 Inch Smart TV</v>
      </c>
      <c r="N536" s="3" t="str">
        <f>_xlfn.XLOOKUP(order[[#This Row],[product_id]],products!$A$2:$A$11,products!$C$2:$C$11)</f>
        <v>Electronics</v>
      </c>
      <c r="O536" s="3">
        <f>_xlfn.XLOOKUP(order[[#This Row],[product_id]],Table4[product_id],Table4[cost_price])</f>
        <v>30000</v>
      </c>
      <c r="P536" s="11">
        <f>_xlfn.XLOOKUP(order[[#This Row],[order_id]],shipment[order_id],shipment[ship_date])</f>
        <v>45439</v>
      </c>
      <c r="Q536" s="11">
        <f>_xlfn.XLOOKUP(order[[#This Row],[order_id]],shipment[order_id],shipment[delivery_date])</f>
        <v>45449</v>
      </c>
      <c r="R536" s="3" t="str">
        <f>_xlfn.XLOOKUP(order[[#This Row],[order_id]],shipment[shipment_id],shipment[courier])</f>
        <v>DTDC</v>
      </c>
      <c r="S536" s="3">
        <f>order[[#This Row],[selling_price]]-order[[#This Row],[cost_price]]*order[[#This Row],[quantity]]-order[[#This Row],[discount]]</f>
        <v>-52072</v>
      </c>
      <c r="T536" s="3">
        <f>order[[#This Row],[quantity]]*order[[#This Row],[selling_price]]</f>
        <v>25604</v>
      </c>
    </row>
    <row r="537" spans="1:20" x14ac:dyDescent="0.3">
      <c r="A537">
        <v>536</v>
      </c>
      <c r="B537" s="11">
        <v>45407</v>
      </c>
      <c r="C537">
        <v>166</v>
      </c>
      <c r="D537" t="str">
        <f>_xlfn.XLOOKUP(order[[#This Row],[customer_id]],customer[customer_id],customer[customer_name])</f>
        <v>Meera Joshi</v>
      </c>
      <c r="E537">
        <v>203</v>
      </c>
      <c r="F537">
        <v>2</v>
      </c>
      <c r="G537">
        <v>60025</v>
      </c>
      <c r="H537">
        <v>1669</v>
      </c>
      <c r="I537" t="s">
        <v>13</v>
      </c>
      <c r="J537" t="s">
        <v>12</v>
      </c>
      <c r="K537" t="str">
        <f>_xlfn.XLOOKUP(order[[#This Row],[customer_id]],customer[customer_id],customer[city])</f>
        <v>Pune</v>
      </c>
      <c r="L537" t="str">
        <f>_xlfn.XLOOKUP(order[[#This Row],[customer_id]],customer[customer_id],customer[state])</f>
        <v>Maharashtra</v>
      </c>
      <c r="M537" t="str">
        <f>_xlfn.XLOOKUP(order[[#This Row],[product_id]],products!$A$2:$A$11,products!$B$2:$B$11)</f>
        <v>Nike Air Max Shoes</v>
      </c>
      <c r="N537" s="3" t="str">
        <f>_xlfn.XLOOKUP(order[[#This Row],[product_id]],products!$A$2:$A$11,products!$C$2:$C$11)</f>
        <v>Fashion</v>
      </c>
      <c r="O537" s="3">
        <f>_xlfn.XLOOKUP(order[[#This Row],[product_id]],Table4[product_id],Table4[cost_price])</f>
        <v>4000</v>
      </c>
      <c r="P537" s="11">
        <f>_xlfn.XLOOKUP(order[[#This Row],[order_id]],shipment[order_id],shipment[ship_date])</f>
        <v>45402</v>
      </c>
      <c r="Q537" s="11">
        <f>_xlfn.XLOOKUP(order[[#This Row],[order_id]],shipment[order_id],shipment[delivery_date])</f>
        <v>45406</v>
      </c>
      <c r="R537" s="3" t="str">
        <f>_xlfn.XLOOKUP(order[[#This Row],[order_id]],shipment[shipment_id],shipment[courier])</f>
        <v>DTDC</v>
      </c>
      <c r="S537" s="3">
        <f>order[[#This Row],[selling_price]]-order[[#This Row],[cost_price]]*order[[#This Row],[quantity]]-order[[#This Row],[discount]]</f>
        <v>50356</v>
      </c>
      <c r="T537" s="3">
        <f>order[[#This Row],[quantity]]*order[[#This Row],[selling_price]]</f>
        <v>120050</v>
      </c>
    </row>
    <row r="538" spans="1:20" x14ac:dyDescent="0.3">
      <c r="A538">
        <v>310</v>
      </c>
      <c r="B538" s="11">
        <v>45401</v>
      </c>
      <c r="C538">
        <v>275</v>
      </c>
      <c r="D538" t="str">
        <f>_xlfn.XLOOKUP(order[[#This Row],[customer_id]],customer[customer_id],customer[customer_name])</f>
        <v>Rohit Verma</v>
      </c>
      <c r="E538">
        <v>210</v>
      </c>
      <c r="F538">
        <v>3</v>
      </c>
      <c r="G538">
        <v>45719</v>
      </c>
      <c r="H538">
        <v>4874</v>
      </c>
      <c r="I538" t="s">
        <v>15</v>
      </c>
      <c r="J538" t="s">
        <v>14</v>
      </c>
      <c r="K538" t="str">
        <f>_xlfn.XLOOKUP(order[[#This Row],[customer_id]],customer[customer_id],customer[city])</f>
        <v>Mumbai</v>
      </c>
      <c r="L538" t="str">
        <f>_xlfn.XLOOKUP(order[[#This Row],[customer_id]],customer[customer_id],customer[state])</f>
        <v>Maharashtra</v>
      </c>
      <c r="M538" t="str">
        <f>_xlfn.XLOOKUP(order[[#This Row],[product_id]],products!$A$2:$A$11,products!$B$2:$B$11)</f>
        <v>LG 43 Inch Smart TV</v>
      </c>
      <c r="N538" s="3" t="str">
        <f>_xlfn.XLOOKUP(order[[#This Row],[product_id]],products!$A$2:$A$11,products!$C$2:$C$11)</f>
        <v>Electronics</v>
      </c>
      <c r="O538" s="3">
        <f>_xlfn.XLOOKUP(order[[#This Row],[product_id]],Table4[product_id],Table4[cost_price])</f>
        <v>30000</v>
      </c>
      <c r="P538" s="11">
        <f>_xlfn.XLOOKUP(order[[#This Row],[order_id]],shipment[order_id],shipment[ship_date])</f>
        <v>45636</v>
      </c>
      <c r="Q538" s="11">
        <f>_xlfn.XLOOKUP(order[[#This Row],[order_id]],shipment[order_id],shipment[delivery_date])</f>
        <v>45638</v>
      </c>
      <c r="R538" s="3" t="str">
        <f>_xlfn.XLOOKUP(order[[#This Row],[order_id]],shipment[shipment_id],shipment[courier])</f>
        <v>DTDC</v>
      </c>
      <c r="S538" s="3">
        <f>order[[#This Row],[selling_price]]-order[[#This Row],[cost_price]]*order[[#This Row],[quantity]]-order[[#This Row],[discount]]</f>
        <v>-49155</v>
      </c>
      <c r="T538" s="3">
        <f>order[[#This Row],[quantity]]*order[[#This Row],[selling_price]]</f>
        <v>137157</v>
      </c>
    </row>
    <row r="539" spans="1:20" x14ac:dyDescent="0.3">
      <c r="A539">
        <v>538</v>
      </c>
      <c r="B539" s="11">
        <v>45324</v>
      </c>
      <c r="C539">
        <v>185</v>
      </c>
      <c r="D539" t="str">
        <f>_xlfn.XLOOKUP(order[[#This Row],[customer_id]],customer[customer_id],customer[customer_name])</f>
        <v>Karan Patel</v>
      </c>
      <c r="E539">
        <v>203</v>
      </c>
      <c r="F539">
        <v>2</v>
      </c>
      <c r="G539">
        <v>28165</v>
      </c>
      <c r="H539">
        <v>78</v>
      </c>
      <c r="I539" t="s">
        <v>9</v>
      </c>
      <c r="J539" t="s">
        <v>14</v>
      </c>
      <c r="K539" t="str">
        <f>_xlfn.XLOOKUP(order[[#This Row],[customer_id]],customer[customer_id],customer[city])</f>
        <v>Pune</v>
      </c>
      <c r="L539" t="str">
        <f>_xlfn.XLOOKUP(order[[#This Row],[customer_id]],customer[customer_id],customer[state])</f>
        <v>Maharashtra</v>
      </c>
      <c r="M539" t="str">
        <f>_xlfn.XLOOKUP(order[[#This Row],[product_id]],products!$A$2:$A$11,products!$B$2:$B$11)</f>
        <v>Nike Air Max Shoes</v>
      </c>
      <c r="N539" s="3" t="str">
        <f>_xlfn.XLOOKUP(order[[#This Row],[product_id]],products!$A$2:$A$11,products!$C$2:$C$11)</f>
        <v>Fashion</v>
      </c>
      <c r="O539" s="3">
        <f>_xlfn.XLOOKUP(order[[#This Row],[product_id]],Table4[product_id],Table4[cost_price])</f>
        <v>4000</v>
      </c>
      <c r="P539" s="11">
        <f>_xlfn.XLOOKUP(order[[#This Row],[order_id]],shipment[order_id],shipment[ship_date])</f>
        <v>45559</v>
      </c>
      <c r="Q539" s="11">
        <f>_xlfn.XLOOKUP(order[[#This Row],[order_id]],shipment[order_id],shipment[delivery_date])</f>
        <v>45560</v>
      </c>
      <c r="R539" s="3" t="str">
        <f>_xlfn.XLOOKUP(order[[#This Row],[order_id]],shipment[shipment_id],shipment[courier])</f>
        <v>Delhivery</v>
      </c>
      <c r="S539" s="3">
        <f>order[[#This Row],[selling_price]]-order[[#This Row],[cost_price]]*order[[#This Row],[quantity]]-order[[#This Row],[discount]]</f>
        <v>20087</v>
      </c>
      <c r="T539" s="3">
        <f>order[[#This Row],[quantity]]*order[[#This Row],[selling_price]]</f>
        <v>56330</v>
      </c>
    </row>
    <row r="540" spans="1:20" x14ac:dyDescent="0.3">
      <c r="A540">
        <v>460</v>
      </c>
      <c r="B540" s="11">
        <v>45559</v>
      </c>
      <c r="C540">
        <v>201</v>
      </c>
      <c r="D540" t="str">
        <f>_xlfn.XLOOKUP(order[[#This Row],[customer_id]],customer[customer_id],customer[customer_name])</f>
        <v>Ishita Bose</v>
      </c>
      <c r="E540">
        <v>210</v>
      </c>
      <c r="F540">
        <v>3</v>
      </c>
      <c r="G540">
        <v>15881</v>
      </c>
      <c r="H540">
        <v>4833</v>
      </c>
      <c r="I540" t="s">
        <v>13</v>
      </c>
      <c r="J540" t="s">
        <v>12</v>
      </c>
      <c r="K540" t="str">
        <f>_xlfn.XLOOKUP(order[[#This Row],[customer_id]],customer[customer_id],customer[city])</f>
        <v>Hyderabad</v>
      </c>
      <c r="L540" t="str">
        <f>_xlfn.XLOOKUP(order[[#This Row],[customer_id]],customer[customer_id],customer[state])</f>
        <v>Telangana</v>
      </c>
      <c r="M540" t="str">
        <f>_xlfn.XLOOKUP(order[[#This Row],[product_id]],products!$A$2:$A$11,products!$B$2:$B$11)</f>
        <v>LG 43 Inch Smart TV</v>
      </c>
      <c r="N540" s="3" t="str">
        <f>_xlfn.XLOOKUP(order[[#This Row],[product_id]],products!$A$2:$A$11,products!$C$2:$C$11)</f>
        <v>Electronics</v>
      </c>
      <c r="O540" s="3">
        <f>_xlfn.XLOOKUP(order[[#This Row],[product_id]],Table4[product_id],Table4[cost_price])</f>
        <v>30000</v>
      </c>
      <c r="P540" s="11">
        <f>_xlfn.XLOOKUP(order[[#This Row],[order_id]],shipment[order_id],shipment[ship_date])</f>
        <v>45635</v>
      </c>
      <c r="Q540" s="11">
        <f>_xlfn.XLOOKUP(order[[#This Row],[order_id]],shipment[order_id],shipment[delivery_date])</f>
        <v>45644</v>
      </c>
      <c r="R540" s="3" t="str">
        <f>_xlfn.XLOOKUP(order[[#This Row],[order_id]],shipment[shipment_id],shipment[courier])</f>
        <v>BlueDart</v>
      </c>
      <c r="S540" s="3">
        <f>order[[#This Row],[selling_price]]-order[[#This Row],[cost_price]]*order[[#This Row],[quantity]]-order[[#This Row],[discount]]</f>
        <v>-78952</v>
      </c>
      <c r="T540" s="3">
        <f>order[[#This Row],[quantity]]*order[[#This Row],[selling_price]]</f>
        <v>47643</v>
      </c>
    </row>
    <row r="541" spans="1:20" x14ac:dyDescent="0.3">
      <c r="A541">
        <v>625</v>
      </c>
      <c r="B541" s="11">
        <v>45391</v>
      </c>
      <c r="C541">
        <v>142</v>
      </c>
      <c r="D541" t="str">
        <f>_xlfn.XLOOKUP(order[[#This Row],[customer_id]],customer[customer_id],customer[customer_name])</f>
        <v>Rahul Mehta</v>
      </c>
      <c r="E541">
        <v>210</v>
      </c>
      <c r="F541">
        <v>4</v>
      </c>
      <c r="G541">
        <v>7028</v>
      </c>
      <c r="H541">
        <v>4808</v>
      </c>
      <c r="I541" t="s">
        <v>9</v>
      </c>
      <c r="J541" t="s">
        <v>12</v>
      </c>
      <c r="K541" t="str">
        <f>_xlfn.XLOOKUP(order[[#This Row],[customer_id]],customer[customer_id],customer[city])</f>
        <v>Pune</v>
      </c>
      <c r="L541" t="str">
        <f>_xlfn.XLOOKUP(order[[#This Row],[customer_id]],customer[customer_id],customer[state])</f>
        <v>Maharashtra</v>
      </c>
      <c r="M541" t="str">
        <f>_xlfn.XLOOKUP(order[[#This Row],[product_id]],products!$A$2:$A$11,products!$B$2:$B$11)</f>
        <v>LG 43 Inch Smart TV</v>
      </c>
      <c r="N541" s="3" t="str">
        <f>_xlfn.XLOOKUP(order[[#This Row],[product_id]],products!$A$2:$A$11,products!$C$2:$C$11)</f>
        <v>Electronics</v>
      </c>
      <c r="O541" s="3">
        <f>_xlfn.XLOOKUP(order[[#This Row],[product_id]],Table4[product_id],Table4[cost_price])</f>
        <v>30000</v>
      </c>
      <c r="P541" s="11">
        <f>_xlfn.XLOOKUP(order[[#This Row],[order_id]],shipment[order_id],shipment[ship_date])</f>
        <v>45439</v>
      </c>
      <c r="Q541" s="11">
        <f>_xlfn.XLOOKUP(order[[#This Row],[order_id]],shipment[order_id],shipment[delivery_date])</f>
        <v>45441</v>
      </c>
      <c r="R541" s="3" t="str">
        <f>_xlfn.XLOOKUP(order[[#This Row],[order_id]],shipment[shipment_id],shipment[courier])</f>
        <v>BlueDart</v>
      </c>
      <c r="S541" s="3">
        <f>order[[#This Row],[selling_price]]-order[[#This Row],[cost_price]]*order[[#This Row],[quantity]]-order[[#This Row],[discount]]</f>
        <v>-117780</v>
      </c>
      <c r="T541" s="3">
        <f>order[[#This Row],[quantity]]*order[[#This Row],[selling_price]]</f>
        <v>28112</v>
      </c>
    </row>
    <row r="542" spans="1:20" x14ac:dyDescent="0.3">
      <c r="A542">
        <v>541</v>
      </c>
      <c r="B542" s="11">
        <v>45644</v>
      </c>
      <c r="C542">
        <v>247</v>
      </c>
      <c r="D542" t="str">
        <f>_xlfn.XLOOKUP(order[[#This Row],[customer_id]],customer[customer_id],customer[customer_name])</f>
        <v>Pooja Nair</v>
      </c>
      <c r="E542">
        <v>210</v>
      </c>
      <c r="F542">
        <v>1</v>
      </c>
      <c r="G542">
        <v>61844</v>
      </c>
      <c r="H542">
        <v>1520</v>
      </c>
      <c r="I542" t="s">
        <v>11</v>
      </c>
      <c r="J542" t="s">
        <v>10</v>
      </c>
      <c r="K542" t="str">
        <f>_xlfn.XLOOKUP(order[[#This Row],[customer_id]],customer[customer_id],customer[city])</f>
        <v>Pune</v>
      </c>
      <c r="L542" t="str">
        <f>_xlfn.XLOOKUP(order[[#This Row],[customer_id]],customer[customer_id],customer[state])</f>
        <v>Maharashtra</v>
      </c>
      <c r="M542" t="str">
        <f>_xlfn.XLOOKUP(order[[#This Row],[product_id]],products!$A$2:$A$11,products!$B$2:$B$11)</f>
        <v>LG 43 Inch Smart TV</v>
      </c>
      <c r="N542" s="3" t="str">
        <f>_xlfn.XLOOKUP(order[[#This Row],[product_id]],products!$A$2:$A$11,products!$C$2:$C$11)</f>
        <v>Electronics</v>
      </c>
      <c r="O542" s="3">
        <f>_xlfn.XLOOKUP(order[[#This Row],[product_id]],Table4[product_id],Table4[cost_price])</f>
        <v>30000</v>
      </c>
      <c r="P542" s="11">
        <f>_xlfn.XLOOKUP(order[[#This Row],[order_id]],shipment[order_id],shipment[ship_date])</f>
        <v>45598</v>
      </c>
      <c r="Q542" s="11">
        <f>_xlfn.XLOOKUP(order[[#This Row],[order_id]],shipment[order_id],shipment[delivery_date])</f>
        <v>45603</v>
      </c>
      <c r="R542" s="3" t="str">
        <f>_xlfn.XLOOKUP(order[[#This Row],[order_id]],shipment[shipment_id],shipment[courier])</f>
        <v>Ekart</v>
      </c>
      <c r="S542" s="3">
        <f>order[[#This Row],[selling_price]]-order[[#This Row],[cost_price]]*order[[#This Row],[quantity]]-order[[#This Row],[discount]]</f>
        <v>30324</v>
      </c>
      <c r="T542" s="3">
        <f>order[[#This Row],[quantity]]*order[[#This Row],[selling_price]]</f>
        <v>61844</v>
      </c>
    </row>
    <row r="543" spans="1:20" x14ac:dyDescent="0.3">
      <c r="A543">
        <v>118</v>
      </c>
      <c r="B543" s="11">
        <v>45316</v>
      </c>
      <c r="C543">
        <v>300</v>
      </c>
      <c r="D543" t="str">
        <f>_xlfn.XLOOKUP(order[[#This Row],[customer_id]],customer[customer_id],customer[customer_name])</f>
        <v>Pooja Nair</v>
      </c>
      <c r="E543">
        <v>210</v>
      </c>
      <c r="F543">
        <v>2</v>
      </c>
      <c r="G543">
        <v>37556</v>
      </c>
      <c r="H543">
        <v>4760</v>
      </c>
      <c r="I543" t="s">
        <v>15</v>
      </c>
      <c r="J543" t="s">
        <v>14</v>
      </c>
      <c r="K543" t="str">
        <f>_xlfn.XLOOKUP(order[[#This Row],[customer_id]],customer[customer_id],customer[city])</f>
        <v>Bangalore</v>
      </c>
      <c r="L543" t="str">
        <f>_xlfn.XLOOKUP(order[[#This Row],[customer_id]],customer[customer_id],customer[state])</f>
        <v>Karnataka</v>
      </c>
      <c r="M543" t="str">
        <f>_xlfn.XLOOKUP(order[[#This Row],[product_id]],products!$A$2:$A$11,products!$B$2:$B$11)</f>
        <v>LG 43 Inch Smart TV</v>
      </c>
      <c r="N543" s="3" t="str">
        <f>_xlfn.XLOOKUP(order[[#This Row],[product_id]],products!$A$2:$A$11,products!$C$2:$C$11)</f>
        <v>Electronics</v>
      </c>
      <c r="O543" s="3">
        <f>_xlfn.XLOOKUP(order[[#This Row],[product_id]],Table4[product_id],Table4[cost_price])</f>
        <v>30000</v>
      </c>
      <c r="P543" s="11">
        <f>_xlfn.XLOOKUP(order[[#This Row],[order_id]],shipment[order_id],shipment[ship_date])</f>
        <v>45539</v>
      </c>
      <c r="Q543" s="11">
        <f>_xlfn.XLOOKUP(order[[#This Row],[order_id]],shipment[order_id],shipment[delivery_date])</f>
        <v>45542</v>
      </c>
      <c r="R543" s="3" t="str">
        <f>_xlfn.XLOOKUP(order[[#This Row],[order_id]],shipment[shipment_id],shipment[courier])</f>
        <v>DTDC</v>
      </c>
      <c r="S543" s="3">
        <f>order[[#This Row],[selling_price]]-order[[#This Row],[cost_price]]*order[[#This Row],[quantity]]-order[[#This Row],[discount]]</f>
        <v>-27204</v>
      </c>
      <c r="T543" s="3">
        <f>order[[#This Row],[quantity]]*order[[#This Row],[selling_price]]</f>
        <v>75112</v>
      </c>
    </row>
    <row r="544" spans="1:20" x14ac:dyDescent="0.3">
      <c r="A544">
        <v>112</v>
      </c>
      <c r="B544" s="11">
        <v>45340</v>
      </c>
      <c r="C544">
        <v>214</v>
      </c>
      <c r="D544" t="str">
        <f>_xlfn.XLOOKUP(order[[#This Row],[customer_id]],customer[customer_id],customer[customer_name])</f>
        <v>Ishita Bose</v>
      </c>
      <c r="E544">
        <v>210</v>
      </c>
      <c r="F544">
        <v>2</v>
      </c>
      <c r="G544">
        <v>57263</v>
      </c>
      <c r="H544">
        <v>4747</v>
      </c>
      <c r="I544" t="s">
        <v>9</v>
      </c>
      <c r="J544" t="s">
        <v>10</v>
      </c>
      <c r="K544" t="str">
        <f>_xlfn.XLOOKUP(order[[#This Row],[customer_id]],customer[customer_id],customer[city])</f>
        <v>Mumbai</v>
      </c>
      <c r="L544" t="str">
        <f>_xlfn.XLOOKUP(order[[#This Row],[customer_id]],customer[customer_id],customer[state])</f>
        <v>Maharashtra</v>
      </c>
      <c r="M544" t="str">
        <f>_xlfn.XLOOKUP(order[[#This Row],[product_id]],products!$A$2:$A$11,products!$B$2:$B$11)</f>
        <v>LG 43 Inch Smart TV</v>
      </c>
      <c r="N544" s="3" t="str">
        <f>_xlfn.XLOOKUP(order[[#This Row],[product_id]],products!$A$2:$A$11,products!$C$2:$C$11)</f>
        <v>Electronics</v>
      </c>
      <c r="O544" s="3">
        <f>_xlfn.XLOOKUP(order[[#This Row],[product_id]],Table4[product_id],Table4[cost_price])</f>
        <v>30000</v>
      </c>
      <c r="P544" s="11">
        <f>_xlfn.XLOOKUP(order[[#This Row],[order_id]],shipment[order_id],shipment[ship_date])</f>
        <v>45433</v>
      </c>
      <c r="Q544" s="11">
        <f>_xlfn.XLOOKUP(order[[#This Row],[order_id]],shipment[order_id],shipment[delivery_date])</f>
        <v>45441</v>
      </c>
      <c r="R544" s="3" t="str">
        <f>_xlfn.XLOOKUP(order[[#This Row],[order_id]],shipment[shipment_id],shipment[courier])</f>
        <v>Ekart</v>
      </c>
      <c r="S544" s="3">
        <f>order[[#This Row],[selling_price]]-order[[#This Row],[cost_price]]*order[[#This Row],[quantity]]-order[[#This Row],[discount]]</f>
        <v>-7484</v>
      </c>
      <c r="T544" s="3">
        <f>order[[#This Row],[quantity]]*order[[#This Row],[selling_price]]</f>
        <v>114526</v>
      </c>
    </row>
    <row r="545" spans="1:20" x14ac:dyDescent="0.3">
      <c r="A545">
        <v>544</v>
      </c>
      <c r="B545" s="11">
        <v>45540</v>
      </c>
      <c r="C545">
        <v>248</v>
      </c>
      <c r="D545" t="str">
        <f>_xlfn.XLOOKUP(order[[#This Row],[customer_id]],customer[customer_id],customer[customer_name])</f>
        <v>Siddharth Jain</v>
      </c>
      <c r="E545">
        <v>203</v>
      </c>
      <c r="F545">
        <v>4</v>
      </c>
      <c r="G545">
        <v>42391</v>
      </c>
      <c r="H545">
        <v>2161</v>
      </c>
      <c r="I545" t="s">
        <v>15</v>
      </c>
      <c r="J545" t="s">
        <v>10</v>
      </c>
      <c r="K545" t="str">
        <f>_xlfn.XLOOKUP(order[[#This Row],[customer_id]],customer[customer_id],customer[city])</f>
        <v>Ahmedabad</v>
      </c>
      <c r="L545" t="str">
        <f>_xlfn.XLOOKUP(order[[#This Row],[customer_id]],customer[customer_id],customer[state])</f>
        <v>Gujarat</v>
      </c>
      <c r="M545" t="str">
        <f>_xlfn.XLOOKUP(order[[#This Row],[product_id]],products!$A$2:$A$11,products!$B$2:$B$11)</f>
        <v>Nike Air Max Shoes</v>
      </c>
      <c r="N545" s="3" t="str">
        <f>_xlfn.XLOOKUP(order[[#This Row],[product_id]],products!$A$2:$A$11,products!$C$2:$C$11)</f>
        <v>Fashion</v>
      </c>
      <c r="O545" s="3">
        <f>_xlfn.XLOOKUP(order[[#This Row],[product_id]],Table4[product_id],Table4[cost_price])</f>
        <v>4000</v>
      </c>
      <c r="P545" s="11">
        <f>_xlfn.XLOOKUP(order[[#This Row],[order_id]],shipment[order_id],shipment[ship_date])</f>
        <v>45321</v>
      </c>
      <c r="Q545" s="11">
        <f>_xlfn.XLOOKUP(order[[#This Row],[order_id]],shipment[order_id],shipment[delivery_date])</f>
        <v>45325</v>
      </c>
      <c r="R545" s="3" t="str">
        <f>_xlfn.XLOOKUP(order[[#This Row],[order_id]],shipment[shipment_id],shipment[courier])</f>
        <v>Delhivery</v>
      </c>
      <c r="S545" s="3">
        <f>order[[#This Row],[selling_price]]-order[[#This Row],[cost_price]]*order[[#This Row],[quantity]]-order[[#This Row],[discount]]</f>
        <v>24230</v>
      </c>
      <c r="T545" s="3">
        <f>order[[#This Row],[quantity]]*order[[#This Row],[selling_price]]</f>
        <v>169564</v>
      </c>
    </row>
    <row r="546" spans="1:20" x14ac:dyDescent="0.3">
      <c r="A546">
        <v>545</v>
      </c>
      <c r="B546" s="11">
        <v>45524</v>
      </c>
      <c r="C546">
        <v>212</v>
      </c>
      <c r="D546" t="str">
        <f>_xlfn.XLOOKUP(order[[#This Row],[customer_id]],customer[customer_id],customer[customer_name])</f>
        <v>Vikram Singh</v>
      </c>
      <c r="E546">
        <v>208</v>
      </c>
      <c r="F546">
        <v>3</v>
      </c>
      <c r="G546">
        <v>37882</v>
      </c>
      <c r="H546">
        <v>3920</v>
      </c>
      <c r="I546" t="s">
        <v>9</v>
      </c>
      <c r="J546" t="s">
        <v>14</v>
      </c>
      <c r="K546" t="str">
        <f>_xlfn.XLOOKUP(order[[#This Row],[customer_id]],customer[customer_id],customer[city])</f>
        <v>Ahmedabad</v>
      </c>
      <c r="L546" t="str">
        <f>_xlfn.XLOOKUP(order[[#This Row],[customer_id]],customer[customer_id],customer[state])</f>
        <v>Gujarat</v>
      </c>
      <c r="M546" t="str">
        <f>_xlfn.XLOOKUP(order[[#This Row],[product_id]],products!$A$2:$A$11,products!$B$2:$B$11)</f>
        <v>Adidas Ultraboost Shoes</v>
      </c>
      <c r="N546" s="3" t="str">
        <f>_xlfn.XLOOKUP(order[[#This Row],[product_id]],products!$A$2:$A$11,products!$C$2:$C$11)</f>
        <v>Fashion</v>
      </c>
      <c r="O546" s="3">
        <f>_xlfn.XLOOKUP(order[[#This Row],[product_id]],Table4[product_id],Table4[cost_price])</f>
        <v>9000</v>
      </c>
      <c r="P546" s="11">
        <f>_xlfn.XLOOKUP(order[[#This Row],[order_id]],shipment[order_id],shipment[ship_date])</f>
        <v>45387</v>
      </c>
      <c r="Q546" s="11">
        <f>_xlfn.XLOOKUP(order[[#This Row],[order_id]],shipment[order_id],shipment[delivery_date])</f>
        <v>45393</v>
      </c>
      <c r="R546" s="3" t="str">
        <f>_xlfn.XLOOKUP(order[[#This Row],[order_id]],shipment[shipment_id],shipment[courier])</f>
        <v>DTDC</v>
      </c>
      <c r="S546" s="3">
        <f>order[[#This Row],[selling_price]]-order[[#This Row],[cost_price]]*order[[#This Row],[quantity]]-order[[#This Row],[discount]]</f>
        <v>6962</v>
      </c>
      <c r="T546" s="3">
        <f>order[[#This Row],[quantity]]*order[[#This Row],[selling_price]]</f>
        <v>113646</v>
      </c>
    </row>
    <row r="547" spans="1:20" x14ac:dyDescent="0.3">
      <c r="A547">
        <v>546</v>
      </c>
      <c r="B547" s="11">
        <v>45583</v>
      </c>
      <c r="C547">
        <v>110</v>
      </c>
      <c r="D547" t="str">
        <f>_xlfn.XLOOKUP(order[[#This Row],[customer_id]],customer[customer_id],customer[customer_name])</f>
        <v>Rahul Mehta</v>
      </c>
      <c r="E547">
        <v>205</v>
      </c>
      <c r="F547">
        <v>3</v>
      </c>
      <c r="G547">
        <v>60165</v>
      </c>
      <c r="H547">
        <v>4068</v>
      </c>
      <c r="I547" t="s">
        <v>9</v>
      </c>
      <c r="J547" t="s">
        <v>14</v>
      </c>
      <c r="K547" t="str">
        <f>_xlfn.XLOOKUP(order[[#This Row],[customer_id]],customer[customer_id],customer[city])</f>
        <v>Delhi</v>
      </c>
      <c r="L547" t="str">
        <f>_xlfn.XLOOKUP(order[[#This Row],[customer_id]],customer[customer_id],customer[state])</f>
        <v>Delhi</v>
      </c>
      <c r="M547" t="str">
        <f>_xlfn.XLOOKUP(order[[#This Row],[product_id]],products!$A$2:$A$11,products!$B$2:$B$11)</f>
        <v>Prestige Pressure Cooker 5L</v>
      </c>
      <c r="N547" s="3" t="str">
        <f>_xlfn.XLOOKUP(order[[#This Row],[product_id]],products!$A$2:$A$11,products!$C$2:$C$11)</f>
        <v>Home &amp; Kitchen</v>
      </c>
      <c r="O547" s="3">
        <f>_xlfn.XLOOKUP(order[[#This Row],[product_id]],Table4[product_id],Table4[cost_price])</f>
        <v>1200</v>
      </c>
      <c r="P547" s="11">
        <f>_xlfn.XLOOKUP(order[[#This Row],[order_id]],shipment[order_id],shipment[ship_date])</f>
        <v>45544</v>
      </c>
      <c r="Q547" s="11">
        <f>_xlfn.XLOOKUP(order[[#This Row],[order_id]],shipment[order_id],shipment[delivery_date])</f>
        <v>45548</v>
      </c>
      <c r="R547" s="3" t="str">
        <f>_xlfn.XLOOKUP(order[[#This Row],[order_id]],shipment[shipment_id],shipment[courier])</f>
        <v>Delhivery</v>
      </c>
      <c r="S547" s="3">
        <f>order[[#This Row],[selling_price]]-order[[#This Row],[cost_price]]*order[[#This Row],[quantity]]-order[[#This Row],[discount]]</f>
        <v>52497</v>
      </c>
      <c r="T547" s="3">
        <f>order[[#This Row],[quantity]]*order[[#This Row],[selling_price]]</f>
        <v>180495</v>
      </c>
    </row>
    <row r="548" spans="1:20" x14ac:dyDescent="0.3">
      <c r="A548">
        <v>924</v>
      </c>
      <c r="B548" s="11">
        <v>45482</v>
      </c>
      <c r="C548">
        <v>263</v>
      </c>
      <c r="D548" t="str">
        <f>_xlfn.XLOOKUP(order[[#This Row],[customer_id]],customer[customer_id],customer[customer_name])</f>
        <v>Rohit Verma</v>
      </c>
      <c r="E548">
        <v>210</v>
      </c>
      <c r="F548">
        <v>2</v>
      </c>
      <c r="G548">
        <v>12413</v>
      </c>
      <c r="H548">
        <v>4669</v>
      </c>
      <c r="I548" t="s">
        <v>15</v>
      </c>
      <c r="J548" t="s">
        <v>12</v>
      </c>
      <c r="K548" t="str">
        <f>_xlfn.XLOOKUP(order[[#This Row],[customer_id]],customer[customer_id],customer[city])</f>
        <v>Chennai</v>
      </c>
      <c r="L548" t="str">
        <f>_xlfn.XLOOKUP(order[[#This Row],[customer_id]],customer[customer_id],customer[state])</f>
        <v>Tamil Nadu</v>
      </c>
      <c r="M548" t="str">
        <f>_xlfn.XLOOKUP(order[[#This Row],[product_id]],products!$A$2:$A$11,products!$B$2:$B$11)</f>
        <v>LG 43 Inch Smart TV</v>
      </c>
      <c r="N548" s="3" t="str">
        <f>_xlfn.XLOOKUP(order[[#This Row],[product_id]],products!$A$2:$A$11,products!$C$2:$C$11)</f>
        <v>Electronics</v>
      </c>
      <c r="O548" s="3">
        <f>_xlfn.XLOOKUP(order[[#This Row],[product_id]],Table4[product_id],Table4[cost_price])</f>
        <v>30000</v>
      </c>
      <c r="P548" s="11">
        <f>_xlfn.XLOOKUP(order[[#This Row],[order_id]],shipment[order_id],shipment[ship_date])</f>
        <v>45531</v>
      </c>
      <c r="Q548" s="11">
        <f>_xlfn.XLOOKUP(order[[#This Row],[order_id]],shipment[order_id],shipment[delivery_date])</f>
        <v>45533</v>
      </c>
      <c r="R548" s="3" t="str">
        <f>_xlfn.XLOOKUP(order[[#This Row],[order_id]],shipment[shipment_id],shipment[courier])</f>
        <v>DTDC</v>
      </c>
      <c r="S548" s="3">
        <f>order[[#This Row],[selling_price]]-order[[#This Row],[cost_price]]*order[[#This Row],[quantity]]-order[[#This Row],[discount]]</f>
        <v>-52256</v>
      </c>
      <c r="T548" s="3">
        <f>order[[#This Row],[quantity]]*order[[#This Row],[selling_price]]</f>
        <v>24826</v>
      </c>
    </row>
    <row r="549" spans="1:20" x14ac:dyDescent="0.3">
      <c r="A549">
        <v>548</v>
      </c>
      <c r="B549" s="11">
        <v>45526</v>
      </c>
      <c r="C549">
        <v>299</v>
      </c>
      <c r="D549" t="str">
        <f>_xlfn.XLOOKUP(order[[#This Row],[customer_id]],customer[customer_id],customer[customer_name])</f>
        <v>Sneha Iyer</v>
      </c>
      <c r="E549">
        <v>209</v>
      </c>
      <c r="F549">
        <v>1</v>
      </c>
      <c r="G549">
        <v>59982</v>
      </c>
      <c r="H549">
        <v>455</v>
      </c>
      <c r="I549" t="s">
        <v>9</v>
      </c>
      <c r="J549" t="s">
        <v>12</v>
      </c>
      <c r="K549" t="str">
        <f>_xlfn.XLOOKUP(order[[#This Row],[customer_id]],customer[customer_id],customer[city])</f>
        <v>Hyderabad</v>
      </c>
      <c r="L549" t="str">
        <f>_xlfn.XLOOKUP(order[[#This Row],[customer_id]],customer[customer_id],customer[state])</f>
        <v>Telangana</v>
      </c>
      <c r="M549" t="str">
        <f>_xlfn.XLOOKUP(order[[#This Row],[product_id]],products!$A$2:$A$11,products!$B$2:$B$11)</f>
        <v>Milton Thermosteel Bottle</v>
      </c>
      <c r="N549" s="3" t="str">
        <f>_xlfn.XLOOKUP(order[[#This Row],[product_id]],products!$A$2:$A$11,products!$C$2:$C$11)</f>
        <v>Home &amp; Kitchen</v>
      </c>
      <c r="O549" s="3">
        <f>_xlfn.XLOOKUP(order[[#This Row],[product_id]],Table4[product_id],Table4[cost_price])</f>
        <v>800</v>
      </c>
      <c r="P549" s="11">
        <f>_xlfn.XLOOKUP(order[[#This Row],[order_id]],shipment[order_id],shipment[ship_date])</f>
        <v>45345</v>
      </c>
      <c r="Q549" s="11">
        <f>_xlfn.XLOOKUP(order[[#This Row],[order_id]],shipment[order_id],shipment[delivery_date])</f>
        <v>45354</v>
      </c>
      <c r="R549" s="3" t="str">
        <f>_xlfn.XLOOKUP(order[[#This Row],[order_id]],shipment[shipment_id],shipment[courier])</f>
        <v>BlueDart</v>
      </c>
      <c r="S549" s="3">
        <f>order[[#This Row],[selling_price]]-order[[#This Row],[cost_price]]*order[[#This Row],[quantity]]-order[[#This Row],[discount]]</f>
        <v>58727</v>
      </c>
      <c r="T549" s="3">
        <f>order[[#This Row],[quantity]]*order[[#This Row],[selling_price]]</f>
        <v>59982</v>
      </c>
    </row>
    <row r="550" spans="1:20" x14ac:dyDescent="0.3">
      <c r="A550">
        <v>549</v>
      </c>
      <c r="B550" s="11">
        <v>45365</v>
      </c>
      <c r="C550">
        <v>103</v>
      </c>
      <c r="D550" t="str">
        <f>_xlfn.XLOOKUP(order[[#This Row],[customer_id]],customer[customer_id],customer[customer_name])</f>
        <v>Vikram Singh</v>
      </c>
      <c r="E550">
        <v>205</v>
      </c>
      <c r="F550">
        <v>3</v>
      </c>
      <c r="G550">
        <v>42550</v>
      </c>
      <c r="H550">
        <v>4246</v>
      </c>
      <c r="I550" t="s">
        <v>9</v>
      </c>
      <c r="J550" t="s">
        <v>12</v>
      </c>
      <c r="K550" t="str">
        <f>_xlfn.XLOOKUP(order[[#This Row],[customer_id]],customer[customer_id],customer[city])</f>
        <v>Delhi</v>
      </c>
      <c r="L550" t="str">
        <f>_xlfn.XLOOKUP(order[[#This Row],[customer_id]],customer[customer_id],customer[state])</f>
        <v>Delhi</v>
      </c>
      <c r="M550" t="str">
        <f>_xlfn.XLOOKUP(order[[#This Row],[product_id]],products!$A$2:$A$11,products!$B$2:$B$11)</f>
        <v>Prestige Pressure Cooker 5L</v>
      </c>
      <c r="N550" s="3" t="str">
        <f>_xlfn.XLOOKUP(order[[#This Row],[product_id]],products!$A$2:$A$11,products!$C$2:$C$11)</f>
        <v>Home &amp; Kitchen</v>
      </c>
      <c r="O550" s="3">
        <f>_xlfn.XLOOKUP(order[[#This Row],[product_id]],Table4[product_id],Table4[cost_price])</f>
        <v>1200</v>
      </c>
      <c r="P550" s="11">
        <f>_xlfn.XLOOKUP(order[[#This Row],[order_id]],shipment[order_id],shipment[ship_date])</f>
        <v>45394</v>
      </c>
      <c r="Q550" s="11">
        <f>_xlfn.XLOOKUP(order[[#This Row],[order_id]],shipment[order_id],shipment[delivery_date])</f>
        <v>45397</v>
      </c>
      <c r="R550" s="3" t="str">
        <f>_xlfn.XLOOKUP(order[[#This Row],[order_id]],shipment[shipment_id],shipment[courier])</f>
        <v>Delhivery</v>
      </c>
      <c r="S550" s="3">
        <f>order[[#This Row],[selling_price]]-order[[#This Row],[cost_price]]*order[[#This Row],[quantity]]-order[[#This Row],[discount]]</f>
        <v>34704</v>
      </c>
      <c r="T550" s="3">
        <f>order[[#This Row],[quantity]]*order[[#This Row],[selling_price]]</f>
        <v>127650</v>
      </c>
    </row>
    <row r="551" spans="1:20" x14ac:dyDescent="0.3">
      <c r="A551">
        <v>550</v>
      </c>
      <c r="B551" s="11">
        <v>45642</v>
      </c>
      <c r="C551">
        <v>193</v>
      </c>
      <c r="D551" t="str">
        <f>_xlfn.XLOOKUP(order[[#This Row],[customer_id]],customer[customer_id],customer[customer_name])</f>
        <v>Vikram Singh</v>
      </c>
      <c r="E551">
        <v>208</v>
      </c>
      <c r="F551">
        <v>2</v>
      </c>
      <c r="G551">
        <v>38925</v>
      </c>
      <c r="H551">
        <v>1458</v>
      </c>
      <c r="I551" t="s">
        <v>13</v>
      </c>
      <c r="J551" t="s">
        <v>12</v>
      </c>
      <c r="K551" t="str">
        <f>_xlfn.XLOOKUP(order[[#This Row],[customer_id]],customer[customer_id],customer[city])</f>
        <v>Mumbai</v>
      </c>
      <c r="L551" t="str">
        <f>_xlfn.XLOOKUP(order[[#This Row],[customer_id]],customer[customer_id],customer[state])</f>
        <v>Maharashtra</v>
      </c>
      <c r="M551" t="str">
        <f>_xlfn.XLOOKUP(order[[#This Row],[product_id]],products!$A$2:$A$11,products!$B$2:$B$11)</f>
        <v>Adidas Ultraboost Shoes</v>
      </c>
      <c r="N551" s="3" t="str">
        <f>_xlfn.XLOOKUP(order[[#This Row],[product_id]],products!$A$2:$A$11,products!$C$2:$C$11)</f>
        <v>Fashion</v>
      </c>
      <c r="O551" s="3">
        <f>_xlfn.XLOOKUP(order[[#This Row],[product_id]],Table4[product_id],Table4[cost_price])</f>
        <v>9000</v>
      </c>
      <c r="P551" s="11">
        <f>_xlfn.XLOOKUP(order[[#This Row],[order_id]],shipment[order_id],shipment[ship_date])</f>
        <v>45404</v>
      </c>
      <c r="Q551" s="11">
        <f>_xlfn.XLOOKUP(order[[#This Row],[order_id]],shipment[order_id],shipment[delivery_date])</f>
        <v>45405</v>
      </c>
      <c r="R551" s="3" t="str">
        <f>_xlfn.XLOOKUP(order[[#This Row],[order_id]],shipment[shipment_id],shipment[courier])</f>
        <v>BlueDart</v>
      </c>
      <c r="S551" s="3">
        <f>order[[#This Row],[selling_price]]-order[[#This Row],[cost_price]]*order[[#This Row],[quantity]]-order[[#This Row],[discount]]</f>
        <v>19467</v>
      </c>
      <c r="T551" s="3">
        <f>order[[#This Row],[quantity]]*order[[#This Row],[selling_price]]</f>
        <v>77850</v>
      </c>
    </row>
    <row r="552" spans="1:20" x14ac:dyDescent="0.3">
      <c r="A552">
        <v>551</v>
      </c>
      <c r="B552" s="11">
        <v>45418</v>
      </c>
      <c r="C552">
        <v>207</v>
      </c>
      <c r="D552" t="str">
        <f>_xlfn.XLOOKUP(order[[#This Row],[customer_id]],customer[customer_id],customer[customer_name])</f>
        <v>Neha Kapoor</v>
      </c>
      <c r="E552">
        <v>204</v>
      </c>
      <c r="F552">
        <v>4</v>
      </c>
      <c r="G552">
        <v>37354</v>
      </c>
      <c r="H552">
        <v>3392</v>
      </c>
      <c r="I552" t="s">
        <v>15</v>
      </c>
      <c r="J552" t="s">
        <v>14</v>
      </c>
      <c r="K552" t="str">
        <f>_xlfn.XLOOKUP(order[[#This Row],[customer_id]],customer[customer_id],customer[city])</f>
        <v>Mumbai</v>
      </c>
      <c r="L552" t="str">
        <f>_xlfn.XLOOKUP(order[[#This Row],[customer_id]],customer[customer_id],customer[state])</f>
        <v>Maharashtra</v>
      </c>
      <c r="M552" t="str">
        <f>_xlfn.XLOOKUP(order[[#This Row],[product_id]],products!$A$2:$A$11,products!$B$2:$B$11)</f>
        <v>Levi's Slim Fit Jeans</v>
      </c>
      <c r="N552" s="3" t="str">
        <f>_xlfn.XLOOKUP(order[[#This Row],[product_id]],products!$A$2:$A$11,products!$C$2:$C$11)</f>
        <v>Fashion</v>
      </c>
      <c r="O552" s="3">
        <f>_xlfn.XLOOKUP(order[[#This Row],[product_id]],Table4[product_id],Table4[cost_price])</f>
        <v>1800</v>
      </c>
      <c r="P552" s="11">
        <f>_xlfn.XLOOKUP(order[[#This Row],[order_id]],shipment[order_id],shipment[ship_date])</f>
        <v>45591</v>
      </c>
      <c r="Q552" s="11">
        <f>_xlfn.XLOOKUP(order[[#This Row],[order_id]],shipment[order_id],shipment[delivery_date])</f>
        <v>45598</v>
      </c>
      <c r="R552" s="3" t="str">
        <f>_xlfn.XLOOKUP(order[[#This Row],[order_id]],shipment[shipment_id],shipment[courier])</f>
        <v>BlueDart</v>
      </c>
      <c r="S552" s="3">
        <f>order[[#This Row],[selling_price]]-order[[#This Row],[cost_price]]*order[[#This Row],[quantity]]-order[[#This Row],[discount]]</f>
        <v>26762</v>
      </c>
      <c r="T552" s="3">
        <f>order[[#This Row],[quantity]]*order[[#This Row],[selling_price]]</f>
        <v>149416</v>
      </c>
    </row>
    <row r="553" spans="1:20" x14ac:dyDescent="0.3">
      <c r="A553">
        <v>450</v>
      </c>
      <c r="B553" s="11">
        <v>45298</v>
      </c>
      <c r="C553">
        <v>164</v>
      </c>
      <c r="D553" t="str">
        <f>_xlfn.XLOOKUP(order[[#This Row],[customer_id]],customer[customer_id],customer[customer_name])</f>
        <v>Pooja Nair</v>
      </c>
      <c r="E553">
        <v>210</v>
      </c>
      <c r="F553">
        <v>2</v>
      </c>
      <c r="G553">
        <v>36852</v>
      </c>
      <c r="H553">
        <v>4619</v>
      </c>
      <c r="I553" t="s">
        <v>13</v>
      </c>
      <c r="J553" t="s">
        <v>14</v>
      </c>
      <c r="K553" t="str">
        <f>_xlfn.XLOOKUP(order[[#This Row],[customer_id]],customer[customer_id],customer[city])</f>
        <v>Ahmedabad</v>
      </c>
      <c r="L553" t="str">
        <f>_xlfn.XLOOKUP(order[[#This Row],[customer_id]],customer[customer_id],customer[state])</f>
        <v>Gujarat</v>
      </c>
      <c r="M553" t="str">
        <f>_xlfn.XLOOKUP(order[[#This Row],[product_id]],products!$A$2:$A$11,products!$B$2:$B$11)</f>
        <v>LG 43 Inch Smart TV</v>
      </c>
      <c r="N553" s="3" t="str">
        <f>_xlfn.XLOOKUP(order[[#This Row],[product_id]],products!$A$2:$A$11,products!$C$2:$C$11)</f>
        <v>Electronics</v>
      </c>
      <c r="O553" s="3">
        <f>_xlfn.XLOOKUP(order[[#This Row],[product_id]],Table4[product_id],Table4[cost_price])</f>
        <v>30000</v>
      </c>
      <c r="P553" s="11">
        <f>_xlfn.XLOOKUP(order[[#This Row],[order_id]],shipment[order_id],shipment[ship_date])</f>
        <v>45574</v>
      </c>
      <c r="Q553" s="11">
        <f>_xlfn.XLOOKUP(order[[#This Row],[order_id]],shipment[order_id],shipment[delivery_date])</f>
        <v>45576</v>
      </c>
      <c r="R553" s="3" t="str">
        <f>_xlfn.XLOOKUP(order[[#This Row],[order_id]],shipment[shipment_id],shipment[courier])</f>
        <v>Delhivery</v>
      </c>
      <c r="S553" s="3">
        <f>order[[#This Row],[selling_price]]-order[[#This Row],[cost_price]]*order[[#This Row],[quantity]]-order[[#This Row],[discount]]</f>
        <v>-27767</v>
      </c>
      <c r="T553" s="3">
        <f>order[[#This Row],[quantity]]*order[[#This Row],[selling_price]]</f>
        <v>73704</v>
      </c>
    </row>
    <row r="554" spans="1:20" x14ac:dyDescent="0.3">
      <c r="A554">
        <v>553</v>
      </c>
      <c r="B554" s="11">
        <v>45547</v>
      </c>
      <c r="C554">
        <v>172</v>
      </c>
      <c r="D554" t="str">
        <f>_xlfn.XLOOKUP(order[[#This Row],[customer_id]],customer[customer_id],customer[customer_name])</f>
        <v>Pooja Nair</v>
      </c>
      <c r="E554">
        <v>203</v>
      </c>
      <c r="F554">
        <v>3</v>
      </c>
      <c r="G554">
        <v>56881</v>
      </c>
      <c r="H554">
        <v>584</v>
      </c>
      <c r="I554" t="s">
        <v>13</v>
      </c>
      <c r="J554" t="s">
        <v>12</v>
      </c>
      <c r="K554" t="str">
        <f>_xlfn.XLOOKUP(order[[#This Row],[customer_id]],customer[customer_id],customer[city])</f>
        <v>Mumbai</v>
      </c>
      <c r="L554" t="str">
        <f>_xlfn.XLOOKUP(order[[#This Row],[customer_id]],customer[customer_id],customer[state])</f>
        <v>Maharashtra</v>
      </c>
      <c r="M554" t="str">
        <f>_xlfn.XLOOKUP(order[[#This Row],[product_id]],products!$A$2:$A$11,products!$B$2:$B$11)</f>
        <v>Nike Air Max Shoes</v>
      </c>
      <c r="N554" s="3" t="str">
        <f>_xlfn.XLOOKUP(order[[#This Row],[product_id]],products!$A$2:$A$11,products!$C$2:$C$11)</f>
        <v>Fashion</v>
      </c>
      <c r="O554" s="3">
        <f>_xlfn.XLOOKUP(order[[#This Row],[product_id]],Table4[product_id],Table4[cost_price])</f>
        <v>4000</v>
      </c>
      <c r="P554" s="11">
        <f>_xlfn.XLOOKUP(order[[#This Row],[order_id]],shipment[order_id],shipment[ship_date])</f>
        <v>45570</v>
      </c>
      <c r="Q554" s="11">
        <f>_xlfn.XLOOKUP(order[[#This Row],[order_id]],shipment[order_id],shipment[delivery_date])</f>
        <v>45573</v>
      </c>
      <c r="R554" s="3" t="str">
        <f>_xlfn.XLOOKUP(order[[#This Row],[order_id]],shipment[shipment_id],shipment[courier])</f>
        <v>BlueDart</v>
      </c>
      <c r="S554" s="3">
        <f>order[[#This Row],[selling_price]]-order[[#This Row],[cost_price]]*order[[#This Row],[quantity]]-order[[#This Row],[discount]]</f>
        <v>44297</v>
      </c>
      <c r="T554" s="3">
        <f>order[[#This Row],[quantity]]*order[[#This Row],[selling_price]]</f>
        <v>170643</v>
      </c>
    </row>
    <row r="555" spans="1:20" x14ac:dyDescent="0.3">
      <c r="A555">
        <v>1131</v>
      </c>
      <c r="B555" s="11">
        <v>45301</v>
      </c>
      <c r="C555">
        <v>168</v>
      </c>
      <c r="D555" t="str">
        <f>_xlfn.XLOOKUP(order[[#This Row],[customer_id]],customer[customer_id],customer[customer_name])</f>
        <v>Arjun Nair</v>
      </c>
      <c r="E555">
        <v>210</v>
      </c>
      <c r="F555">
        <v>3</v>
      </c>
      <c r="G555">
        <v>6845</v>
      </c>
      <c r="H555">
        <v>4615</v>
      </c>
      <c r="I555" t="s">
        <v>11</v>
      </c>
      <c r="J555" t="s">
        <v>14</v>
      </c>
      <c r="K555" t="str">
        <f>_xlfn.XLOOKUP(order[[#This Row],[customer_id]],customer[customer_id],customer[city])</f>
        <v>Mumbai</v>
      </c>
      <c r="L555" t="str">
        <f>_xlfn.XLOOKUP(order[[#This Row],[customer_id]],customer[customer_id],customer[state])</f>
        <v>Maharashtra</v>
      </c>
      <c r="M555" t="str">
        <f>_xlfn.XLOOKUP(order[[#This Row],[product_id]],products!$A$2:$A$11,products!$B$2:$B$11)</f>
        <v>LG 43 Inch Smart TV</v>
      </c>
      <c r="N555" s="3" t="str">
        <f>_xlfn.XLOOKUP(order[[#This Row],[product_id]],products!$A$2:$A$11,products!$C$2:$C$11)</f>
        <v>Electronics</v>
      </c>
      <c r="O555" s="3">
        <f>_xlfn.XLOOKUP(order[[#This Row],[product_id]],Table4[product_id],Table4[cost_price])</f>
        <v>30000</v>
      </c>
      <c r="P555" s="11">
        <f>_xlfn.XLOOKUP(order[[#This Row],[order_id]],shipment[order_id],shipment[ship_date])</f>
        <v>45519</v>
      </c>
      <c r="Q555" s="11">
        <f>_xlfn.XLOOKUP(order[[#This Row],[order_id]],shipment[order_id],shipment[delivery_date])</f>
        <v>45527</v>
      </c>
      <c r="R555" s="3" t="str">
        <f>_xlfn.XLOOKUP(order[[#This Row],[order_id]],shipment[shipment_id],shipment[courier])</f>
        <v>Delhivery</v>
      </c>
      <c r="S555" s="3">
        <f>order[[#This Row],[selling_price]]-order[[#This Row],[cost_price]]*order[[#This Row],[quantity]]-order[[#This Row],[discount]]</f>
        <v>-87770</v>
      </c>
      <c r="T555" s="3">
        <f>order[[#This Row],[quantity]]*order[[#This Row],[selling_price]]</f>
        <v>20535</v>
      </c>
    </row>
    <row r="556" spans="1:20" x14ac:dyDescent="0.3">
      <c r="A556">
        <v>555</v>
      </c>
      <c r="B556" s="11">
        <v>45427</v>
      </c>
      <c r="C556">
        <v>194</v>
      </c>
      <c r="D556" t="str">
        <f>_xlfn.XLOOKUP(order[[#This Row],[customer_id]],customer[customer_id],customer[customer_name])</f>
        <v>Neha Kapoor</v>
      </c>
      <c r="E556">
        <v>205</v>
      </c>
      <c r="F556">
        <v>4</v>
      </c>
      <c r="G556">
        <v>46583</v>
      </c>
      <c r="H556">
        <v>997</v>
      </c>
      <c r="I556" t="s">
        <v>13</v>
      </c>
      <c r="J556" t="s">
        <v>10</v>
      </c>
      <c r="K556" t="str">
        <f>_xlfn.XLOOKUP(order[[#This Row],[customer_id]],customer[customer_id],customer[city])</f>
        <v>Delhi</v>
      </c>
      <c r="L556" t="str">
        <f>_xlfn.XLOOKUP(order[[#This Row],[customer_id]],customer[customer_id],customer[state])</f>
        <v>Delhi</v>
      </c>
      <c r="M556" t="str">
        <f>_xlfn.XLOOKUP(order[[#This Row],[product_id]],products!$A$2:$A$11,products!$B$2:$B$11)</f>
        <v>Prestige Pressure Cooker 5L</v>
      </c>
      <c r="N556" s="3" t="str">
        <f>_xlfn.XLOOKUP(order[[#This Row],[product_id]],products!$A$2:$A$11,products!$C$2:$C$11)</f>
        <v>Home &amp; Kitchen</v>
      </c>
      <c r="O556" s="3">
        <f>_xlfn.XLOOKUP(order[[#This Row],[product_id]],Table4[product_id],Table4[cost_price])</f>
        <v>1200</v>
      </c>
      <c r="P556" s="11">
        <f>_xlfn.XLOOKUP(order[[#This Row],[order_id]],shipment[order_id],shipment[ship_date])</f>
        <v>45399</v>
      </c>
      <c r="Q556" s="11">
        <f>_xlfn.XLOOKUP(order[[#This Row],[order_id]],shipment[order_id],shipment[delivery_date])</f>
        <v>45409</v>
      </c>
      <c r="R556" s="3" t="str">
        <f>_xlfn.XLOOKUP(order[[#This Row],[order_id]],shipment[shipment_id],shipment[courier])</f>
        <v>BlueDart</v>
      </c>
      <c r="S556" s="3">
        <f>order[[#This Row],[selling_price]]-order[[#This Row],[cost_price]]*order[[#This Row],[quantity]]-order[[#This Row],[discount]]</f>
        <v>40786</v>
      </c>
      <c r="T556" s="3">
        <f>order[[#This Row],[quantity]]*order[[#This Row],[selling_price]]</f>
        <v>186332</v>
      </c>
    </row>
    <row r="557" spans="1:20" x14ac:dyDescent="0.3">
      <c r="A557">
        <v>815</v>
      </c>
      <c r="B557" s="11">
        <v>45578</v>
      </c>
      <c r="C557">
        <v>263</v>
      </c>
      <c r="D557" t="str">
        <f>_xlfn.XLOOKUP(order[[#This Row],[customer_id]],customer[customer_id],customer[customer_name])</f>
        <v>Rohit Verma</v>
      </c>
      <c r="E557">
        <v>210</v>
      </c>
      <c r="F557">
        <v>2</v>
      </c>
      <c r="G557">
        <v>8434</v>
      </c>
      <c r="H557">
        <v>4461</v>
      </c>
      <c r="I557" t="s">
        <v>13</v>
      </c>
      <c r="J557" t="s">
        <v>14</v>
      </c>
      <c r="K557" t="str">
        <f>_xlfn.XLOOKUP(order[[#This Row],[customer_id]],customer[customer_id],customer[city])</f>
        <v>Chennai</v>
      </c>
      <c r="L557" t="str">
        <f>_xlfn.XLOOKUP(order[[#This Row],[customer_id]],customer[customer_id],customer[state])</f>
        <v>Tamil Nadu</v>
      </c>
      <c r="M557" t="str">
        <f>_xlfn.XLOOKUP(order[[#This Row],[product_id]],products!$A$2:$A$11,products!$B$2:$B$11)</f>
        <v>LG 43 Inch Smart TV</v>
      </c>
      <c r="N557" s="3" t="str">
        <f>_xlfn.XLOOKUP(order[[#This Row],[product_id]],products!$A$2:$A$11,products!$C$2:$C$11)</f>
        <v>Electronics</v>
      </c>
      <c r="O557" s="3">
        <f>_xlfn.XLOOKUP(order[[#This Row],[product_id]],Table4[product_id],Table4[cost_price])</f>
        <v>30000</v>
      </c>
      <c r="P557" s="11">
        <f>_xlfn.XLOOKUP(order[[#This Row],[order_id]],shipment[order_id],shipment[ship_date])</f>
        <v>45520</v>
      </c>
      <c r="Q557" s="11">
        <f>_xlfn.XLOOKUP(order[[#This Row],[order_id]],shipment[order_id],shipment[delivery_date])</f>
        <v>45524</v>
      </c>
      <c r="R557" s="3" t="str">
        <f>_xlfn.XLOOKUP(order[[#This Row],[order_id]],shipment[shipment_id],shipment[courier])</f>
        <v>Ekart</v>
      </c>
      <c r="S557" s="3">
        <f>order[[#This Row],[selling_price]]-order[[#This Row],[cost_price]]*order[[#This Row],[quantity]]-order[[#This Row],[discount]]</f>
        <v>-56027</v>
      </c>
      <c r="T557" s="3">
        <f>order[[#This Row],[quantity]]*order[[#This Row],[selling_price]]</f>
        <v>16868</v>
      </c>
    </row>
    <row r="558" spans="1:20" x14ac:dyDescent="0.3">
      <c r="A558">
        <v>876</v>
      </c>
      <c r="B558" s="11">
        <v>45369</v>
      </c>
      <c r="C558">
        <v>167</v>
      </c>
      <c r="D558" t="str">
        <f>_xlfn.XLOOKUP(order[[#This Row],[customer_id]],customer[customer_id],customer[customer_name])</f>
        <v>Siddharth Jain</v>
      </c>
      <c r="E558">
        <v>210</v>
      </c>
      <c r="F558">
        <v>4</v>
      </c>
      <c r="G558">
        <v>33543</v>
      </c>
      <c r="H558">
        <v>4412</v>
      </c>
      <c r="I558" t="s">
        <v>13</v>
      </c>
      <c r="J558" t="s">
        <v>10</v>
      </c>
      <c r="K558" t="str">
        <f>_xlfn.XLOOKUP(order[[#This Row],[customer_id]],customer[customer_id],customer[city])</f>
        <v>Ahmedabad</v>
      </c>
      <c r="L558" t="str">
        <f>_xlfn.XLOOKUP(order[[#This Row],[customer_id]],customer[customer_id],customer[state])</f>
        <v>Gujarat</v>
      </c>
      <c r="M558" t="str">
        <f>_xlfn.XLOOKUP(order[[#This Row],[product_id]],products!$A$2:$A$11,products!$B$2:$B$11)</f>
        <v>LG 43 Inch Smart TV</v>
      </c>
      <c r="N558" s="3" t="str">
        <f>_xlfn.XLOOKUP(order[[#This Row],[product_id]],products!$A$2:$A$11,products!$C$2:$C$11)</f>
        <v>Electronics</v>
      </c>
      <c r="O558" s="3">
        <f>_xlfn.XLOOKUP(order[[#This Row],[product_id]],Table4[product_id],Table4[cost_price])</f>
        <v>30000</v>
      </c>
      <c r="P558" s="11">
        <f>_xlfn.XLOOKUP(order[[#This Row],[order_id]],shipment[order_id],shipment[ship_date])</f>
        <v>45432</v>
      </c>
      <c r="Q558" s="11">
        <f>_xlfn.XLOOKUP(order[[#This Row],[order_id]],shipment[order_id],shipment[delivery_date])</f>
        <v>45438</v>
      </c>
      <c r="R558" s="3" t="str">
        <f>_xlfn.XLOOKUP(order[[#This Row],[order_id]],shipment[shipment_id],shipment[courier])</f>
        <v>Ekart</v>
      </c>
      <c r="S558" s="3">
        <f>order[[#This Row],[selling_price]]-order[[#This Row],[cost_price]]*order[[#This Row],[quantity]]-order[[#This Row],[discount]]</f>
        <v>-90869</v>
      </c>
      <c r="T558" s="3">
        <f>order[[#This Row],[quantity]]*order[[#This Row],[selling_price]]</f>
        <v>134172</v>
      </c>
    </row>
    <row r="559" spans="1:20" x14ac:dyDescent="0.3">
      <c r="A559">
        <v>257</v>
      </c>
      <c r="B559" s="11">
        <v>45351</v>
      </c>
      <c r="C559">
        <v>267</v>
      </c>
      <c r="D559" t="str">
        <f>_xlfn.XLOOKUP(order[[#This Row],[customer_id]],customer[customer_id],customer[customer_name])</f>
        <v>Neha Kapoor</v>
      </c>
      <c r="E559">
        <v>210</v>
      </c>
      <c r="F559">
        <v>4</v>
      </c>
      <c r="G559">
        <v>67750</v>
      </c>
      <c r="H559">
        <v>4405</v>
      </c>
      <c r="I559" t="s">
        <v>9</v>
      </c>
      <c r="J559" t="s">
        <v>12</v>
      </c>
      <c r="K559" t="str">
        <f>_xlfn.XLOOKUP(order[[#This Row],[customer_id]],customer[customer_id],customer[city])</f>
        <v>Hyderabad</v>
      </c>
      <c r="L559" t="str">
        <f>_xlfn.XLOOKUP(order[[#This Row],[customer_id]],customer[customer_id],customer[state])</f>
        <v>Telangana</v>
      </c>
      <c r="M559" t="str">
        <f>_xlfn.XLOOKUP(order[[#This Row],[product_id]],products!$A$2:$A$11,products!$B$2:$B$11)</f>
        <v>LG 43 Inch Smart TV</v>
      </c>
      <c r="N559" s="3" t="str">
        <f>_xlfn.XLOOKUP(order[[#This Row],[product_id]],products!$A$2:$A$11,products!$C$2:$C$11)</f>
        <v>Electronics</v>
      </c>
      <c r="O559" s="3">
        <f>_xlfn.XLOOKUP(order[[#This Row],[product_id]],Table4[product_id],Table4[cost_price])</f>
        <v>30000</v>
      </c>
      <c r="P559" s="11">
        <f>_xlfn.XLOOKUP(order[[#This Row],[order_id]],shipment[order_id],shipment[ship_date])</f>
        <v>45502</v>
      </c>
      <c r="Q559" s="11">
        <f>_xlfn.XLOOKUP(order[[#This Row],[order_id]],shipment[order_id],shipment[delivery_date])</f>
        <v>45511</v>
      </c>
      <c r="R559" s="3" t="str">
        <f>_xlfn.XLOOKUP(order[[#This Row],[order_id]],shipment[shipment_id],shipment[courier])</f>
        <v>Delhivery</v>
      </c>
      <c r="S559" s="3">
        <f>order[[#This Row],[selling_price]]-order[[#This Row],[cost_price]]*order[[#This Row],[quantity]]-order[[#This Row],[discount]]</f>
        <v>-56655</v>
      </c>
      <c r="T559" s="3">
        <f>order[[#This Row],[quantity]]*order[[#This Row],[selling_price]]</f>
        <v>271000</v>
      </c>
    </row>
    <row r="560" spans="1:20" x14ac:dyDescent="0.3">
      <c r="A560">
        <v>1200</v>
      </c>
      <c r="B560" s="11">
        <v>45441</v>
      </c>
      <c r="C560">
        <v>248</v>
      </c>
      <c r="D560" t="str">
        <f>_xlfn.XLOOKUP(order[[#This Row],[customer_id]],customer[customer_id],customer[customer_name])</f>
        <v>Siddharth Jain</v>
      </c>
      <c r="E560">
        <v>210</v>
      </c>
      <c r="F560">
        <v>4</v>
      </c>
      <c r="G560">
        <v>27188</v>
      </c>
      <c r="H560">
        <v>4361</v>
      </c>
      <c r="I560" t="s">
        <v>9</v>
      </c>
      <c r="J560" t="s">
        <v>12</v>
      </c>
      <c r="K560" t="str">
        <f>_xlfn.XLOOKUP(order[[#This Row],[customer_id]],customer[customer_id],customer[city])</f>
        <v>Ahmedabad</v>
      </c>
      <c r="L560" t="str">
        <f>_xlfn.XLOOKUP(order[[#This Row],[customer_id]],customer[customer_id],customer[state])</f>
        <v>Gujarat</v>
      </c>
      <c r="M560" t="str">
        <f>_xlfn.XLOOKUP(order[[#This Row],[product_id]],products!$A$2:$A$11,products!$B$2:$B$11)</f>
        <v>LG 43 Inch Smart TV</v>
      </c>
      <c r="N560" s="3" t="str">
        <f>_xlfn.XLOOKUP(order[[#This Row],[product_id]],products!$A$2:$A$11,products!$C$2:$C$11)</f>
        <v>Electronics</v>
      </c>
      <c r="O560" s="3">
        <f>_xlfn.XLOOKUP(order[[#This Row],[product_id]],Table4[product_id],Table4[cost_price])</f>
        <v>30000</v>
      </c>
      <c r="P560" s="11">
        <f>_xlfn.XLOOKUP(order[[#This Row],[order_id]],shipment[order_id],shipment[ship_date])</f>
        <v>45630</v>
      </c>
      <c r="Q560" s="11">
        <f>_xlfn.XLOOKUP(order[[#This Row],[order_id]],shipment[order_id],shipment[delivery_date])</f>
        <v>45633</v>
      </c>
      <c r="R560" s="3" t="str">
        <f>_xlfn.XLOOKUP(order[[#This Row],[order_id]],shipment[shipment_id],shipment[courier])</f>
        <v>DTDC</v>
      </c>
      <c r="S560" s="3">
        <f>order[[#This Row],[selling_price]]-order[[#This Row],[cost_price]]*order[[#This Row],[quantity]]-order[[#This Row],[discount]]</f>
        <v>-97173</v>
      </c>
      <c r="T560" s="3">
        <f>order[[#This Row],[quantity]]*order[[#This Row],[selling_price]]</f>
        <v>108752</v>
      </c>
    </row>
    <row r="561" spans="1:20" x14ac:dyDescent="0.3">
      <c r="A561">
        <v>560</v>
      </c>
      <c r="B561" s="11">
        <v>45474</v>
      </c>
      <c r="C561">
        <v>156</v>
      </c>
      <c r="D561" t="str">
        <f>_xlfn.XLOOKUP(order[[#This Row],[customer_id]],customer[customer_id],customer[customer_name])</f>
        <v>Arjun Nair</v>
      </c>
      <c r="E561">
        <v>205</v>
      </c>
      <c r="F561">
        <v>4</v>
      </c>
      <c r="G561">
        <v>12721</v>
      </c>
      <c r="H561">
        <v>3191</v>
      </c>
      <c r="I561" t="s">
        <v>15</v>
      </c>
      <c r="J561" t="s">
        <v>14</v>
      </c>
      <c r="K561" t="str">
        <f>_xlfn.XLOOKUP(order[[#This Row],[customer_id]],customer[customer_id],customer[city])</f>
        <v>Bangalore</v>
      </c>
      <c r="L561" t="str">
        <f>_xlfn.XLOOKUP(order[[#This Row],[customer_id]],customer[customer_id],customer[state])</f>
        <v>Karnataka</v>
      </c>
      <c r="M561" t="str">
        <f>_xlfn.XLOOKUP(order[[#This Row],[product_id]],products!$A$2:$A$11,products!$B$2:$B$11)</f>
        <v>Prestige Pressure Cooker 5L</v>
      </c>
      <c r="N561" s="3" t="str">
        <f>_xlfn.XLOOKUP(order[[#This Row],[product_id]],products!$A$2:$A$11,products!$C$2:$C$11)</f>
        <v>Home &amp; Kitchen</v>
      </c>
      <c r="O561" s="3">
        <f>_xlfn.XLOOKUP(order[[#This Row],[product_id]],Table4[product_id],Table4[cost_price])</f>
        <v>1200</v>
      </c>
      <c r="P561" s="11">
        <f>_xlfn.XLOOKUP(order[[#This Row],[order_id]],shipment[order_id],shipment[ship_date])</f>
        <v>45392</v>
      </c>
      <c r="Q561" s="11">
        <f>_xlfn.XLOOKUP(order[[#This Row],[order_id]],shipment[order_id],shipment[delivery_date])</f>
        <v>45398</v>
      </c>
      <c r="R561" s="3" t="str">
        <f>_xlfn.XLOOKUP(order[[#This Row],[order_id]],shipment[shipment_id],shipment[courier])</f>
        <v>Ekart</v>
      </c>
      <c r="S561" s="3">
        <f>order[[#This Row],[selling_price]]-order[[#This Row],[cost_price]]*order[[#This Row],[quantity]]-order[[#This Row],[discount]]</f>
        <v>4730</v>
      </c>
      <c r="T561" s="3">
        <f>order[[#This Row],[quantity]]*order[[#This Row],[selling_price]]</f>
        <v>50884</v>
      </c>
    </row>
    <row r="562" spans="1:20" x14ac:dyDescent="0.3">
      <c r="A562">
        <v>190</v>
      </c>
      <c r="B562" s="11">
        <v>45584</v>
      </c>
      <c r="C562">
        <v>221</v>
      </c>
      <c r="D562" t="str">
        <f>_xlfn.XLOOKUP(order[[#This Row],[customer_id]],customer[customer_id],customer[customer_name])</f>
        <v>Manish Yadav</v>
      </c>
      <c r="E562">
        <v>210</v>
      </c>
      <c r="F562">
        <v>2</v>
      </c>
      <c r="G562">
        <v>2730</v>
      </c>
      <c r="H562">
        <v>4317</v>
      </c>
      <c r="I562" t="s">
        <v>11</v>
      </c>
      <c r="J562" t="s">
        <v>12</v>
      </c>
      <c r="K562" t="str">
        <f>_xlfn.XLOOKUP(order[[#This Row],[customer_id]],customer[customer_id],customer[city])</f>
        <v>Bangalore</v>
      </c>
      <c r="L562" t="str">
        <f>_xlfn.XLOOKUP(order[[#This Row],[customer_id]],customer[customer_id],customer[state])</f>
        <v>Karnataka</v>
      </c>
      <c r="M562" t="str">
        <f>_xlfn.XLOOKUP(order[[#This Row],[product_id]],products!$A$2:$A$11,products!$B$2:$B$11)</f>
        <v>LG 43 Inch Smart TV</v>
      </c>
      <c r="N562" s="3" t="str">
        <f>_xlfn.XLOOKUP(order[[#This Row],[product_id]],products!$A$2:$A$11,products!$C$2:$C$11)</f>
        <v>Electronics</v>
      </c>
      <c r="O562" s="3">
        <f>_xlfn.XLOOKUP(order[[#This Row],[product_id]],Table4[product_id],Table4[cost_price])</f>
        <v>30000</v>
      </c>
      <c r="P562" s="11">
        <f>_xlfn.XLOOKUP(order[[#This Row],[order_id]],shipment[order_id],shipment[ship_date])</f>
        <v>45633</v>
      </c>
      <c r="Q562" s="11">
        <f>_xlfn.XLOOKUP(order[[#This Row],[order_id]],shipment[order_id],shipment[delivery_date])</f>
        <v>45639</v>
      </c>
      <c r="R562" s="3" t="str">
        <f>_xlfn.XLOOKUP(order[[#This Row],[order_id]],shipment[shipment_id],shipment[courier])</f>
        <v>BlueDart</v>
      </c>
      <c r="S562" s="3">
        <f>order[[#This Row],[selling_price]]-order[[#This Row],[cost_price]]*order[[#This Row],[quantity]]-order[[#This Row],[discount]]</f>
        <v>-61587</v>
      </c>
      <c r="T562" s="3">
        <f>order[[#This Row],[quantity]]*order[[#This Row],[selling_price]]</f>
        <v>5460</v>
      </c>
    </row>
    <row r="563" spans="1:20" x14ac:dyDescent="0.3">
      <c r="A563">
        <v>66</v>
      </c>
      <c r="B563" s="11">
        <v>45575</v>
      </c>
      <c r="C563">
        <v>267</v>
      </c>
      <c r="D563" t="str">
        <f>_xlfn.XLOOKUP(order[[#This Row],[customer_id]],customer[customer_id],customer[customer_name])</f>
        <v>Neha Kapoor</v>
      </c>
      <c r="E563">
        <v>210</v>
      </c>
      <c r="F563">
        <v>2</v>
      </c>
      <c r="G563">
        <v>61379</v>
      </c>
      <c r="H563">
        <v>4310</v>
      </c>
      <c r="I563" t="s">
        <v>9</v>
      </c>
      <c r="J563" t="s">
        <v>12</v>
      </c>
      <c r="K563" t="str">
        <f>_xlfn.XLOOKUP(order[[#This Row],[customer_id]],customer[customer_id],customer[city])</f>
        <v>Hyderabad</v>
      </c>
      <c r="L563" t="str">
        <f>_xlfn.XLOOKUP(order[[#This Row],[customer_id]],customer[customer_id],customer[state])</f>
        <v>Telangana</v>
      </c>
      <c r="M563" t="str">
        <f>_xlfn.XLOOKUP(order[[#This Row],[product_id]],products!$A$2:$A$11,products!$B$2:$B$11)</f>
        <v>LG 43 Inch Smart TV</v>
      </c>
      <c r="N563" s="3" t="str">
        <f>_xlfn.XLOOKUP(order[[#This Row],[product_id]],products!$A$2:$A$11,products!$C$2:$C$11)</f>
        <v>Electronics</v>
      </c>
      <c r="O563" s="3">
        <f>_xlfn.XLOOKUP(order[[#This Row],[product_id]],Table4[product_id],Table4[cost_price])</f>
        <v>30000</v>
      </c>
      <c r="P563" s="11">
        <f>_xlfn.XLOOKUP(order[[#This Row],[order_id]],shipment[order_id],shipment[ship_date])</f>
        <v>45656</v>
      </c>
      <c r="Q563" s="11">
        <f>_xlfn.XLOOKUP(order[[#This Row],[order_id]],shipment[order_id],shipment[delivery_date])</f>
        <v>45658</v>
      </c>
      <c r="R563" s="3" t="str">
        <f>_xlfn.XLOOKUP(order[[#This Row],[order_id]],shipment[shipment_id],shipment[courier])</f>
        <v>DTDC</v>
      </c>
      <c r="S563" s="3">
        <f>order[[#This Row],[selling_price]]-order[[#This Row],[cost_price]]*order[[#This Row],[quantity]]-order[[#This Row],[discount]]</f>
        <v>-2931</v>
      </c>
      <c r="T563" s="3">
        <f>order[[#This Row],[quantity]]*order[[#This Row],[selling_price]]</f>
        <v>122758</v>
      </c>
    </row>
    <row r="564" spans="1:20" x14ac:dyDescent="0.3">
      <c r="A564">
        <v>157</v>
      </c>
      <c r="B564" s="11">
        <v>45319</v>
      </c>
      <c r="C564">
        <v>275</v>
      </c>
      <c r="D564" t="str">
        <f>_xlfn.XLOOKUP(order[[#This Row],[customer_id]],customer[customer_id],customer[customer_name])</f>
        <v>Rohit Verma</v>
      </c>
      <c r="E564">
        <v>210</v>
      </c>
      <c r="F564">
        <v>2</v>
      </c>
      <c r="G564">
        <v>51203</v>
      </c>
      <c r="H564">
        <v>4306</v>
      </c>
      <c r="I564" t="s">
        <v>15</v>
      </c>
      <c r="J564" t="s">
        <v>10</v>
      </c>
      <c r="K564" t="str">
        <f>_xlfn.XLOOKUP(order[[#This Row],[customer_id]],customer[customer_id],customer[city])</f>
        <v>Mumbai</v>
      </c>
      <c r="L564" t="str">
        <f>_xlfn.XLOOKUP(order[[#This Row],[customer_id]],customer[customer_id],customer[state])</f>
        <v>Maharashtra</v>
      </c>
      <c r="M564" t="str">
        <f>_xlfn.XLOOKUP(order[[#This Row],[product_id]],products!$A$2:$A$11,products!$B$2:$B$11)</f>
        <v>LG 43 Inch Smart TV</v>
      </c>
      <c r="N564" s="3" t="str">
        <f>_xlfn.XLOOKUP(order[[#This Row],[product_id]],products!$A$2:$A$11,products!$C$2:$C$11)</f>
        <v>Electronics</v>
      </c>
      <c r="O564" s="3">
        <f>_xlfn.XLOOKUP(order[[#This Row],[product_id]],Table4[product_id],Table4[cost_price])</f>
        <v>30000</v>
      </c>
      <c r="P564" s="11">
        <f>_xlfn.XLOOKUP(order[[#This Row],[order_id]],shipment[order_id],shipment[ship_date])</f>
        <v>45326</v>
      </c>
      <c r="Q564" s="11">
        <f>_xlfn.XLOOKUP(order[[#This Row],[order_id]],shipment[order_id],shipment[delivery_date])</f>
        <v>45334</v>
      </c>
      <c r="R564" s="3" t="str">
        <f>_xlfn.XLOOKUP(order[[#This Row],[order_id]],shipment[shipment_id],shipment[courier])</f>
        <v>BlueDart</v>
      </c>
      <c r="S564" s="3">
        <f>order[[#This Row],[selling_price]]-order[[#This Row],[cost_price]]*order[[#This Row],[quantity]]-order[[#This Row],[discount]]</f>
        <v>-13103</v>
      </c>
      <c r="T564" s="3">
        <f>order[[#This Row],[quantity]]*order[[#This Row],[selling_price]]</f>
        <v>102406</v>
      </c>
    </row>
    <row r="565" spans="1:20" x14ac:dyDescent="0.3">
      <c r="A565">
        <v>564</v>
      </c>
      <c r="B565" s="11">
        <v>45432</v>
      </c>
      <c r="C565">
        <v>220</v>
      </c>
      <c r="D565" t="str">
        <f>_xlfn.XLOOKUP(order[[#This Row],[customer_id]],customer[customer_id],customer[customer_name])</f>
        <v>Rahul Mehta</v>
      </c>
      <c r="E565">
        <v>209</v>
      </c>
      <c r="F565">
        <v>4</v>
      </c>
      <c r="G565">
        <v>51957</v>
      </c>
      <c r="H565">
        <v>3118</v>
      </c>
      <c r="I565" t="s">
        <v>9</v>
      </c>
      <c r="J565" t="s">
        <v>10</v>
      </c>
      <c r="K565" t="str">
        <f>_xlfn.XLOOKUP(order[[#This Row],[customer_id]],customer[customer_id],customer[city])</f>
        <v>Chennai</v>
      </c>
      <c r="L565" t="str">
        <f>_xlfn.XLOOKUP(order[[#This Row],[customer_id]],customer[customer_id],customer[state])</f>
        <v>Tamil Nadu</v>
      </c>
      <c r="M565" t="str">
        <f>_xlfn.XLOOKUP(order[[#This Row],[product_id]],products!$A$2:$A$11,products!$B$2:$B$11)</f>
        <v>Milton Thermosteel Bottle</v>
      </c>
      <c r="N565" s="3" t="str">
        <f>_xlfn.XLOOKUP(order[[#This Row],[product_id]],products!$A$2:$A$11,products!$C$2:$C$11)</f>
        <v>Home &amp; Kitchen</v>
      </c>
      <c r="O565" s="3">
        <f>_xlfn.XLOOKUP(order[[#This Row],[product_id]],Table4[product_id],Table4[cost_price])</f>
        <v>800</v>
      </c>
      <c r="P565" s="11">
        <f>_xlfn.XLOOKUP(order[[#This Row],[order_id]],shipment[order_id],shipment[ship_date])</f>
        <v>45496</v>
      </c>
      <c r="Q565" s="11">
        <f>_xlfn.XLOOKUP(order[[#This Row],[order_id]],shipment[order_id],shipment[delivery_date])</f>
        <v>45498</v>
      </c>
      <c r="R565" s="3" t="str">
        <f>_xlfn.XLOOKUP(order[[#This Row],[order_id]],shipment[shipment_id],shipment[courier])</f>
        <v>DTDC</v>
      </c>
      <c r="S565" s="3">
        <f>order[[#This Row],[selling_price]]-order[[#This Row],[cost_price]]*order[[#This Row],[quantity]]-order[[#This Row],[discount]]</f>
        <v>45639</v>
      </c>
      <c r="T565" s="3">
        <f>order[[#This Row],[quantity]]*order[[#This Row],[selling_price]]</f>
        <v>207828</v>
      </c>
    </row>
    <row r="566" spans="1:20" x14ac:dyDescent="0.3">
      <c r="A566">
        <v>384</v>
      </c>
      <c r="B566" s="11">
        <v>45511</v>
      </c>
      <c r="C566">
        <v>142</v>
      </c>
      <c r="D566" t="str">
        <f>_xlfn.XLOOKUP(order[[#This Row],[customer_id]],customer[customer_id],customer[customer_name])</f>
        <v>Rahul Mehta</v>
      </c>
      <c r="E566">
        <v>210</v>
      </c>
      <c r="F566">
        <v>2</v>
      </c>
      <c r="G566">
        <v>33206</v>
      </c>
      <c r="H566">
        <v>4245</v>
      </c>
      <c r="I566" t="s">
        <v>9</v>
      </c>
      <c r="J566" t="s">
        <v>12</v>
      </c>
      <c r="K566" t="str">
        <f>_xlfn.XLOOKUP(order[[#This Row],[customer_id]],customer[customer_id],customer[city])</f>
        <v>Pune</v>
      </c>
      <c r="L566" t="str">
        <f>_xlfn.XLOOKUP(order[[#This Row],[customer_id]],customer[customer_id],customer[state])</f>
        <v>Maharashtra</v>
      </c>
      <c r="M566" t="str">
        <f>_xlfn.XLOOKUP(order[[#This Row],[product_id]],products!$A$2:$A$11,products!$B$2:$B$11)</f>
        <v>LG 43 Inch Smart TV</v>
      </c>
      <c r="N566" s="3" t="str">
        <f>_xlfn.XLOOKUP(order[[#This Row],[product_id]],products!$A$2:$A$11,products!$C$2:$C$11)</f>
        <v>Electronics</v>
      </c>
      <c r="O566" s="3">
        <f>_xlfn.XLOOKUP(order[[#This Row],[product_id]],Table4[product_id],Table4[cost_price])</f>
        <v>30000</v>
      </c>
      <c r="P566" s="11">
        <f>_xlfn.XLOOKUP(order[[#This Row],[order_id]],shipment[order_id],shipment[ship_date])</f>
        <v>45349</v>
      </c>
      <c r="Q566" s="11">
        <f>_xlfn.XLOOKUP(order[[#This Row],[order_id]],shipment[order_id],shipment[delivery_date])</f>
        <v>45356</v>
      </c>
      <c r="R566" s="3" t="str">
        <f>_xlfn.XLOOKUP(order[[#This Row],[order_id]],shipment[shipment_id],shipment[courier])</f>
        <v>DTDC</v>
      </c>
      <c r="S566" s="3">
        <f>order[[#This Row],[selling_price]]-order[[#This Row],[cost_price]]*order[[#This Row],[quantity]]-order[[#This Row],[discount]]</f>
        <v>-31039</v>
      </c>
      <c r="T566" s="3">
        <f>order[[#This Row],[quantity]]*order[[#This Row],[selling_price]]</f>
        <v>66412</v>
      </c>
    </row>
    <row r="567" spans="1:20" x14ac:dyDescent="0.3">
      <c r="A567">
        <v>566</v>
      </c>
      <c r="B567" s="11">
        <v>45641</v>
      </c>
      <c r="C567">
        <v>108</v>
      </c>
      <c r="D567" t="str">
        <f>_xlfn.XLOOKUP(order[[#This Row],[customer_id]],customer[customer_id],customer[customer_name])</f>
        <v>Arjun Nair</v>
      </c>
      <c r="E567">
        <v>209</v>
      </c>
      <c r="F567">
        <v>4</v>
      </c>
      <c r="G567">
        <v>63059</v>
      </c>
      <c r="H567">
        <v>2399</v>
      </c>
      <c r="I567" t="s">
        <v>15</v>
      </c>
      <c r="J567" t="s">
        <v>10</v>
      </c>
      <c r="K567" t="str">
        <f>_xlfn.XLOOKUP(order[[#This Row],[customer_id]],customer[customer_id],customer[city])</f>
        <v>Ahmedabad</v>
      </c>
      <c r="L567" t="str">
        <f>_xlfn.XLOOKUP(order[[#This Row],[customer_id]],customer[customer_id],customer[state])</f>
        <v>Gujarat</v>
      </c>
      <c r="M567" t="str">
        <f>_xlfn.XLOOKUP(order[[#This Row],[product_id]],products!$A$2:$A$11,products!$B$2:$B$11)</f>
        <v>Milton Thermosteel Bottle</v>
      </c>
      <c r="N567" s="3" t="str">
        <f>_xlfn.XLOOKUP(order[[#This Row],[product_id]],products!$A$2:$A$11,products!$C$2:$C$11)</f>
        <v>Home &amp; Kitchen</v>
      </c>
      <c r="O567" s="3">
        <f>_xlfn.XLOOKUP(order[[#This Row],[product_id]],Table4[product_id],Table4[cost_price])</f>
        <v>800</v>
      </c>
      <c r="P567" s="11">
        <f>_xlfn.XLOOKUP(order[[#This Row],[order_id]],shipment[order_id],shipment[ship_date])</f>
        <v>45316</v>
      </c>
      <c r="Q567" s="11">
        <f>_xlfn.XLOOKUP(order[[#This Row],[order_id]],shipment[order_id],shipment[delivery_date])</f>
        <v>45318</v>
      </c>
      <c r="R567" s="3" t="str">
        <f>_xlfn.XLOOKUP(order[[#This Row],[order_id]],shipment[shipment_id],shipment[courier])</f>
        <v>DTDC</v>
      </c>
      <c r="S567" s="3">
        <f>order[[#This Row],[selling_price]]-order[[#This Row],[cost_price]]*order[[#This Row],[quantity]]-order[[#This Row],[discount]]</f>
        <v>57460</v>
      </c>
      <c r="T567" s="3">
        <f>order[[#This Row],[quantity]]*order[[#This Row],[selling_price]]</f>
        <v>252236</v>
      </c>
    </row>
    <row r="568" spans="1:20" x14ac:dyDescent="0.3">
      <c r="A568">
        <v>567</v>
      </c>
      <c r="B568" s="11">
        <v>45600</v>
      </c>
      <c r="C568">
        <v>213</v>
      </c>
      <c r="D568" t="str">
        <f>_xlfn.XLOOKUP(order[[#This Row],[customer_id]],customer[customer_id],customer[customer_name])</f>
        <v>Arjun Nair</v>
      </c>
      <c r="E568">
        <v>206</v>
      </c>
      <c r="F568">
        <v>3</v>
      </c>
      <c r="G568">
        <v>64771</v>
      </c>
      <c r="H568">
        <v>1390</v>
      </c>
      <c r="I568" t="s">
        <v>15</v>
      </c>
      <c r="J568" t="s">
        <v>14</v>
      </c>
      <c r="K568" t="str">
        <f>_xlfn.XLOOKUP(order[[#This Row],[customer_id]],customer[customer_id],customer[city])</f>
        <v>Ahmedabad</v>
      </c>
      <c r="L568" t="str">
        <f>_xlfn.XLOOKUP(order[[#This Row],[customer_id]],customer[customer_id],customer[state])</f>
        <v>Gujarat</v>
      </c>
      <c r="M568" t="str">
        <f>_xlfn.XLOOKUP(order[[#This Row],[product_id]],products!$A$2:$A$11,products!$B$2:$B$11)</f>
        <v>Philips Air Fryer</v>
      </c>
      <c r="N568" s="3" t="str">
        <f>_xlfn.XLOOKUP(order[[#This Row],[product_id]],products!$A$2:$A$11,products!$C$2:$C$11)</f>
        <v>Home &amp; Kitchen</v>
      </c>
      <c r="O568" s="3">
        <f>_xlfn.XLOOKUP(order[[#This Row],[product_id]],Table4[product_id],Table4[cost_price])</f>
        <v>7000</v>
      </c>
      <c r="P568" s="11">
        <f>_xlfn.XLOOKUP(order[[#This Row],[order_id]],shipment[order_id],shipment[ship_date])</f>
        <v>45382</v>
      </c>
      <c r="Q568" s="11">
        <f>_xlfn.XLOOKUP(order[[#This Row],[order_id]],shipment[order_id],shipment[delivery_date])</f>
        <v>45392</v>
      </c>
      <c r="R568" s="3" t="str">
        <f>_xlfn.XLOOKUP(order[[#This Row],[order_id]],shipment[shipment_id],shipment[courier])</f>
        <v>BlueDart</v>
      </c>
      <c r="S568" s="3">
        <f>order[[#This Row],[selling_price]]-order[[#This Row],[cost_price]]*order[[#This Row],[quantity]]-order[[#This Row],[discount]]</f>
        <v>42381</v>
      </c>
      <c r="T568" s="3">
        <f>order[[#This Row],[quantity]]*order[[#This Row],[selling_price]]</f>
        <v>194313</v>
      </c>
    </row>
    <row r="569" spans="1:20" x14ac:dyDescent="0.3">
      <c r="A569">
        <v>784</v>
      </c>
      <c r="B569" s="11">
        <v>45464</v>
      </c>
      <c r="C569">
        <v>208</v>
      </c>
      <c r="D569" t="str">
        <f>_xlfn.XLOOKUP(order[[#This Row],[customer_id]],customer[customer_id],customer[customer_name])</f>
        <v>Arjun Nair</v>
      </c>
      <c r="E569">
        <v>210</v>
      </c>
      <c r="F569">
        <v>1</v>
      </c>
      <c r="G569">
        <v>4864</v>
      </c>
      <c r="H569">
        <v>4217</v>
      </c>
      <c r="I569" t="s">
        <v>11</v>
      </c>
      <c r="J569" t="s">
        <v>10</v>
      </c>
      <c r="K569" t="str">
        <f>_xlfn.XLOOKUP(order[[#This Row],[customer_id]],customer[customer_id],customer[city])</f>
        <v>Mumbai</v>
      </c>
      <c r="L569" t="str">
        <f>_xlfn.XLOOKUP(order[[#This Row],[customer_id]],customer[customer_id],customer[state])</f>
        <v>Maharashtra</v>
      </c>
      <c r="M569" t="str">
        <f>_xlfn.XLOOKUP(order[[#This Row],[product_id]],products!$A$2:$A$11,products!$B$2:$B$11)</f>
        <v>LG 43 Inch Smart TV</v>
      </c>
      <c r="N569" s="3" t="str">
        <f>_xlfn.XLOOKUP(order[[#This Row],[product_id]],products!$A$2:$A$11,products!$C$2:$C$11)</f>
        <v>Electronics</v>
      </c>
      <c r="O569" s="3">
        <f>_xlfn.XLOOKUP(order[[#This Row],[product_id]],Table4[product_id],Table4[cost_price])</f>
        <v>30000</v>
      </c>
      <c r="P569" s="11">
        <f>_xlfn.XLOOKUP(order[[#This Row],[order_id]],shipment[order_id],shipment[ship_date])</f>
        <v>45603</v>
      </c>
      <c r="Q569" s="11">
        <f>_xlfn.XLOOKUP(order[[#This Row],[order_id]],shipment[order_id],shipment[delivery_date])</f>
        <v>45605</v>
      </c>
      <c r="R569" s="3" t="str">
        <f>_xlfn.XLOOKUP(order[[#This Row],[order_id]],shipment[shipment_id],shipment[courier])</f>
        <v>BlueDart</v>
      </c>
      <c r="S569" s="3">
        <f>order[[#This Row],[selling_price]]-order[[#This Row],[cost_price]]*order[[#This Row],[quantity]]-order[[#This Row],[discount]]</f>
        <v>-29353</v>
      </c>
      <c r="T569" s="3">
        <f>order[[#This Row],[quantity]]*order[[#This Row],[selling_price]]</f>
        <v>4864</v>
      </c>
    </row>
    <row r="570" spans="1:20" x14ac:dyDescent="0.3">
      <c r="A570">
        <v>569</v>
      </c>
      <c r="B570" s="11">
        <v>45579</v>
      </c>
      <c r="C570">
        <v>207</v>
      </c>
      <c r="D570" t="str">
        <f>_xlfn.XLOOKUP(order[[#This Row],[customer_id]],customer[customer_id],customer[customer_name])</f>
        <v>Neha Kapoor</v>
      </c>
      <c r="E570">
        <v>209</v>
      </c>
      <c r="F570">
        <v>3</v>
      </c>
      <c r="G570">
        <v>59487</v>
      </c>
      <c r="H570">
        <v>816</v>
      </c>
      <c r="I570" t="s">
        <v>13</v>
      </c>
      <c r="J570" t="s">
        <v>12</v>
      </c>
      <c r="K570" t="str">
        <f>_xlfn.XLOOKUP(order[[#This Row],[customer_id]],customer[customer_id],customer[city])</f>
        <v>Mumbai</v>
      </c>
      <c r="L570" t="str">
        <f>_xlfn.XLOOKUP(order[[#This Row],[customer_id]],customer[customer_id],customer[state])</f>
        <v>Maharashtra</v>
      </c>
      <c r="M570" t="str">
        <f>_xlfn.XLOOKUP(order[[#This Row],[product_id]],products!$A$2:$A$11,products!$B$2:$B$11)</f>
        <v>Milton Thermosteel Bottle</v>
      </c>
      <c r="N570" s="3" t="str">
        <f>_xlfn.XLOOKUP(order[[#This Row],[product_id]],products!$A$2:$A$11,products!$C$2:$C$11)</f>
        <v>Home &amp; Kitchen</v>
      </c>
      <c r="O570" s="3">
        <f>_xlfn.XLOOKUP(order[[#This Row],[product_id]],Table4[product_id],Table4[cost_price])</f>
        <v>800</v>
      </c>
      <c r="P570" s="11">
        <f>_xlfn.XLOOKUP(order[[#This Row],[order_id]],shipment[order_id],shipment[ship_date])</f>
        <v>45538</v>
      </c>
      <c r="Q570" s="11">
        <f>_xlfn.XLOOKUP(order[[#This Row],[order_id]],shipment[order_id],shipment[delivery_date])</f>
        <v>45542</v>
      </c>
      <c r="R570" s="3" t="str">
        <f>_xlfn.XLOOKUP(order[[#This Row],[order_id]],shipment[shipment_id],shipment[courier])</f>
        <v>Ekart</v>
      </c>
      <c r="S570" s="3">
        <f>order[[#This Row],[selling_price]]-order[[#This Row],[cost_price]]*order[[#This Row],[quantity]]-order[[#This Row],[discount]]</f>
        <v>56271</v>
      </c>
      <c r="T570" s="3">
        <f>order[[#This Row],[quantity]]*order[[#This Row],[selling_price]]</f>
        <v>178461</v>
      </c>
    </row>
    <row r="571" spans="1:20" x14ac:dyDescent="0.3">
      <c r="A571">
        <v>178</v>
      </c>
      <c r="B571" s="11">
        <v>45531</v>
      </c>
      <c r="C571">
        <v>110</v>
      </c>
      <c r="D571" t="str">
        <f>_xlfn.XLOOKUP(order[[#This Row],[customer_id]],customer[customer_id],customer[customer_name])</f>
        <v>Rahul Mehta</v>
      </c>
      <c r="E571">
        <v>210</v>
      </c>
      <c r="F571">
        <v>2</v>
      </c>
      <c r="G571">
        <v>57010</v>
      </c>
      <c r="H571">
        <v>4197</v>
      </c>
      <c r="I571" t="s">
        <v>13</v>
      </c>
      <c r="J571" t="s">
        <v>14</v>
      </c>
      <c r="K571" t="str">
        <f>_xlfn.XLOOKUP(order[[#This Row],[customer_id]],customer[customer_id],customer[city])</f>
        <v>Delhi</v>
      </c>
      <c r="L571" t="str">
        <f>_xlfn.XLOOKUP(order[[#This Row],[customer_id]],customer[customer_id],customer[state])</f>
        <v>Delhi</v>
      </c>
      <c r="M571" t="str">
        <f>_xlfn.XLOOKUP(order[[#This Row],[product_id]],products!$A$2:$A$11,products!$B$2:$B$11)</f>
        <v>LG 43 Inch Smart TV</v>
      </c>
      <c r="N571" s="3" t="str">
        <f>_xlfn.XLOOKUP(order[[#This Row],[product_id]],products!$A$2:$A$11,products!$C$2:$C$11)</f>
        <v>Electronics</v>
      </c>
      <c r="O571" s="3">
        <f>_xlfn.XLOOKUP(order[[#This Row],[product_id]],Table4[product_id],Table4[cost_price])</f>
        <v>30000</v>
      </c>
      <c r="P571" s="11">
        <f>_xlfn.XLOOKUP(order[[#This Row],[order_id]],shipment[order_id],shipment[ship_date])</f>
        <v>45378</v>
      </c>
      <c r="Q571" s="11">
        <f>_xlfn.XLOOKUP(order[[#This Row],[order_id]],shipment[order_id],shipment[delivery_date])</f>
        <v>45381</v>
      </c>
      <c r="R571" s="3" t="str">
        <f>_xlfn.XLOOKUP(order[[#This Row],[order_id]],shipment[shipment_id],shipment[courier])</f>
        <v>DTDC</v>
      </c>
      <c r="S571" s="3">
        <f>order[[#This Row],[selling_price]]-order[[#This Row],[cost_price]]*order[[#This Row],[quantity]]-order[[#This Row],[discount]]</f>
        <v>-7187</v>
      </c>
      <c r="T571" s="3">
        <f>order[[#This Row],[quantity]]*order[[#This Row],[selling_price]]</f>
        <v>114020</v>
      </c>
    </row>
    <row r="572" spans="1:20" x14ac:dyDescent="0.3">
      <c r="A572">
        <v>571</v>
      </c>
      <c r="B572" s="11">
        <v>45577</v>
      </c>
      <c r="C572">
        <v>149</v>
      </c>
      <c r="D572" t="str">
        <f>_xlfn.XLOOKUP(order[[#This Row],[customer_id]],customer[customer_id],customer[customer_name])</f>
        <v>Karan Patel</v>
      </c>
      <c r="E572">
        <v>209</v>
      </c>
      <c r="F572">
        <v>3</v>
      </c>
      <c r="G572">
        <v>5188</v>
      </c>
      <c r="H572">
        <v>1775</v>
      </c>
      <c r="I572" t="s">
        <v>15</v>
      </c>
      <c r="J572" t="s">
        <v>14</v>
      </c>
      <c r="K572" t="str">
        <f>_xlfn.XLOOKUP(order[[#This Row],[customer_id]],customer[customer_id],customer[city])</f>
        <v>Delhi</v>
      </c>
      <c r="L572" t="str">
        <f>_xlfn.XLOOKUP(order[[#This Row],[customer_id]],customer[customer_id],customer[state])</f>
        <v>Delhi</v>
      </c>
      <c r="M572" t="str">
        <f>_xlfn.XLOOKUP(order[[#This Row],[product_id]],products!$A$2:$A$11,products!$B$2:$B$11)</f>
        <v>Milton Thermosteel Bottle</v>
      </c>
      <c r="N572" s="3" t="str">
        <f>_xlfn.XLOOKUP(order[[#This Row],[product_id]],products!$A$2:$A$11,products!$C$2:$C$11)</f>
        <v>Home &amp; Kitchen</v>
      </c>
      <c r="O572" s="3">
        <f>_xlfn.XLOOKUP(order[[#This Row],[product_id]],Table4[product_id],Table4[cost_price])</f>
        <v>800</v>
      </c>
      <c r="P572" s="11">
        <f>_xlfn.XLOOKUP(order[[#This Row],[order_id]],shipment[order_id],shipment[ship_date])</f>
        <v>45369</v>
      </c>
      <c r="Q572" s="11">
        <f>_xlfn.XLOOKUP(order[[#This Row],[order_id]],shipment[order_id],shipment[delivery_date])</f>
        <v>45377</v>
      </c>
      <c r="R572" s="3" t="str">
        <f>_xlfn.XLOOKUP(order[[#This Row],[order_id]],shipment[shipment_id],shipment[courier])</f>
        <v>Ekart</v>
      </c>
      <c r="S572" s="3">
        <f>order[[#This Row],[selling_price]]-order[[#This Row],[cost_price]]*order[[#This Row],[quantity]]-order[[#This Row],[discount]]</f>
        <v>1013</v>
      </c>
      <c r="T572" s="3">
        <f>order[[#This Row],[quantity]]*order[[#This Row],[selling_price]]</f>
        <v>15564</v>
      </c>
    </row>
    <row r="573" spans="1:20" x14ac:dyDescent="0.3">
      <c r="A573">
        <v>645</v>
      </c>
      <c r="B573" s="11">
        <v>45452</v>
      </c>
      <c r="C573">
        <v>159</v>
      </c>
      <c r="D573" t="str">
        <f>_xlfn.XLOOKUP(order[[#This Row],[customer_id]],customer[customer_id],customer[customer_name])</f>
        <v>Neha Kapoor</v>
      </c>
      <c r="E573">
        <v>210</v>
      </c>
      <c r="F573">
        <v>3</v>
      </c>
      <c r="G573">
        <v>4457</v>
      </c>
      <c r="H573">
        <v>4159</v>
      </c>
      <c r="I573" t="s">
        <v>11</v>
      </c>
      <c r="J573" t="s">
        <v>14</v>
      </c>
      <c r="K573" t="str">
        <f>_xlfn.XLOOKUP(order[[#This Row],[customer_id]],customer[customer_id],customer[city])</f>
        <v>Ahmedabad</v>
      </c>
      <c r="L573" t="str">
        <f>_xlfn.XLOOKUP(order[[#This Row],[customer_id]],customer[customer_id],customer[state])</f>
        <v>Gujarat</v>
      </c>
      <c r="M573" t="str">
        <f>_xlfn.XLOOKUP(order[[#This Row],[product_id]],products!$A$2:$A$11,products!$B$2:$B$11)</f>
        <v>LG 43 Inch Smart TV</v>
      </c>
      <c r="N573" s="3" t="str">
        <f>_xlfn.XLOOKUP(order[[#This Row],[product_id]],products!$A$2:$A$11,products!$C$2:$C$11)</f>
        <v>Electronics</v>
      </c>
      <c r="O573" s="3">
        <f>_xlfn.XLOOKUP(order[[#This Row],[product_id]],Table4[product_id],Table4[cost_price])</f>
        <v>30000</v>
      </c>
      <c r="P573" s="11">
        <f>_xlfn.XLOOKUP(order[[#This Row],[order_id]],shipment[order_id],shipment[ship_date])</f>
        <v>45640</v>
      </c>
      <c r="Q573" s="11">
        <f>_xlfn.XLOOKUP(order[[#This Row],[order_id]],shipment[order_id],shipment[delivery_date])</f>
        <v>45643</v>
      </c>
      <c r="R573" s="3" t="str">
        <f>_xlfn.XLOOKUP(order[[#This Row],[order_id]],shipment[shipment_id],shipment[courier])</f>
        <v>BlueDart</v>
      </c>
      <c r="S573" s="3">
        <f>order[[#This Row],[selling_price]]-order[[#This Row],[cost_price]]*order[[#This Row],[quantity]]-order[[#This Row],[discount]]</f>
        <v>-89702</v>
      </c>
      <c r="T573" s="3">
        <f>order[[#This Row],[quantity]]*order[[#This Row],[selling_price]]</f>
        <v>13371</v>
      </c>
    </row>
    <row r="574" spans="1:20" x14ac:dyDescent="0.3">
      <c r="A574">
        <v>957</v>
      </c>
      <c r="B574" s="11">
        <v>45401</v>
      </c>
      <c r="C574">
        <v>204</v>
      </c>
      <c r="D574" t="str">
        <f>_xlfn.XLOOKUP(order[[#This Row],[customer_id]],customer[customer_id],customer[customer_name])</f>
        <v>Meera Joshi</v>
      </c>
      <c r="E574">
        <v>210</v>
      </c>
      <c r="F574">
        <v>1</v>
      </c>
      <c r="G574">
        <v>22818</v>
      </c>
      <c r="H574">
        <v>4075</v>
      </c>
      <c r="I574" t="s">
        <v>11</v>
      </c>
      <c r="J574" t="s">
        <v>10</v>
      </c>
      <c r="K574" t="str">
        <f>_xlfn.XLOOKUP(order[[#This Row],[customer_id]],customer[customer_id],customer[city])</f>
        <v>Mumbai</v>
      </c>
      <c r="L574" t="str">
        <f>_xlfn.XLOOKUP(order[[#This Row],[customer_id]],customer[customer_id],customer[state])</f>
        <v>Maharashtra</v>
      </c>
      <c r="M574" t="str">
        <f>_xlfn.XLOOKUP(order[[#This Row],[product_id]],products!$A$2:$A$11,products!$B$2:$B$11)</f>
        <v>LG 43 Inch Smart TV</v>
      </c>
      <c r="N574" s="3" t="str">
        <f>_xlfn.XLOOKUP(order[[#This Row],[product_id]],products!$A$2:$A$11,products!$C$2:$C$11)</f>
        <v>Electronics</v>
      </c>
      <c r="O574" s="3">
        <f>_xlfn.XLOOKUP(order[[#This Row],[product_id]],Table4[product_id],Table4[cost_price])</f>
        <v>30000</v>
      </c>
      <c r="P574" s="11">
        <f>_xlfn.XLOOKUP(order[[#This Row],[order_id]],shipment[order_id],shipment[ship_date])</f>
        <v>45503</v>
      </c>
      <c r="Q574" s="11">
        <f>_xlfn.XLOOKUP(order[[#This Row],[order_id]],shipment[order_id],shipment[delivery_date])</f>
        <v>45509</v>
      </c>
      <c r="R574" s="3" t="str">
        <f>_xlfn.XLOOKUP(order[[#This Row],[order_id]],shipment[shipment_id],shipment[courier])</f>
        <v>BlueDart</v>
      </c>
      <c r="S574" s="3">
        <f>order[[#This Row],[selling_price]]-order[[#This Row],[cost_price]]*order[[#This Row],[quantity]]-order[[#This Row],[discount]]</f>
        <v>-11257</v>
      </c>
      <c r="T574" s="3">
        <f>order[[#This Row],[quantity]]*order[[#This Row],[selling_price]]</f>
        <v>22818</v>
      </c>
    </row>
    <row r="575" spans="1:20" x14ac:dyDescent="0.3">
      <c r="A575">
        <v>574</v>
      </c>
      <c r="B575" s="11">
        <v>45459</v>
      </c>
      <c r="C575">
        <v>179</v>
      </c>
      <c r="D575" t="str">
        <f>_xlfn.XLOOKUP(order[[#This Row],[customer_id]],customer[customer_id],customer[customer_name])</f>
        <v>Ananya Gupta</v>
      </c>
      <c r="E575">
        <v>206</v>
      </c>
      <c r="F575">
        <v>3</v>
      </c>
      <c r="G575">
        <v>25669</v>
      </c>
      <c r="H575">
        <v>627</v>
      </c>
      <c r="I575" t="s">
        <v>9</v>
      </c>
      <c r="J575" t="s">
        <v>12</v>
      </c>
      <c r="K575" t="str">
        <f>_xlfn.XLOOKUP(order[[#This Row],[customer_id]],customer[customer_id],customer[city])</f>
        <v>Hyderabad</v>
      </c>
      <c r="L575" t="str">
        <f>_xlfn.XLOOKUP(order[[#This Row],[customer_id]],customer[customer_id],customer[state])</f>
        <v>Telangana</v>
      </c>
      <c r="M575" t="str">
        <f>_xlfn.XLOOKUP(order[[#This Row],[product_id]],products!$A$2:$A$11,products!$B$2:$B$11)</f>
        <v>Philips Air Fryer</v>
      </c>
      <c r="N575" s="3" t="str">
        <f>_xlfn.XLOOKUP(order[[#This Row],[product_id]],products!$A$2:$A$11,products!$C$2:$C$11)</f>
        <v>Home &amp; Kitchen</v>
      </c>
      <c r="O575" s="3">
        <f>_xlfn.XLOOKUP(order[[#This Row],[product_id]],Table4[product_id],Table4[cost_price])</f>
        <v>7000</v>
      </c>
      <c r="P575" s="11">
        <f>_xlfn.XLOOKUP(order[[#This Row],[order_id]],shipment[order_id],shipment[ship_date])</f>
        <v>45462</v>
      </c>
      <c r="Q575" s="11">
        <f>_xlfn.XLOOKUP(order[[#This Row],[order_id]],shipment[order_id],shipment[delivery_date])</f>
        <v>45467</v>
      </c>
      <c r="R575" s="3" t="str">
        <f>_xlfn.XLOOKUP(order[[#This Row],[order_id]],shipment[shipment_id],shipment[courier])</f>
        <v>Delhivery</v>
      </c>
      <c r="S575" s="3">
        <f>order[[#This Row],[selling_price]]-order[[#This Row],[cost_price]]*order[[#This Row],[quantity]]-order[[#This Row],[discount]]</f>
        <v>4042</v>
      </c>
      <c r="T575" s="3">
        <f>order[[#This Row],[quantity]]*order[[#This Row],[selling_price]]</f>
        <v>77007</v>
      </c>
    </row>
    <row r="576" spans="1:20" x14ac:dyDescent="0.3">
      <c r="A576">
        <v>121</v>
      </c>
      <c r="B576" s="11">
        <v>45463</v>
      </c>
      <c r="C576">
        <v>237</v>
      </c>
      <c r="D576" t="str">
        <f>_xlfn.XLOOKUP(order[[#This Row],[customer_id]],customer[customer_id],customer[customer_name])</f>
        <v>Ananya Gupta</v>
      </c>
      <c r="E576">
        <v>210</v>
      </c>
      <c r="F576">
        <v>4</v>
      </c>
      <c r="G576">
        <v>18888</v>
      </c>
      <c r="H576">
        <v>4035</v>
      </c>
      <c r="I576" t="s">
        <v>11</v>
      </c>
      <c r="J576" t="s">
        <v>14</v>
      </c>
      <c r="K576" t="str">
        <f>_xlfn.XLOOKUP(order[[#This Row],[customer_id]],customer[customer_id],customer[city])</f>
        <v>Hyderabad</v>
      </c>
      <c r="L576" t="str">
        <f>_xlfn.XLOOKUP(order[[#This Row],[customer_id]],customer[customer_id],customer[state])</f>
        <v>Telangana</v>
      </c>
      <c r="M576" t="str">
        <f>_xlfn.XLOOKUP(order[[#This Row],[product_id]],products!$A$2:$A$11,products!$B$2:$B$11)</f>
        <v>LG 43 Inch Smart TV</v>
      </c>
      <c r="N576" s="3" t="str">
        <f>_xlfn.XLOOKUP(order[[#This Row],[product_id]],products!$A$2:$A$11,products!$C$2:$C$11)</f>
        <v>Electronics</v>
      </c>
      <c r="O576" s="3">
        <f>_xlfn.XLOOKUP(order[[#This Row],[product_id]],Table4[product_id],Table4[cost_price])</f>
        <v>30000</v>
      </c>
      <c r="P576" s="11">
        <f>_xlfn.XLOOKUP(order[[#This Row],[order_id]],shipment[order_id],shipment[ship_date])</f>
        <v>45616</v>
      </c>
      <c r="Q576" s="11">
        <f>_xlfn.XLOOKUP(order[[#This Row],[order_id]],shipment[order_id],shipment[delivery_date])</f>
        <v>45620</v>
      </c>
      <c r="R576" s="3" t="str">
        <f>_xlfn.XLOOKUP(order[[#This Row],[order_id]],shipment[shipment_id],shipment[courier])</f>
        <v>Delhivery</v>
      </c>
      <c r="S576" s="3">
        <f>order[[#This Row],[selling_price]]-order[[#This Row],[cost_price]]*order[[#This Row],[quantity]]-order[[#This Row],[discount]]</f>
        <v>-105147</v>
      </c>
      <c r="T576" s="3">
        <f>order[[#This Row],[quantity]]*order[[#This Row],[selling_price]]</f>
        <v>75552</v>
      </c>
    </row>
    <row r="577" spans="1:20" x14ac:dyDescent="0.3">
      <c r="A577">
        <v>576</v>
      </c>
      <c r="B577" s="11">
        <v>45624</v>
      </c>
      <c r="C577">
        <v>247</v>
      </c>
      <c r="D577" t="str">
        <f>_xlfn.XLOOKUP(order[[#This Row],[customer_id]],customer[customer_id],customer[customer_name])</f>
        <v>Pooja Nair</v>
      </c>
      <c r="E577">
        <v>204</v>
      </c>
      <c r="F577">
        <v>1</v>
      </c>
      <c r="G577">
        <v>69070</v>
      </c>
      <c r="H577">
        <v>2843</v>
      </c>
      <c r="I577" t="s">
        <v>15</v>
      </c>
      <c r="J577" t="s">
        <v>14</v>
      </c>
      <c r="K577" t="str">
        <f>_xlfn.XLOOKUP(order[[#This Row],[customer_id]],customer[customer_id],customer[city])</f>
        <v>Pune</v>
      </c>
      <c r="L577" t="str">
        <f>_xlfn.XLOOKUP(order[[#This Row],[customer_id]],customer[customer_id],customer[state])</f>
        <v>Maharashtra</v>
      </c>
      <c r="M577" t="str">
        <f>_xlfn.XLOOKUP(order[[#This Row],[product_id]],products!$A$2:$A$11,products!$B$2:$B$11)</f>
        <v>Levi's Slim Fit Jeans</v>
      </c>
      <c r="N577" s="3" t="str">
        <f>_xlfn.XLOOKUP(order[[#This Row],[product_id]],products!$A$2:$A$11,products!$C$2:$C$11)</f>
        <v>Fashion</v>
      </c>
      <c r="O577" s="3">
        <f>_xlfn.XLOOKUP(order[[#This Row],[product_id]],Table4[product_id],Table4[cost_price])</f>
        <v>1800</v>
      </c>
      <c r="P577" s="11">
        <f>_xlfn.XLOOKUP(order[[#This Row],[order_id]],shipment[order_id],shipment[ship_date])</f>
        <v>45539</v>
      </c>
      <c r="Q577" s="11">
        <f>_xlfn.XLOOKUP(order[[#This Row],[order_id]],shipment[order_id],shipment[delivery_date])</f>
        <v>45543</v>
      </c>
      <c r="R577" s="3" t="str">
        <f>_xlfn.XLOOKUP(order[[#This Row],[order_id]],shipment[shipment_id],shipment[courier])</f>
        <v>Delhivery</v>
      </c>
      <c r="S577" s="3">
        <f>order[[#This Row],[selling_price]]-order[[#This Row],[cost_price]]*order[[#This Row],[quantity]]-order[[#This Row],[discount]]</f>
        <v>64427</v>
      </c>
      <c r="T577" s="3">
        <f>order[[#This Row],[quantity]]*order[[#This Row],[selling_price]]</f>
        <v>69070</v>
      </c>
    </row>
    <row r="578" spans="1:20" x14ac:dyDescent="0.3">
      <c r="A578">
        <v>577</v>
      </c>
      <c r="B578" s="11">
        <v>45503</v>
      </c>
      <c r="C578">
        <v>263</v>
      </c>
      <c r="D578" t="str">
        <f>_xlfn.XLOOKUP(order[[#This Row],[customer_id]],customer[customer_id],customer[customer_name])</f>
        <v>Rohit Verma</v>
      </c>
      <c r="E578">
        <v>210</v>
      </c>
      <c r="F578">
        <v>1</v>
      </c>
      <c r="G578">
        <v>34418</v>
      </c>
      <c r="H578">
        <v>3962</v>
      </c>
      <c r="I578" t="s">
        <v>11</v>
      </c>
      <c r="J578" t="s">
        <v>12</v>
      </c>
      <c r="K578" t="str">
        <f>_xlfn.XLOOKUP(order[[#This Row],[customer_id]],customer[customer_id],customer[city])</f>
        <v>Chennai</v>
      </c>
      <c r="L578" t="str">
        <f>_xlfn.XLOOKUP(order[[#This Row],[customer_id]],customer[customer_id],customer[state])</f>
        <v>Tamil Nadu</v>
      </c>
      <c r="M578" t="str">
        <f>_xlfn.XLOOKUP(order[[#This Row],[product_id]],products!$A$2:$A$11,products!$B$2:$B$11)</f>
        <v>LG 43 Inch Smart TV</v>
      </c>
      <c r="N578" s="3" t="str">
        <f>_xlfn.XLOOKUP(order[[#This Row],[product_id]],products!$A$2:$A$11,products!$C$2:$C$11)</f>
        <v>Electronics</v>
      </c>
      <c r="O578" s="3">
        <f>_xlfn.XLOOKUP(order[[#This Row],[product_id]],Table4[product_id],Table4[cost_price])</f>
        <v>30000</v>
      </c>
      <c r="P578" s="11">
        <f>_xlfn.XLOOKUP(order[[#This Row],[order_id]],shipment[order_id],shipment[ship_date])</f>
        <v>45409</v>
      </c>
      <c r="Q578" s="11">
        <f>_xlfn.XLOOKUP(order[[#This Row],[order_id]],shipment[order_id],shipment[delivery_date])</f>
        <v>45413</v>
      </c>
      <c r="R578" s="3" t="str">
        <f>_xlfn.XLOOKUP(order[[#This Row],[order_id]],shipment[shipment_id],shipment[courier])</f>
        <v>Delhivery</v>
      </c>
      <c r="S578" s="3">
        <f>order[[#This Row],[selling_price]]-order[[#This Row],[cost_price]]*order[[#This Row],[quantity]]-order[[#This Row],[discount]]</f>
        <v>456</v>
      </c>
      <c r="T578" s="3">
        <f>order[[#This Row],[quantity]]*order[[#This Row],[selling_price]]</f>
        <v>34418</v>
      </c>
    </row>
    <row r="579" spans="1:20" x14ac:dyDescent="0.3">
      <c r="A579">
        <v>578</v>
      </c>
      <c r="B579" s="11">
        <v>45437</v>
      </c>
      <c r="C579">
        <v>160</v>
      </c>
      <c r="D579" t="str">
        <f>_xlfn.XLOOKUP(order[[#This Row],[customer_id]],customer[customer_id],customer[customer_name])</f>
        <v>Arjun Nair</v>
      </c>
      <c r="E579">
        <v>205</v>
      </c>
      <c r="F579">
        <v>1</v>
      </c>
      <c r="G579">
        <v>28824</v>
      </c>
      <c r="H579">
        <v>1780</v>
      </c>
      <c r="I579" t="s">
        <v>13</v>
      </c>
      <c r="J579" t="s">
        <v>12</v>
      </c>
      <c r="K579" t="str">
        <f>_xlfn.XLOOKUP(order[[#This Row],[customer_id]],customer[customer_id],customer[city])</f>
        <v>Delhi</v>
      </c>
      <c r="L579" t="str">
        <f>_xlfn.XLOOKUP(order[[#This Row],[customer_id]],customer[customer_id],customer[state])</f>
        <v>Delhi</v>
      </c>
      <c r="M579" t="str">
        <f>_xlfn.XLOOKUP(order[[#This Row],[product_id]],products!$A$2:$A$11,products!$B$2:$B$11)</f>
        <v>Prestige Pressure Cooker 5L</v>
      </c>
      <c r="N579" s="3" t="str">
        <f>_xlfn.XLOOKUP(order[[#This Row],[product_id]],products!$A$2:$A$11,products!$C$2:$C$11)</f>
        <v>Home &amp; Kitchen</v>
      </c>
      <c r="O579" s="3">
        <f>_xlfn.XLOOKUP(order[[#This Row],[product_id]],Table4[product_id],Table4[cost_price])</f>
        <v>1200</v>
      </c>
      <c r="P579" s="11">
        <f>_xlfn.XLOOKUP(order[[#This Row],[order_id]],shipment[order_id],shipment[ship_date])</f>
        <v>45634</v>
      </c>
      <c r="Q579" s="11">
        <f>_xlfn.XLOOKUP(order[[#This Row],[order_id]],shipment[order_id],shipment[delivery_date])</f>
        <v>45635</v>
      </c>
      <c r="R579" s="3" t="str">
        <f>_xlfn.XLOOKUP(order[[#This Row],[order_id]],shipment[shipment_id],shipment[courier])</f>
        <v>Ekart</v>
      </c>
      <c r="S579" s="3">
        <f>order[[#This Row],[selling_price]]-order[[#This Row],[cost_price]]*order[[#This Row],[quantity]]-order[[#This Row],[discount]]</f>
        <v>25844</v>
      </c>
      <c r="T579" s="3">
        <f>order[[#This Row],[quantity]]*order[[#This Row],[selling_price]]</f>
        <v>28824</v>
      </c>
    </row>
    <row r="580" spans="1:20" x14ac:dyDescent="0.3">
      <c r="A580">
        <v>579</v>
      </c>
      <c r="B580" s="11">
        <v>45313</v>
      </c>
      <c r="C580">
        <v>293</v>
      </c>
      <c r="D580" t="str">
        <f>_xlfn.XLOOKUP(order[[#This Row],[customer_id]],customer[customer_id],customer[customer_name])</f>
        <v>Sneha Iyer</v>
      </c>
      <c r="E580">
        <v>204</v>
      </c>
      <c r="F580">
        <v>2</v>
      </c>
      <c r="G580">
        <v>40864</v>
      </c>
      <c r="H580">
        <v>2327</v>
      </c>
      <c r="I580" t="s">
        <v>13</v>
      </c>
      <c r="J580" t="s">
        <v>10</v>
      </c>
      <c r="K580" t="str">
        <f>_xlfn.XLOOKUP(order[[#This Row],[customer_id]],customer[customer_id],customer[city])</f>
        <v>Pune</v>
      </c>
      <c r="L580" t="str">
        <f>_xlfn.XLOOKUP(order[[#This Row],[customer_id]],customer[customer_id],customer[state])</f>
        <v>Maharashtra</v>
      </c>
      <c r="M580" t="str">
        <f>_xlfn.XLOOKUP(order[[#This Row],[product_id]],products!$A$2:$A$11,products!$B$2:$B$11)</f>
        <v>Levi's Slim Fit Jeans</v>
      </c>
      <c r="N580" s="3" t="str">
        <f>_xlfn.XLOOKUP(order[[#This Row],[product_id]],products!$A$2:$A$11,products!$C$2:$C$11)</f>
        <v>Fashion</v>
      </c>
      <c r="O580" s="3">
        <f>_xlfn.XLOOKUP(order[[#This Row],[product_id]],Table4[product_id],Table4[cost_price])</f>
        <v>1800</v>
      </c>
      <c r="P580" s="11">
        <f>_xlfn.XLOOKUP(order[[#This Row],[order_id]],shipment[order_id],shipment[ship_date])</f>
        <v>45471</v>
      </c>
      <c r="Q580" s="11">
        <f>_xlfn.XLOOKUP(order[[#This Row],[order_id]],shipment[order_id],shipment[delivery_date])</f>
        <v>45475</v>
      </c>
      <c r="R580" s="3" t="str">
        <f>_xlfn.XLOOKUP(order[[#This Row],[order_id]],shipment[shipment_id],shipment[courier])</f>
        <v>Delhivery</v>
      </c>
      <c r="S580" s="3">
        <f>order[[#This Row],[selling_price]]-order[[#This Row],[cost_price]]*order[[#This Row],[quantity]]-order[[#This Row],[discount]]</f>
        <v>34937</v>
      </c>
      <c r="T580" s="3">
        <f>order[[#This Row],[quantity]]*order[[#This Row],[selling_price]]</f>
        <v>81728</v>
      </c>
    </row>
    <row r="581" spans="1:20" x14ac:dyDescent="0.3">
      <c r="A581">
        <v>580</v>
      </c>
      <c r="B581" s="11">
        <v>45421</v>
      </c>
      <c r="C581">
        <v>263</v>
      </c>
      <c r="D581" t="str">
        <f>_xlfn.XLOOKUP(order[[#This Row],[customer_id]],customer[customer_id],customer[customer_name])</f>
        <v>Rohit Verma</v>
      </c>
      <c r="E581">
        <v>209</v>
      </c>
      <c r="F581">
        <v>1</v>
      </c>
      <c r="G581">
        <v>54505</v>
      </c>
      <c r="H581">
        <v>3841</v>
      </c>
      <c r="I581" t="s">
        <v>13</v>
      </c>
      <c r="J581" t="s">
        <v>14</v>
      </c>
      <c r="K581" t="str">
        <f>_xlfn.XLOOKUP(order[[#This Row],[customer_id]],customer[customer_id],customer[city])</f>
        <v>Chennai</v>
      </c>
      <c r="L581" t="str">
        <f>_xlfn.XLOOKUP(order[[#This Row],[customer_id]],customer[customer_id],customer[state])</f>
        <v>Tamil Nadu</v>
      </c>
      <c r="M581" t="str">
        <f>_xlfn.XLOOKUP(order[[#This Row],[product_id]],products!$A$2:$A$11,products!$B$2:$B$11)</f>
        <v>Milton Thermosteel Bottle</v>
      </c>
      <c r="N581" s="3" t="str">
        <f>_xlfn.XLOOKUP(order[[#This Row],[product_id]],products!$A$2:$A$11,products!$C$2:$C$11)</f>
        <v>Home &amp; Kitchen</v>
      </c>
      <c r="O581" s="3">
        <f>_xlfn.XLOOKUP(order[[#This Row],[product_id]],Table4[product_id],Table4[cost_price])</f>
        <v>800</v>
      </c>
      <c r="P581" s="11">
        <f>_xlfn.XLOOKUP(order[[#This Row],[order_id]],shipment[order_id],shipment[ship_date])</f>
        <v>45411</v>
      </c>
      <c r="Q581" s="11">
        <f>_xlfn.XLOOKUP(order[[#This Row],[order_id]],shipment[order_id],shipment[delivery_date])</f>
        <v>45417</v>
      </c>
      <c r="R581" s="3" t="str">
        <f>_xlfn.XLOOKUP(order[[#This Row],[order_id]],shipment[shipment_id],shipment[courier])</f>
        <v>BlueDart</v>
      </c>
      <c r="S581" s="3">
        <f>order[[#This Row],[selling_price]]-order[[#This Row],[cost_price]]*order[[#This Row],[quantity]]-order[[#This Row],[discount]]</f>
        <v>49864</v>
      </c>
      <c r="T581" s="3">
        <f>order[[#This Row],[quantity]]*order[[#This Row],[selling_price]]</f>
        <v>54505</v>
      </c>
    </row>
    <row r="582" spans="1:20" x14ac:dyDescent="0.3">
      <c r="A582">
        <v>581</v>
      </c>
      <c r="B582" s="11">
        <v>45432</v>
      </c>
      <c r="C582">
        <v>215</v>
      </c>
      <c r="D582" t="str">
        <f>_xlfn.XLOOKUP(order[[#This Row],[customer_id]],customer[customer_id],customer[customer_name])</f>
        <v>Priya Reddy</v>
      </c>
      <c r="E582">
        <v>203</v>
      </c>
      <c r="F582">
        <v>2</v>
      </c>
      <c r="G582">
        <v>27847</v>
      </c>
      <c r="H582">
        <v>3675</v>
      </c>
      <c r="I582" t="s">
        <v>13</v>
      </c>
      <c r="J582" t="s">
        <v>12</v>
      </c>
      <c r="K582" t="str">
        <f>_xlfn.XLOOKUP(order[[#This Row],[customer_id]],customer[customer_id],customer[city])</f>
        <v>Chennai</v>
      </c>
      <c r="L582" t="str">
        <f>_xlfn.XLOOKUP(order[[#This Row],[customer_id]],customer[customer_id],customer[state])</f>
        <v>Tamil Nadu</v>
      </c>
      <c r="M582" t="str">
        <f>_xlfn.XLOOKUP(order[[#This Row],[product_id]],products!$A$2:$A$11,products!$B$2:$B$11)</f>
        <v>Nike Air Max Shoes</v>
      </c>
      <c r="N582" s="3" t="str">
        <f>_xlfn.XLOOKUP(order[[#This Row],[product_id]],products!$A$2:$A$11,products!$C$2:$C$11)</f>
        <v>Fashion</v>
      </c>
      <c r="O582" s="3">
        <f>_xlfn.XLOOKUP(order[[#This Row],[product_id]],Table4[product_id],Table4[cost_price])</f>
        <v>4000</v>
      </c>
      <c r="P582" s="11">
        <f>_xlfn.XLOOKUP(order[[#This Row],[order_id]],shipment[order_id],shipment[ship_date])</f>
        <v>45318</v>
      </c>
      <c r="Q582" s="11">
        <f>_xlfn.XLOOKUP(order[[#This Row],[order_id]],shipment[order_id],shipment[delivery_date])</f>
        <v>45327</v>
      </c>
      <c r="R582" s="3" t="str">
        <f>_xlfn.XLOOKUP(order[[#This Row],[order_id]],shipment[shipment_id],shipment[courier])</f>
        <v>Delhivery</v>
      </c>
      <c r="S582" s="3">
        <f>order[[#This Row],[selling_price]]-order[[#This Row],[cost_price]]*order[[#This Row],[quantity]]-order[[#This Row],[discount]]</f>
        <v>16172</v>
      </c>
      <c r="T582" s="3">
        <f>order[[#This Row],[quantity]]*order[[#This Row],[selling_price]]</f>
        <v>55694</v>
      </c>
    </row>
    <row r="583" spans="1:20" x14ac:dyDescent="0.3">
      <c r="A583">
        <v>582</v>
      </c>
      <c r="B583" s="11">
        <v>45568</v>
      </c>
      <c r="C583">
        <v>220</v>
      </c>
      <c r="D583" t="str">
        <f>_xlfn.XLOOKUP(order[[#This Row],[customer_id]],customer[customer_id],customer[customer_name])</f>
        <v>Rahul Mehta</v>
      </c>
      <c r="E583">
        <v>205</v>
      </c>
      <c r="F583">
        <v>1</v>
      </c>
      <c r="G583">
        <v>69318</v>
      </c>
      <c r="H583">
        <v>2750</v>
      </c>
      <c r="I583" t="s">
        <v>9</v>
      </c>
      <c r="J583" t="s">
        <v>10</v>
      </c>
      <c r="K583" t="str">
        <f>_xlfn.XLOOKUP(order[[#This Row],[customer_id]],customer[customer_id],customer[city])</f>
        <v>Chennai</v>
      </c>
      <c r="L583" t="str">
        <f>_xlfn.XLOOKUP(order[[#This Row],[customer_id]],customer[customer_id],customer[state])</f>
        <v>Tamil Nadu</v>
      </c>
      <c r="M583" t="str">
        <f>_xlfn.XLOOKUP(order[[#This Row],[product_id]],products!$A$2:$A$11,products!$B$2:$B$11)</f>
        <v>Prestige Pressure Cooker 5L</v>
      </c>
      <c r="N583" s="3" t="str">
        <f>_xlfn.XLOOKUP(order[[#This Row],[product_id]],products!$A$2:$A$11,products!$C$2:$C$11)</f>
        <v>Home &amp; Kitchen</v>
      </c>
      <c r="O583" s="3">
        <f>_xlfn.XLOOKUP(order[[#This Row],[product_id]],Table4[product_id],Table4[cost_price])</f>
        <v>1200</v>
      </c>
      <c r="P583" s="11">
        <f>_xlfn.XLOOKUP(order[[#This Row],[order_id]],shipment[order_id],shipment[ship_date])</f>
        <v>45496</v>
      </c>
      <c r="Q583" s="11">
        <f>_xlfn.XLOOKUP(order[[#This Row],[order_id]],shipment[order_id],shipment[delivery_date])</f>
        <v>45506</v>
      </c>
      <c r="R583" s="3" t="str">
        <f>_xlfn.XLOOKUP(order[[#This Row],[order_id]],shipment[shipment_id],shipment[courier])</f>
        <v>DTDC</v>
      </c>
      <c r="S583" s="3">
        <f>order[[#This Row],[selling_price]]-order[[#This Row],[cost_price]]*order[[#This Row],[quantity]]-order[[#This Row],[discount]]</f>
        <v>65368</v>
      </c>
      <c r="T583" s="3">
        <f>order[[#This Row],[quantity]]*order[[#This Row],[selling_price]]</f>
        <v>69318</v>
      </c>
    </row>
    <row r="584" spans="1:20" x14ac:dyDescent="0.3">
      <c r="A584">
        <v>583</v>
      </c>
      <c r="B584" s="11">
        <v>45346</v>
      </c>
      <c r="C584">
        <v>292</v>
      </c>
      <c r="D584" t="str">
        <f>_xlfn.XLOOKUP(order[[#This Row],[customer_id]],customer[customer_id],customer[customer_name])</f>
        <v>Vikram Singh</v>
      </c>
      <c r="E584">
        <v>209</v>
      </c>
      <c r="F584">
        <v>3</v>
      </c>
      <c r="G584">
        <v>38310</v>
      </c>
      <c r="H584">
        <v>4604</v>
      </c>
      <c r="I584" t="s">
        <v>11</v>
      </c>
      <c r="J584" t="s">
        <v>14</v>
      </c>
      <c r="K584" t="str">
        <f>_xlfn.XLOOKUP(order[[#This Row],[customer_id]],customer[customer_id],customer[city])</f>
        <v>Ahmedabad</v>
      </c>
      <c r="L584" t="str">
        <f>_xlfn.XLOOKUP(order[[#This Row],[customer_id]],customer[customer_id],customer[state])</f>
        <v>Gujarat</v>
      </c>
      <c r="M584" t="str">
        <f>_xlfn.XLOOKUP(order[[#This Row],[product_id]],products!$A$2:$A$11,products!$B$2:$B$11)</f>
        <v>Milton Thermosteel Bottle</v>
      </c>
      <c r="N584" s="3" t="str">
        <f>_xlfn.XLOOKUP(order[[#This Row],[product_id]],products!$A$2:$A$11,products!$C$2:$C$11)</f>
        <v>Home &amp; Kitchen</v>
      </c>
      <c r="O584" s="3">
        <f>_xlfn.XLOOKUP(order[[#This Row],[product_id]],Table4[product_id],Table4[cost_price])</f>
        <v>800</v>
      </c>
      <c r="P584" s="11">
        <f>_xlfn.XLOOKUP(order[[#This Row],[order_id]],shipment[order_id],shipment[ship_date])</f>
        <v>45525</v>
      </c>
      <c r="Q584" s="11">
        <f>_xlfn.XLOOKUP(order[[#This Row],[order_id]],shipment[order_id],shipment[delivery_date])</f>
        <v>45530</v>
      </c>
      <c r="R584" s="3" t="str">
        <f>_xlfn.XLOOKUP(order[[#This Row],[order_id]],shipment[shipment_id],shipment[courier])</f>
        <v>DTDC</v>
      </c>
      <c r="S584" s="3">
        <f>order[[#This Row],[selling_price]]-order[[#This Row],[cost_price]]*order[[#This Row],[quantity]]-order[[#This Row],[discount]]</f>
        <v>31306</v>
      </c>
      <c r="T584" s="3">
        <f>order[[#This Row],[quantity]]*order[[#This Row],[selling_price]]</f>
        <v>114930</v>
      </c>
    </row>
    <row r="585" spans="1:20" x14ac:dyDescent="0.3">
      <c r="A585">
        <v>584</v>
      </c>
      <c r="B585" s="11">
        <v>45530</v>
      </c>
      <c r="C585">
        <v>142</v>
      </c>
      <c r="D585" t="str">
        <f>_xlfn.XLOOKUP(order[[#This Row],[customer_id]],customer[customer_id],customer[customer_name])</f>
        <v>Rahul Mehta</v>
      </c>
      <c r="E585">
        <v>207</v>
      </c>
      <c r="F585">
        <v>1</v>
      </c>
      <c r="G585">
        <v>49730</v>
      </c>
      <c r="H585">
        <v>2603</v>
      </c>
      <c r="I585" t="s">
        <v>9</v>
      </c>
      <c r="J585" t="s">
        <v>14</v>
      </c>
      <c r="K585" t="str">
        <f>_xlfn.XLOOKUP(order[[#This Row],[customer_id]],customer[customer_id],customer[city])</f>
        <v>Pune</v>
      </c>
      <c r="L585" t="str">
        <f>_xlfn.XLOOKUP(order[[#This Row],[customer_id]],customer[customer_id],customer[state])</f>
        <v>Maharashtra</v>
      </c>
      <c r="M585" t="str">
        <f>_xlfn.XLOOKUP(order[[#This Row],[product_id]],products!$A$2:$A$11,products!$B$2:$B$11)</f>
        <v>Sony WH-1000XM4 Headphones</v>
      </c>
      <c r="N585" s="3" t="str">
        <f>_xlfn.XLOOKUP(order[[#This Row],[product_id]],products!$A$2:$A$11,products!$C$2:$C$11)</f>
        <v>Electronics</v>
      </c>
      <c r="O585" s="3">
        <f>_xlfn.XLOOKUP(order[[#This Row],[product_id]],Table4[product_id],Table4[cost_price])</f>
        <v>20000</v>
      </c>
      <c r="P585" s="11">
        <f>_xlfn.XLOOKUP(order[[#This Row],[order_id]],shipment[order_id],shipment[ship_date])</f>
        <v>45503</v>
      </c>
      <c r="Q585" s="11">
        <f>_xlfn.XLOOKUP(order[[#This Row],[order_id]],shipment[order_id],shipment[delivery_date])</f>
        <v>45508</v>
      </c>
      <c r="R585" s="3" t="str">
        <f>_xlfn.XLOOKUP(order[[#This Row],[order_id]],shipment[shipment_id],shipment[courier])</f>
        <v>Delhivery</v>
      </c>
      <c r="S585" s="3">
        <f>order[[#This Row],[selling_price]]-order[[#This Row],[cost_price]]*order[[#This Row],[quantity]]-order[[#This Row],[discount]]</f>
        <v>27127</v>
      </c>
      <c r="T585" s="3">
        <f>order[[#This Row],[quantity]]*order[[#This Row],[selling_price]]</f>
        <v>49730</v>
      </c>
    </row>
    <row r="586" spans="1:20" x14ac:dyDescent="0.3">
      <c r="A586">
        <v>870</v>
      </c>
      <c r="B586" s="11">
        <v>45585</v>
      </c>
      <c r="C586">
        <v>146</v>
      </c>
      <c r="D586" t="str">
        <f>_xlfn.XLOOKUP(order[[#This Row],[customer_id]],customer[customer_id],customer[customer_name])</f>
        <v>Siddharth Jain</v>
      </c>
      <c r="E586">
        <v>210</v>
      </c>
      <c r="F586">
        <v>3</v>
      </c>
      <c r="G586">
        <v>45453</v>
      </c>
      <c r="H586">
        <v>4023</v>
      </c>
      <c r="I586" t="s">
        <v>13</v>
      </c>
      <c r="J586" t="s">
        <v>10</v>
      </c>
      <c r="K586" t="str">
        <f>_xlfn.XLOOKUP(order[[#This Row],[customer_id]],customer[customer_id],customer[city])</f>
        <v>Hyderabad</v>
      </c>
      <c r="L586" t="str">
        <f>_xlfn.XLOOKUP(order[[#This Row],[customer_id]],customer[customer_id],customer[state])</f>
        <v>Telangana</v>
      </c>
      <c r="M586" t="str">
        <f>_xlfn.XLOOKUP(order[[#This Row],[product_id]],products!$A$2:$A$11,products!$B$2:$B$11)</f>
        <v>LG 43 Inch Smart TV</v>
      </c>
      <c r="N586" s="3" t="str">
        <f>_xlfn.XLOOKUP(order[[#This Row],[product_id]],products!$A$2:$A$11,products!$C$2:$C$11)</f>
        <v>Electronics</v>
      </c>
      <c r="O586" s="3">
        <f>_xlfn.XLOOKUP(order[[#This Row],[product_id]],Table4[product_id],Table4[cost_price])</f>
        <v>30000</v>
      </c>
      <c r="P586" s="11">
        <f>_xlfn.XLOOKUP(order[[#This Row],[order_id]],shipment[order_id],shipment[ship_date])</f>
        <v>45657</v>
      </c>
      <c r="Q586" s="11">
        <f>_xlfn.XLOOKUP(order[[#This Row],[order_id]],shipment[order_id],shipment[delivery_date])</f>
        <v>45667</v>
      </c>
      <c r="R586" s="3" t="str">
        <f>_xlfn.XLOOKUP(order[[#This Row],[order_id]],shipment[shipment_id],shipment[courier])</f>
        <v>DTDC</v>
      </c>
      <c r="S586" s="3">
        <f>order[[#This Row],[selling_price]]-order[[#This Row],[cost_price]]*order[[#This Row],[quantity]]-order[[#This Row],[discount]]</f>
        <v>-48570</v>
      </c>
      <c r="T586" s="3">
        <f>order[[#This Row],[quantity]]*order[[#This Row],[selling_price]]</f>
        <v>136359</v>
      </c>
    </row>
    <row r="587" spans="1:20" x14ac:dyDescent="0.3">
      <c r="A587">
        <v>911</v>
      </c>
      <c r="B587" s="11">
        <v>45644</v>
      </c>
      <c r="C587">
        <v>186</v>
      </c>
      <c r="D587" t="str">
        <f>_xlfn.XLOOKUP(order[[#This Row],[customer_id]],customer[customer_id],customer[customer_name])</f>
        <v>Meera Joshi</v>
      </c>
      <c r="E587">
        <v>210</v>
      </c>
      <c r="F587">
        <v>4</v>
      </c>
      <c r="G587">
        <v>38683</v>
      </c>
      <c r="H587">
        <v>3993</v>
      </c>
      <c r="I587" t="s">
        <v>11</v>
      </c>
      <c r="J587" t="s">
        <v>12</v>
      </c>
      <c r="K587" t="str">
        <f>_xlfn.XLOOKUP(order[[#This Row],[customer_id]],customer[customer_id],customer[city])</f>
        <v>Mumbai</v>
      </c>
      <c r="L587" t="str">
        <f>_xlfn.XLOOKUP(order[[#This Row],[customer_id]],customer[customer_id],customer[state])</f>
        <v>Maharashtra</v>
      </c>
      <c r="M587" t="str">
        <f>_xlfn.XLOOKUP(order[[#This Row],[product_id]],products!$A$2:$A$11,products!$B$2:$B$11)</f>
        <v>LG 43 Inch Smart TV</v>
      </c>
      <c r="N587" s="3" t="str">
        <f>_xlfn.XLOOKUP(order[[#This Row],[product_id]],products!$A$2:$A$11,products!$C$2:$C$11)</f>
        <v>Electronics</v>
      </c>
      <c r="O587" s="3">
        <f>_xlfn.XLOOKUP(order[[#This Row],[product_id]],Table4[product_id],Table4[cost_price])</f>
        <v>30000</v>
      </c>
      <c r="P587" s="11">
        <f>_xlfn.XLOOKUP(order[[#This Row],[order_id]],shipment[order_id],shipment[ship_date])</f>
        <v>45558</v>
      </c>
      <c r="Q587" s="11">
        <f>_xlfn.XLOOKUP(order[[#This Row],[order_id]],shipment[order_id],shipment[delivery_date])</f>
        <v>45563</v>
      </c>
      <c r="R587" s="3" t="str">
        <f>_xlfn.XLOOKUP(order[[#This Row],[order_id]],shipment[shipment_id],shipment[courier])</f>
        <v>Ekart</v>
      </c>
      <c r="S587" s="3">
        <f>order[[#This Row],[selling_price]]-order[[#This Row],[cost_price]]*order[[#This Row],[quantity]]-order[[#This Row],[discount]]</f>
        <v>-85310</v>
      </c>
      <c r="T587" s="3">
        <f>order[[#This Row],[quantity]]*order[[#This Row],[selling_price]]</f>
        <v>154732</v>
      </c>
    </row>
    <row r="588" spans="1:20" x14ac:dyDescent="0.3">
      <c r="A588">
        <v>587</v>
      </c>
      <c r="B588" s="11">
        <v>45632</v>
      </c>
      <c r="C588">
        <v>275</v>
      </c>
      <c r="D588" t="str">
        <f>_xlfn.XLOOKUP(order[[#This Row],[customer_id]],customer[customer_id],customer[customer_name])</f>
        <v>Rohit Verma</v>
      </c>
      <c r="E588">
        <v>204</v>
      </c>
      <c r="F588">
        <v>3</v>
      </c>
      <c r="G588">
        <v>32200</v>
      </c>
      <c r="H588">
        <v>1808</v>
      </c>
      <c r="I588" t="s">
        <v>9</v>
      </c>
      <c r="J588" t="s">
        <v>10</v>
      </c>
      <c r="K588" t="str">
        <f>_xlfn.XLOOKUP(order[[#This Row],[customer_id]],customer[customer_id],customer[city])</f>
        <v>Mumbai</v>
      </c>
      <c r="L588" t="str">
        <f>_xlfn.XLOOKUP(order[[#This Row],[customer_id]],customer[customer_id],customer[state])</f>
        <v>Maharashtra</v>
      </c>
      <c r="M588" t="str">
        <f>_xlfn.XLOOKUP(order[[#This Row],[product_id]],products!$A$2:$A$11,products!$B$2:$B$11)</f>
        <v>Levi's Slim Fit Jeans</v>
      </c>
      <c r="N588" s="3" t="str">
        <f>_xlfn.XLOOKUP(order[[#This Row],[product_id]],products!$A$2:$A$11,products!$C$2:$C$11)</f>
        <v>Fashion</v>
      </c>
      <c r="O588" s="3">
        <f>_xlfn.XLOOKUP(order[[#This Row],[product_id]],Table4[product_id],Table4[cost_price])</f>
        <v>1800</v>
      </c>
      <c r="P588" s="11">
        <f>_xlfn.XLOOKUP(order[[#This Row],[order_id]],shipment[order_id],shipment[ship_date])</f>
        <v>45406</v>
      </c>
      <c r="Q588" s="11">
        <f>_xlfn.XLOOKUP(order[[#This Row],[order_id]],shipment[order_id],shipment[delivery_date])</f>
        <v>45413</v>
      </c>
      <c r="R588" s="3" t="str">
        <f>_xlfn.XLOOKUP(order[[#This Row],[order_id]],shipment[shipment_id],shipment[courier])</f>
        <v>DTDC</v>
      </c>
      <c r="S588" s="3">
        <f>order[[#This Row],[selling_price]]-order[[#This Row],[cost_price]]*order[[#This Row],[quantity]]-order[[#This Row],[discount]]</f>
        <v>24992</v>
      </c>
      <c r="T588" s="3">
        <f>order[[#This Row],[quantity]]*order[[#This Row],[selling_price]]</f>
        <v>96600</v>
      </c>
    </row>
    <row r="589" spans="1:20" x14ac:dyDescent="0.3">
      <c r="A589">
        <v>588</v>
      </c>
      <c r="B589" s="11">
        <v>45311</v>
      </c>
      <c r="C589">
        <v>280</v>
      </c>
      <c r="D589" t="str">
        <f>_xlfn.XLOOKUP(order[[#This Row],[customer_id]],customer[customer_id],customer[customer_name])</f>
        <v>Aarav Sharma</v>
      </c>
      <c r="E589">
        <v>205</v>
      </c>
      <c r="F589">
        <v>3</v>
      </c>
      <c r="G589">
        <v>44578</v>
      </c>
      <c r="H589">
        <v>1152</v>
      </c>
      <c r="I589" t="s">
        <v>15</v>
      </c>
      <c r="J589" t="s">
        <v>14</v>
      </c>
      <c r="K589" t="str">
        <f>_xlfn.XLOOKUP(order[[#This Row],[customer_id]],customer[customer_id],customer[city])</f>
        <v>Hyderabad</v>
      </c>
      <c r="L589" t="str">
        <f>_xlfn.XLOOKUP(order[[#This Row],[customer_id]],customer[customer_id],customer[state])</f>
        <v>Telangana</v>
      </c>
      <c r="M589" t="str">
        <f>_xlfn.XLOOKUP(order[[#This Row],[product_id]],products!$A$2:$A$11,products!$B$2:$B$11)</f>
        <v>Prestige Pressure Cooker 5L</v>
      </c>
      <c r="N589" s="3" t="str">
        <f>_xlfn.XLOOKUP(order[[#This Row],[product_id]],products!$A$2:$A$11,products!$C$2:$C$11)</f>
        <v>Home &amp; Kitchen</v>
      </c>
      <c r="O589" s="3">
        <f>_xlfn.XLOOKUP(order[[#This Row],[product_id]],Table4[product_id],Table4[cost_price])</f>
        <v>1200</v>
      </c>
      <c r="P589" s="11">
        <f>_xlfn.XLOOKUP(order[[#This Row],[order_id]],shipment[order_id],shipment[ship_date])</f>
        <v>45378</v>
      </c>
      <c r="Q589" s="11">
        <f>_xlfn.XLOOKUP(order[[#This Row],[order_id]],shipment[order_id],shipment[delivery_date])</f>
        <v>45382</v>
      </c>
      <c r="R589" s="3" t="str">
        <f>_xlfn.XLOOKUP(order[[#This Row],[order_id]],shipment[shipment_id],shipment[courier])</f>
        <v>Delhivery</v>
      </c>
      <c r="S589" s="3">
        <f>order[[#This Row],[selling_price]]-order[[#This Row],[cost_price]]*order[[#This Row],[quantity]]-order[[#This Row],[discount]]</f>
        <v>39826</v>
      </c>
      <c r="T589" s="3">
        <f>order[[#This Row],[quantity]]*order[[#This Row],[selling_price]]</f>
        <v>133734</v>
      </c>
    </row>
    <row r="590" spans="1:20" x14ac:dyDescent="0.3">
      <c r="A590">
        <v>676</v>
      </c>
      <c r="B590" s="11">
        <v>45621</v>
      </c>
      <c r="C590">
        <v>220</v>
      </c>
      <c r="D590" t="str">
        <f>_xlfn.XLOOKUP(order[[#This Row],[customer_id]],customer[customer_id],customer[customer_name])</f>
        <v>Rahul Mehta</v>
      </c>
      <c r="E590">
        <v>210</v>
      </c>
      <c r="F590">
        <v>2</v>
      </c>
      <c r="G590">
        <v>13237</v>
      </c>
      <c r="H590">
        <v>3971</v>
      </c>
      <c r="I590" t="s">
        <v>11</v>
      </c>
      <c r="J590" t="s">
        <v>10</v>
      </c>
      <c r="K590" t="str">
        <f>_xlfn.XLOOKUP(order[[#This Row],[customer_id]],customer[customer_id],customer[city])</f>
        <v>Chennai</v>
      </c>
      <c r="L590" t="str">
        <f>_xlfn.XLOOKUP(order[[#This Row],[customer_id]],customer[customer_id],customer[state])</f>
        <v>Tamil Nadu</v>
      </c>
      <c r="M590" t="str">
        <f>_xlfn.XLOOKUP(order[[#This Row],[product_id]],products!$A$2:$A$11,products!$B$2:$B$11)</f>
        <v>LG 43 Inch Smart TV</v>
      </c>
      <c r="N590" s="3" t="str">
        <f>_xlfn.XLOOKUP(order[[#This Row],[product_id]],products!$A$2:$A$11,products!$C$2:$C$11)</f>
        <v>Electronics</v>
      </c>
      <c r="O590" s="3">
        <f>_xlfn.XLOOKUP(order[[#This Row],[product_id]],Table4[product_id],Table4[cost_price])</f>
        <v>30000</v>
      </c>
      <c r="P590" s="11">
        <f>_xlfn.XLOOKUP(order[[#This Row],[order_id]],shipment[order_id],shipment[ship_date])</f>
        <v>45612</v>
      </c>
      <c r="Q590" s="11">
        <f>_xlfn.XLOOKUP(order[[#This Row],[order_id]],shipment[order_id],shipment[delivery_date])</f>
        <v>45621</v>
      </c>
      <c r="R590" s="3" t="str">
        <f>_xlfn.XLOOKUP(order[[#This Row],[order_id]],shipment[shipment_id],shipment[courier])</f>
        <v>BlueDart</v>
      </c>
      <c r="S590" s="3">
        <f>order[[#This Row],[selling_price]]-order[[#This Row],[cost_price]]*order[[#This Row],[quantity]]-order[[#This Row],[discount]]</f>
        <v>-50734</v>
      </c>
      <c r="T590" s="3">
        <f>order[[#This Row],[quantity]]*order[[#This Row],[selling_price]]</f>
        <v>26474</v>
      </c>
    </row>
    <row r="591" spans="1:20" x14ac:dyDescent="0.3">
      <c r="A591">
        <v>590</v>
      </c>
      <c r="B591" s="11">
        <v>45575</v>
      </c>
      <c r="C591">
        <v>106</v>
      </c>
      <c r="D591" t="str">
        <f>_xlfn.XLOOKUP(order[[#This Row],[customer_id]],customer[customer_id],customer[customer_name])</f>
        <v>Pooja Nair</v>
      </c>
      <c r="E591">
        <v>203</v>
      </c>
      <c r="F591">
        <v>1</v>
      </c>
      <c r="G591">
        <v>16698</v>
      </c>
      <c r="H591">
        <v>1888</v>
      </c>
      <c r="I591" t="s">
        <v>11</v>
      </c>
      <c r="J591" t="s">
        <v>14</v>
      </c>
      <c r="K591" t="str">
        <f>_xlfn.XLOOKUP(order[[#This Row],[customer_id]],customer[customer_id],customer[city])</f>
        <v>Pune</v>
      </c>
      <c r="L591" t="str">
        <f>_xlfn.XLOOKUP(order[[#This Row],[customer_id]],customer[customer_id],customer[state])</f>
        <v>Maharashtra</v>
      </c>
      <c r="M591" t="str">
        <f>_xlfn.XLOOKUP(order[[#This Row],[product_id]],products!$A$2:$A$11,products!$B$2:$B$11)</f>
        <v>Nike Air Max Shoes</v>
      </c>
      <c r="N591" s="3" t="str">
        <f>_xlfn.XLOOKUP(order[[#This Row],[product_id]],products!$A$2:$A$11,products!$C$2:$C$11)</f>
        <v>Fashion</v>
      </c>
      <c r="O591" s="3">
        <f>_xlfn.XLOOKUP(order[[#This Row],[product_id]],Table4[product_id],Table4[cost_price])</f>
        <v>4000</v>
      </c>
      <c r="P591" s="11">
        <f>_xlfn.XLOOKUP(order[[#This Row],[order_id]],shipment[order_id],shipment[ship_date])</f>
        <v>45316</v>
      </c>
      <c r="Q591" s="11">
        <f>_xlfn.XLOOKUP(order[[#This Row],[order_id]],shipment[order_id],shipment[delivery_date])</f>
        <v>45321</v>
      </c>
      <c r="R591" s="3" t="str">
        <f>_xlfn.XLOOKUP(order[[#This Row],[order_id]],shipment[shipment_id],shipment[courier])</f>
        <v>BlueDart</v>
      </c>
      <c r="S591" s="3">
        <f>order[[#This Row],[selling_price]]-order[[#This Row],[cost_price]]*order[[#This Row],[quantity]]-order[[#This Row],[discount]]</f>
        <v>10810</v>
      </c>
      <c r="T591" s="3">
        <f>order[[#This Row],[quantity]]*order[[#This Row],[selling_price]]</f>
        <v>16698</v>
      </c>
    </row>
    <row r="592" spans="1:20" x14ac:dyDescent="0.3">
      <c r="A592">
        <v>591</v>
      </c>
      <c r="B592" s="11">
        <v>45337</v>
      </c>
      <c r="C592">
        <v>172</v>
      </c>
      <c r="D592" t="str">
        <f>_xlfn.XLOOKUP(order[[#This Row],[customer_id]],customer[customer_id],customer[customer_name])</f>
        <v>Pooja Nair</v>
      </c>
      <c r="E592">
        <v>205</v>
      </c>
      <c r="F592">
        <v>1</v>
      </c>
      <c r="G592">
        <v>47744</v>
      </c>
      <c r="H592">
        <v>3376</v>
      </c>
      <c r="I592" t="s">
        <v>11</v>
      </c>
      <c r="J592" t="s">
        <v>10</v>
      </c>
      <c r="K592" t="str">
        <f>_xlfn.XLOOKUP(order[[#This Row],[customer_id]],customer[customer_id],customer[city])</f>
        <v>Mumbai</v>
      </c>
      <c r="L592" t="str">
        <f>_xlfn.XLOOKUP(order[[#This Row],[customer_id]],customer[customer_id],customer[state])</f>
        <v>Maharashtra</v>
      </c>
      <c r="M592" t="str">
        <f>_xlfn.XLOOKUP(order[[#This Row],[product_id]],products!$A$2:$A$11,products!$B$2:$B$11)</f>
        <v>Prestige Pressure Cooker 5L</v>
      </c>
      <c r="N592" s="3" t="str">
        <f>_xlfn.XLOOKUP(order[[#This Row],[product_id]],products!$A$2:$A$11,products!$C$2:$C$11)</f>
        <v>Home &amp; Kitchen</v>
      </c>
      <c r="O592" s="3">
        <f>_xlfn.XLOOKUP(order[[#This Row],[product_id]],Table4[product_id],Table4[cost_price])</f>
        <v>1200</v>
      </c>
      <c r="P592" s="11">
        <f>_xlfn.XLOOKUP(order[[#This Row],[order_id]],shipment[order_id],shipment[ship_date])</f>
        <v>45654</v>
      </c>
      <c r="Q592" s="11">
        <f>_xlfn.XLOOKUP(order[[#This Row],[order_id]],shipment[order_id],shipment[delivery_date])</f>
        <v>45655</v>
      </c>
      <c r="R592" s="3" t="str">
        <f>_xlfn.XLOOKUP(order[[#This Row],[order_id]],shipment[shipment_id],shipment[courier])</f>
        <v>DTDC</v>
      </c>
      <c r="S592" s="3">
        <f>order[[#This Row],[selling_price]]-order[[#This Row],[cost_price]]*order[[#This Row],[quantity]]-order[[#This Row],[discount]]</f>
        <v>43168</v>
      </c>
      <c r="T592" s="3">
        <f>order[[#This Row],[quantity]]*order[[#This Row],[selling_price]]</f>
        <v>47744</v>
      </c>
    </row>
    <row r="593" spans="1:20" x14ac:dyDescent="0.3">
      <c r="A593">
        <v>1080</v>
      </c>
      <c r="B593" s="11">
        <v>45393</v>
      </c>
      <c r="C593">
        <v>290</v>
      </c>
      <c r="D593" t="str">
        <f>_xlfn.XLOOKUP(order[[#This Row],[customer_id]],customer[customer_id],customer[customer_name])</f>
        <v>Karan Patel</v>
      </c>
      <c r="E593">
        <v>210</v>
      </c>
      <c r="F593">
        <v>4</v>
      </c>
      <c r="G593">
        <v>26616</v>
      </c>
      <c r="H593">
        <v>3955</v>
      </c>
      <c r="I593" t="s">
        <v>13</v>
      </c>
      <c r="J593" t="s">
        <v>12</v>
      </c>
      <c r="K593" t="str">
        <f>_xlfn.XLOOKUP(order[[#This Row],[customer_id]],customer[customer_id],customer[city])</f>
        <v>Pune</v>
      </c>
      <c r="L593" t="str">
        <f>_xlfn.XLOOKUP(order[[#This Row],[customer_id]],customer[customer_id],customer[state])</f>
        <v>Maharashtra</v>
      </c>
      <c r="M593" t="str">
        <f>_xlfn.XLOOKUP(order[[#This Row],[product_id]],products!$A$2:$A$11,products!$B$2:$B$11)</f>
        <v>LG 43 Inch Smart TV</v>
      </c>
      <c r="N593" s="3" t="str">
        <f>_xlfn.XLOOKUP(order[[#This Row],[product_id]],products!$A$2:$A$11,products!$C$2:$C$11)</f>
        <v>Electronics</v>
      </c>
      <c r="O593" s="3">
        <f>_xlfn.XLOOKUP(order[[#This Row],[product_id]],Table4[product_id],Table4[cost_price])</f>
        <v>30000</v>
      </c>
      <c r="P593" s="11">
        <f>_xlfn.XLOOKUP(order[[#This Row],[order_id]],shipment[order_id],shipment[ship_date])</f>
        <v>45484</v>
      </c>
      <c r="Q593" s="11">
        <f>_xlfn.XLOOKUP(order[[#This Row],[order_id]],shipment[order_id],shipment[delivery_date])</f>
        <v>45491</v>
      </c>
      <c r="R593" s="3" t="str">
        <f>_xlfn.XLOOKUP(order[[#This Row],[order_id]],shipment[shipment_id],shipment[courier])</f>
        <v>DTDC</v>
      </c>
      <c r="S593" s="3">
        <f>order[[#This Row],[selling_price]]-order[[#This Row],[cost_price]]*order[[#This Row],[quantity]]-order[[#This Row],[discount]]</f>
        <v>-97339</v>
      </c>
      <c r="T593" s="3">
        <f>order[[#This Row],[quantity]]*order[[#This Row],[selling_price]]</f>
        <v>106464</v>
      </c>
    </row>
    <row r="594" spans="1:20" x14ac:dyDescent="0.3">
      <c r="A594">
        <v>593</v>
      </c>
      <c r="B594" s="11">
        <v>45320</v>
      </c>
      <c r="C594">
        <v>214</v>
      </c>
      <c r="D594" t="str">
        <f>_xlfn.XLOOKUP(order[[#This Row],[customer_id]],customer[customer_id],customer[customer_name])</f>
        <v>Ishita Bose</v>
      </c>
      <c r="E594">
        <v>205</v>
      </c>
      <c r="F594">
        <v>4</v>
      </c>
      <c r="G594">
        <v>40455</v>
      </c>
      <c r="H594">
        <v>729</v>
      </c>
      <c r="I594" t="s">
        <v>15</v>
      </c>
      <c r="J594" t="s">
        <v>12</v>
      </c>
      <c r="K594" t="str">
        <f>_xlfn.XLOOKUP(order[[#This Row],[customer_id]],customer[customer_id],customer[city])</f>
        <v>Mumbai</v>
      </c>
      <c r="L594" t="str">
        <f>_xlfn.XLOOKUP(order[[#This Row],[customer_id]],customer[customer_id],customer[state])</f>
        <v>Maharashtra</v>
      </c>
      <c r="M594" t="str">
        <f>_xlfn.XLOOKUP(order[[#This Row],[product_id]],products!$A$2:$A$11,products!$B$2:$B$11)</f>
        <v>Prestige Pressure Cooker 5L</v>
      </c>
      <c r="N594" s="3" t="str">
        <f>_xlfn.XLOOKUP(order[[#This Row],[product_id]],products!$A$2:$A$11,products!$C$2:$C$11)</f>
        <v>Home &amp; Kitchen</v>
      </c>
      <c r="O594" s="3">
        <f>_xlfn.XLOOKUP(order[[#This Row],[product_id]],Table4[product_id],Table4[cost_price])</f>
        <v>1200</v>
      </c>
      <c r="P594" s="11">
        <f>_xlfn.XLOOKUP(order[[#This Row],[order_id]],shipment[order_id],shipment[ship_date])</f>
        <v>45651</v>
      </c>
      <c r="Q594" s="11">
        <f>_xlfn.XLOOKUP(order[[#This Row],[order_id]],shipment[order_id],shipment[delivery_date])</f>
        <v>45659</v>
      </c>
      <c r="R594" s="3" t="str">
        <f>_xlfn.XLOOKUP(order[[#This Row],[order_id]],shipment[shipment_id],shipment[courier])</f>
        <v>DTDC</v>
      </c>
      <c r="S594" s="3">
        <f>order[[#This Row],[selling_price]]-order[[#This Row],[cost_price]]*order[[#This Row],[quantity]]-order[[#This Row],[discount]]</f>
        <v>34926</v>
      </c>
      <c r="T594" s="3">
        <f>order[[#This Row],[quantity]]*order[[#This Row],[selling_price]]</f>
        <v>161820</v>
      </c>
    </row>
    <row r="595" spans="1:20" x14ac:dyDescent="0.3">
      <c r="A595">
        <v>594</v>
      </c>
      <c r="B595" s="11">
        <v>45551</v>
      </c>
      <c r="C595">
        <v>296</v>
      </c>
      <c r="D595" t="str">
        <f>_xlfn.XLOOKUP(order[[#This Row],[customer_id]],customer[customer_id],customer[customer_name])</f>
        <v>Rohit Verma</v>
      </c>
      <c r="E595">
        <v>204</v>
      </c>
      <c r="F595">
        <v>3</v>
      </c>
      <c r="G595">
        <v>8811</v>
      </c>
      <c r="H595">
        <v>3242</v>
      </c>
      <c r="I595" t="s">
        <v>13</v>
      </c>
      <c r="J595" t="s">
        <v>14</v>
      </c>
      <c r="K595" t="str">
        <f>_xlfn.XLOOKUP(order[[#This Row],[customer_id]],customer[customer_id],customer[city])</f>
        <v>Pune</v>
      </c>
      <c r="L595" t="str">
        <f>_xlfn.XLOOKUP(order[[#This Row],[customer_id]],customer[customer_id],customer[state])</f>
        <v>Maharashtra</v>
      </c>
      <c r="M595" t="str">
        <f>_xlfn.XLOOKUP(order[[#This Row],[product_id]],products!$A$2:$A$11,products!$B$2:$B$11)</f>
        <v>Levi's Slim Fit Jeans</v>
      </c>
      <c r="N595" s="3" t="str">
        <f>_xlfn.XLOOKUP(order[[#This Row],[product_id]],products!$A$2:$A$11,products!$C$2:$C$11)</f>
        <v>Fashion</v>
      </c>
      <c r="O595" s="3">
        <f>_xlfn.XLOOKUP(order[[#This Row],[product_id]],Table4[product_id],Table4[cost_price])</f>
        <v>1800</v>
      </c>
      <c r="P595" s="11">
        <f>_xlfn.XLOOKUP(order[[#This Row],[order_id]],shipment[order_id],shipment[ship_date])</f>
        <v>45467</v>
      </c>
      <c r="Q595" s="11">
        <f>_xlfn.XLOOKUP(order[[#This Row],[order_id]],shipment[order_id],shipment[delivery_date])</f>
        <v>45474</v>
      </c>
      <c r="R595" s="3" t="str">
        <f>_xlfn.XLOOKUP(order[[#This Row],[order_id]],shipment[shipment_id],shipment[courier])</f>
        <v>Ekart</v>
      </c>
      <c r="S595" s="3">
        <f>order[[#This Row],[selling_price]]-order[[#This Row],[cost_price]]*order[[#This Row],[quantity]]-order[[#This Row],[discount]]</f>
        <v>169</v>
      </c>
      <c r="T595" s="3">
        <f>order[[#This Row],[quantity]]*order[[#This Row],[selling_price]]</f>
        <v>26433</v>
      </c>
    </row>
    <row r="596" spans="1:20" x14ac:dyDescent="0.3">
      <c r="A596">
        <v>595</v>
      </c>
      <c r="B596" s="11">
        <v>45440</v>
      </c>
      <c r="C596">
        <v>243</v>
      </c>
      <c r="D596" t="str">
        <f>_xlfn.XLOOKUP(order[[#This Row],[customer_id]],customer[customer_id],customer[customer_name])</f>
        <v>Ananya Gupta</v>
      </c>
      <c r="E596">
        <v>209</v>
      </c>
      <c r="F596">
        <v>3</v>
      </c>
      <c r="G596">
        <v>66204</v>
      </c>
      <c r="H596">
        <v>2078</v>
      </c>
      <c r="I596" t="s">
        <v>11</v>
      </c>
      <c r="J596" t="s">
        <v>12</v>
      </c>
      <c r="K596" t="str">
        <f>_xlfn.XLOOKUP(order[[#This Row],[customer_id]],customer[customer_id],customer[city])</f>
        <v>Ahmedabad</v>
      </c>
      <c r="L596" t="str">
        <f>_xlfn.XLOOKUP(order[[#This Row],[customer_id]],customer[customer_id],customer[state])</f>
        <v>Gujarat</v>
      </c>
      <c r="M596" t="str">
        <f>_xlfn.XLOOKUP(order[[#This Row],[product_id]],products!$A$2:$A$11,products!$B$2:$B$11)</f>
        <v>Milton Thermosteel Bottle</v>
      </c>
      <c r="N596" s="3" t="str">
        <f>_xlfn.XLOOKUP(order[[#This Row],[product_id]],products!$A$2:$A$11,products!$C$2:$C$11)</f>
        <v>Home &amp; Kitchen</v>
      </c>
      <c r="O596" s="3">
        <f>_xlfn.XLOOKUP(order[[#This Row],[product_id]],Table4[product_id],Table4[cost_price])</f>
        <v>800</v>
      </c>
      <c r="P596" s="11">
        <f>_xlfn.XLOOKUP(order[[#This Row],[order_id]],shipment[order_id],shipment[ship_date])</f>
        <v>45435</v>
      </c>
      <c r="Q596" s="11">
        <f>_xlfn.XLOOKUP(order[[#This Row],[order_id]],shipment[order_id],shipment[delivery_date])</f>
        <v>45443</v>
      </c>
      <c r="R596" s="3" t="str">
        <f>_xlfn.XLOOKUP(order[[#This Row],[order_id]],shipment[shipment_id],shipment[courier])</f>
        <v>DTDC</v>
      </c>
      <c r="S596" s="3">
        <f>order[[#This Row],[selling_price]]-order[[#This Row],[cost_price]]*order[[#This Row],[quantity]]-order[[#This Row],[discount]]</f>
        <v>61726</v>
      </c>
      <c r="T596" s="3">
        <f>order[[#This Row],[quantity]]*order[[#This Row],[selling_price]]</f>
        <v>198612</v>
      </c>
    </row>
    <row r="597" spans="1:20" x14ac:dyDescent="0.3">
      <c r="A597">
        <v>1134</v>
      </c>
      <c r="B597" s="11">
        <v>45301</v>
      </c>
      <c r="C597">
        <v>148</v>
      </c>
      <c r="D597" t="str">
        <f>_xlfn.XLOOKUP(order[[#This Row],[customer_id]],customer[customer_id],customer[customer_name])</f>
        <v>Karan Patel</v>
      </c>
      <c r="E597">
        <v>210</v>
      </c>
      <c r="F597">
        <v>2</v>
      </c>
      <c r="G597">
        <v>2543</v>
      </c>
      <c r="H597">
        <v>3912</v>
      </c>
      <c r="I597" t="s">
        <v>15</v>
      </c>
      <c r="J597" t="s">
        <v>12</v>
      </c>
      <c r="K597" t="str">
        <f>_xlfn.XLOOKUP(order[[#This Row],[customer_id]],customer[customer_id],customer[city])</f>
        <v>Chennai</v>
      </c>
      <c r="L597" t="str">
        <f>_xlfn.XLOOKUP(order[[#This Row],[customer_id]],customer[customer_id],customer[state])</f>
        <v>Tamil Nadu</v>
      </c>
      <c r="M597" t="str">
        <f>_xlfn.XLOOKUP(order[[#This Row],[product_id]],products!$A$2:$A$11,products!$B$2:$B$11)</f>
        <v>LG 43 Inch Smart TV</v>
      </c>
      <c r="N597" s="3" t="str">
        <f>_xlfn.XLOOKUP(order[[#This Row],[product_id]],products!$A$2:$A$11,products!$C$2:$C$11)</f>
        <v>Electronics</v>
      </c>
      <c r="O597" s="3">
        <f>_xlfn.XLOOKUP(order[[#This Row],[product_id]],Table4[product_id],Table4[cost_price])</f>
        <v>30000</v>
      </c>
      <c r="P597" s="11">
        <f>_xlfn.XLOOKUP(order[[#This Row],[order_id]],shipment[order_id],shipment[ship_date])</f>
        <v>45415</v>
      </c>
      <c r="Q597" s="11">
        <f>_xlfn.XLOOKUP(order[[#This Row],[order_id]],shipment[order_id],shipment[delivery_date])</f>
        <v>45423</v>
      </c>
      <c r="R597" s="3" t="str">
        <f>_xlfn.XLOOKUP(order[[#This Row],[order_id]],shipment[shipment_id],shipment[courier])</f>
        <v>BlueDart</v>
      </c>
      <c r="S597" s="3">
        <f>order[[#This Row],[selling_price]]-order[[#This Row],[cost_price]]*order[[#This Row],[quantity]]-order[[#This Row],[discount]]</f>
        <v>-61369</v>
      </c>
      <c r="T597" s="3">
        <f>order[[#This Row],[quantity]]*order[[#This Row],[selling_price]]</f>
        <v>5086</v>
      </c>
    </row>
    <row r="598" spans="1:20" x14ac:dyDescent="0.3">
      <c r="A598">
        <v>597</v>
      </c>
      <c r="B598" s="11">
        <v>45339</v>
      </c>
      <c r="C598">
        <v>160</v>
      </c>
      <c r="D598" t="str">
        <f>_xlfn.XLOOKUP(order[[#This Row],[customer_id]],customer[customer_id],customer[customer_name])</f>
        <v>Arjun Nair</v>
      </c>
      <c r="E598">
        <v>208</v>
      </c>
      <c r="F598">
        <v>3</v>
      </c>
      <c r="G598">
        <v>46588</v>
      </c>
      <c r="H598">
        <v>397</v>
      </c>
      <c r="I598" t="s">
        <v>15</v>
      </c>
      <c r="J598" t="s">
        <v>10</v>
      </c>
      <c r="K598" t="str">
        <f>_xlfn.XLOOKUP(order[[#This Row],[customer_id]],customer[customer_id],customer[city])</f>
        <v>Delhi</v>
      </c>
      <c r="L598" t="str">
        <f>_xlfn.XLOOKUP(order[[#This Row],[customer_id]],customer[customer_id],customer[state])</f>
        <v>Delhi</v>
      </c>
      <c r="M598" t="str">
        <f>_xlfn.XLOOKUP(order[[#This Row],[product_id]],products!$A$2:$A$11,products!$B$2:$B$11)</f>
        <v>Adidas Ultraboost Shoes</v>
      </c>
      <c r="N598" s="3" t="str">
        <f>_xlfn.XLOOKUP(order[[#This Row],[product_id]],products!$A$2:$A$11,products!$C$2:$C$11)</f>
        <v>Fashion</v>
      </c>
      <c r="O598" s="3">
        <f>_xlfn.XLOOKUP(order[[#This Row],[product_id]],Table4[product_id],Table4[cost_price])</f>
        <v>9000</v>
      </c>
      <c r="P598" s="11">
        <f>_xlfn.XLOOKUP(order[[#This Row],[order_id]],shipment[order_id],shipment[ship_date])</f>
        <v>45459</v>
      </c>
      <c r="Q598" s="11">
        <f>_xlfn.XLOOKUP(order[[#This Row],[order_id]],shipment[order_id],shipment[delivery_date])</f>
        <v>45468</v>
      </c>
      <c r="R598" s="3" t="str">
        <f>_xlfn.XLOOKUP(order[[#This Row],[order_id]],shipment[shipment_id],shipment[courier])</f>
        <v>Delhivery</v>
      </c>
      <c r="S598" s="3">
        <f>order[[#This Row],[selling_price]]-order[[#This Row],[cost_price]]*order[[#This Row],[quantity]]-order[[#This Row],[discount]]</f>
        <v>19191</v>
      </c>
      <c r="T598" s="3">
        <f>order[[#This Row],[quantity]]*order[[#This Row],[selling_price]]</f>
        <v>139764</v>
      </c>
    </row>
    <row r="599" spans="1:20" x14ac:dyDescent="0.3">
      <c r="A599">
        <v>96</v>
      </c>
      <c r="B599" s="11">
        <v>45565</v>
      </c>
      <c r="C599">
        <v>105</v>
      </c>
      <c r="D599" t="str">
        <f>_xlfn.XLOOKUP(order[[#This Row],[customer_id]],customer[customer_id],customer[customer_name])</f>
        <v>Vikram Singh</v>
      </c>
      <c r="E599">
        <v>210</v>
      </c>
      <c r="F599">
        <v>3</v>
      </c>
      <c r="G599">
        <v>28339</v>
      </c>
      <c r="H599">
        <v>3904</v>
      </c>
      <c r="I599" t="s">
        <v>11</v>
      </c>
      <c r="J599" t="s">
        <v>12</v>
      </c>
      <c r="K599" t="str">
        <f>_xlfn.XLOOKUP(order[[#This Row],[customer_id]],customer[customer_id],customer[city])</f>
        <v>Pune</v>
      </c>
      <c r="L599" t="str">
        <f>_xlfn.XLOOKUP(order[[#This Row],[customer_id]],customer[customer_id],customer[state])</f>
        <v>Maharashtra</v>
      </c>
      <c r="M599" t="str">
        <f>_xlfn.XLOOKUP(order[[#This Row],[product_id]],products!$A$2:$A$11,products!$B$2:$B$11)</f>
        <v>LG 43 Inch Smart TV</v>
      </c>
      <c r="N599" s="3" t="str">
        <f>_xlfn.XLOOKUP(order[[#This Row],[product_id]],products!$A$2:$A$11,products!$C$2:$C$11)</f>
        <v>Electronics</v>
      </c>
      <c r="O599" s="3">
        <f>_xlfn.XLOOKUP(order[[#This Row],[product_id]],Table4[product_id],Table4[cost_price])</f>
        <v>30000</v>
      </c>
      <c r="P599" s="11">
        <f>_xlfn.XLOOKUP(order[[#This Row],[order_id]],shipment[order_id],shipment[ship_date])</f>
        <v>45463</v>
      </c>
      <c r="Q599" s="11">
        <f>_xlfn.XLOOKUP(order[[#This Row],[order_id]],shipment[order_id],shipment[delivery_date])</f>
        <v>45470</v>
      </c>
      <c r="R599" s="3" t="str">
        <f>_xlfn.XLOOKUP(order[[#This Row],[order_id]],shipment[shipment_id],shipment[courier])</f>
        <v>Ekart</v>
      </c>
      <c r="S599" s="3">
        <f>order[[#This Row],[selling_price]]-order[[#This Row],[cost_price]]*order[[#This Row],[quantity]]-order[[#This Row],[discount]]</f>
        <v>-65565</v>
      </c>
      <c r="T599" s="3">
        <f>order[[#This Row],[quantity]]*order[[#This Row],[selling_price]]</f>
        <v>85017</v>
      </c>
    </row>
    <row r="600" spans="1:20" x14ac:dyDescent="0.3">
      <c r="A600">
        <v>1132</v>
      </c>
      <c r="B600" s="11">
        <v>45569</v>
      </c>
      <c r="C600">
        <v>195</v>
      </c>
      <c r="D600" t="str">
        <f>_xlfn.XLOOKUP(order[[#This Row],[customer_id]],customer[customer_id],customer[customer_name])</f>
        <v>Rahul Mehta</v>
      </c>
      <c r="E600">
        <v>210</v>
      </c>
      <c r="F600">
        <v>4</v>
      </c>
      <c r="G600">
        <v>7910</v>
      </c>
      <c r="H600">
        <v>3896</v>
      </c>
      <c r="I600" t="s">
        <v>11</v>
      </c>
      <c r="J600" t="s">
        <v>10</v>
      </c>
      <c r="K600" t="str">
        <f>_xlfn.XLOOKUP(order[[#This Row],[customer_id]],customer[customer_id],customer[city])</f>
        <v>Bangalore</v>
      </c>
      <c r="L600" t="str">
        <f>_xlfn.XLOOKUP(order[[#This Row],[customer_id]],customer[customer_id],customer[state])</f>
        <v>Karnataka</v>
      </c>
      <c r="M600" t="str">
        <f>_xlfn.XLOOKUP(order[[#This Row],[product_id]],products!$A$2:$A$11,products!$B$2:$B$11)</f>
        <v>LG 43 Inch Smart TV</v>
      </c>
      <c r="N600" s="3" t="str">
        <f>_xlfn.XLOOKUP(order[[#This Row],[product_id]],products!$A$2:$A$11,products!$C$2:$C$11)</f>
        <v>Electronics</v>
      </c>
      <c r="O600" s="3">
        <f>_xlfn.XLOOKUP(order[[#This Row],[product_id]],Table4[product_id],Table4[cost_price])</f>
        <v>30000</v>
      </c>
      <c r="P600" s="11">
        <f>_xlfn.XLOOKUP(order[[#This Row],[order_id]],shipment[order_id],shipment[ship_date])</f>
        <v>45562</v>
      </c>
      <c r="Q600" s="11">
        <f>_xlfn.XLOOKUP(order[[#This Row],[order_id]],shipment[order_id],shipment[delivery_date])</f>
        <v>45565</v>
      </c>
      <c r="R600" s="3" t="str">
        <f>_xlfn.XLOOKUP(order[[#This Row],[order_id]],shipment[shipment_id],shipment[courier])</f>
        <v>Ekart</v>
      </c>
      <c r="S600" s="3">
        <f>order[[#This Row],[selling_price]]-order[[#This Row],[cost_price]]*order[[#This Row],[quantity]]-order[[#This Row],[discount]]</f>
        <v>-115986</v>
      </c>
      <c r="T600" s="3">
        <f>order[[#This Row],[quantity]]*order[[#This Row],[selling_price]]</f>
        <v>31640</v>
      </c>
    </row>
    <row r="601" spans="1:20" x14ac:dyDescent="0.3">
      <c r="A601">
        <v>600</v>
      </c>
      <c r="B601" s="11">
        <v>45612</v>
      </c>
      <c r="C601">
        <v>255</v>
      </c>
      <c r="D601" t="str">
        <f>_xlfn.XLOOKUP(order[[#This Row],[customer_id]],customer[customer_id],customer[customer_name])</f>
        <v>Meera Joshi</v>
      </c>
      <c r="E601">
        <v>205</v>
      </c>
      <c r="F601">
        <v>1</v>
      </c>
      <c r="G601">
        <v>48155</v>
      </c>
      <c r="H601">
        <v>1958</v>
      </c>
      <c r="I601" t="s">
        <v>13</v>
      </c>
      <c r="J601" t="s">
        <v>10</v>
      </c>
      <c r="K601" t="str">
        <f>_xlfn.XLOOKUP(order[[#This Row],[customer_id]],customer[customer_id],customer[city])</f>
        <v>Ahmedabad</v>
      </c>
      <c r="L601" t="str">
        <f>_xlfn.XLOOKUP(order[[#This Row],[customer_id]],customer[customer_id],customer[state])</f>
        <v>Gujarat</v>
      </c>
      <c r="M601" t="str">
        <f>_xlfn.XLOOKUP(order[[#This Row],[product_id]],products!$A$2:$A$11,products!$B$2:$B$11)</f>
        <v>Prestige Pressure Cooker 5L</v>
      </c>
      <c r="N601" s="3" t="str">
        <f>_xlfn.XLOOKUP(order[[#This Row],[product_id]],products!$A$2:$A$11,products!$C$2:$C$11)</f>
        <v>Home &amp; Kitchen</v>
      </c>
      <c r="O601" s="3">
        <f>_xlfn.XLOOKUP(order[[#This Row],[product_id]],Table4[product_id],Table4[cost_price])</f>
        <v>1200</v>
      </c>
      <c r="P601" s="11">
        <f>_xlfn.XLOOKUP(order[[#This Row],[order_id]],shipment[order_id],shipment[ship_date])</f>
        <v>45601</v>
      </c>
      <c r="Q601" s="11">
        <f>_xlfn.XLOOKUP(order[[#This Row],[order_id]],shipment[order_id],shipment[delivery_date])</f>
        <v>45603</v>
      </c>
      <c r="R601" s="3" t="str">
        <f>_xlfn.XLOOKUP(order[[#This Row],[order_id]],shipment[shipment_id],shipment[courier])</f>
        <v>Delhivery</v>
      </c>
      <c r="S601" s="3">
        <f>order[[#This Row],[selling_price]]-order[[#This Row],[cost_price]]*order[[#This Row],[quantity]]-order[[#This Row],[discount]]</f>
        <v>44997</v>
      </c>
      <c r="T601" s="3">
        <f>order[[#This Row],[quantity]]*order[[#This Row],[selling_price]]</f>
        <v>48155</v>
      </c>
    </row>
    <row r="602" spans="1:20" x14ac:dyDescent="0.3">
      <c r="A602">
        <v>334</v>
      </c>
      <c r="B602" s="11">
        <v>45637</v>
      </c>
      <c r="C602">
        <v>214</v>
      </c>
      <c r="D602" t="str">
        <f>_xlfn.XLOOKUP(order[[#This Row],[customer_id]],customer[customer_id],customer[customer_name])</f>
        <v>Ishita Bose</v>
      </c>
      <c r="E602">
        <v>210</v>
      </c>
      <c r="F602">
        <v>1</v>
      </c>
      <c r="G602">
        <v>33433</v>
      </c>
      <c r="H602">
        <v>3854</v>
      </c>
      <c r="I602" t="s">
        <v>9</v>
      </c>
      <c r="J602" t="s">
        <v>14</v>
      </c>
      <c r="K602" t="str">
        <f>_xlfn.XLOOKUP(order[[#This Row],[customer_id]],customer[customer_id],customer[city])</f>
        <v>Mumbai</v>
      </c>
      <c r="L602" t="str">
        <f>_xlfn.XLOOKUP(order[[#This Row],[customer_id]],customer[customer_id],customer[state])</f>
        <v>Maharashtra</v>
      </c>
      <c r="M602" t="str">
        <f>_xlfn.XLOOKUP(order[[#This Row],[product_id]],products!$A$2:$A$11,products!$B$2:$B$11)</f>
        <v>LG 43 Inch Smart TV</v>
      </c>
      <c r="N602" s="3" t="str">
        <f>_xlfn.XLOOKUP(order[[#This Row],[product_id]],products!$A$2:$A$11,products!$C$2:$C$11)</f>
        <v>Electronics</v>
      </c>
      <c r="O602" s="3">
        <f>_xlfn.XLOOKUP(order[[#This Row],[product_id]],Table4[product_id],Table4[cost_price])</f>
        <v>30000</v>
      </c>
      <c r="P602" s="11">
        <f>_xlfn.XLOOKUP(order[[#This Row],[order_id]],shipment[order_id],shipment[ship_date])</f>
        <v>45622</v>
      </c>
      <c r="Q602" s="11">
        <f>_xlfn.XLOOKUP(order[[#This Row],[order_id]],shipment[order_id],shipment[delivery_date])</f>
        <v>45626</v>
      </c>
      <c r="R602" s="3" t="str">
        <f>_xlfn.XLOOKUP(order[[#This Row],[order_id]],shipment[shipment_id],shipment[courier])</f>
        <v>Ekart</v>
      </c>
      <c r="S602" s="3">
        <f>order[[#This Row],[selling_price]]-order[[#This Row],[cost_price]]*order[[#This Row],[quantity]]-order[[#This Row],[discount]]</f>
        <v>-421</v>
      </c>
      <c r="T602" s="3">
        <f>order[[#This Row],[quantity]]*order[[#This Row],[selling_price]]</f>
        <v>33433</v>
      </c>
    </row>
    <row r="603" spans="1:20" x14ac:dyDescent="0.3">
      <c r="A603">
        <v>602</v>
      </c>
      <c r="B603" s="11">
        <v>45631</v>
      </c>
      <c r="C603">
        <v>219</v>
      </c>
      <c r="D603" t="str">
        <f>_xlfn.XLOOKUP(order[[#This Row],[customer_id]],customer[customer_id],customer[customer_name])</f>
        <v>Meera Joshi</v>
      </c>
      <c r="E603">
        <v>203</v>
      </c>
      <c r="F603">
        <v>2</v>
      </c>
      <c r="G603">
        <v>13760</v>
      </c>
      <c r="H603">
        <v>4052</v>
      </c>
      <c r="I603" t="s">
        <v>15</v>
      </c>
      <c r="J603" t="s">
        <v>10</v>
      </c>
      <c r="K603" t="str">
        <f>_xlfn.XLOOKUP(order[[#This Row],[customer_id]],customer[customer_id],customer[city])</f>
        <v>Bangalore</v>
      </c>
      <c r="L603" t="str">
        <f>_xlfn.XLOOKUP(order[[#This Row],[customer_id]],customer[customer_id],customer[state])</f>
        <v>Karnataka</v>
      </c>
      <c r="M603" t="str">
        <f>_xlfn.XLOOKUP(order[[#This Row],[product_id]],products!$A$2:$A$11,products!$B$2:$B$11)</f>
        <v>Nike Air Max Shoes</v>
      </c>
      <c r="N603" s="3" t="str">
        <f>_xlfn.XLOOKUP(order[[#This Row],[product_id]],products!$A$2:$A$11,products!$C$2:$C$11)</f>
        <v>Fashion</v>
      </c>
      <c r="O603" s="3">
        <f>_xlfn.XLOOKUP(order[[#This Row],[product_id]],Table4[product_id],Table4[cost_price])</f>
        <v>4000</v>
      </c>
      <c r="P603" s="11">
        <f>_xlfn.XLOOKUP(order[[#This Row],[order_id]],shipment[order_id],shipment[ship_date])</f>
        <v>45649</v>
      </c>
      <c r="Q603" s="11">
        <f>_xlfn.XLOOKUP(order[[#This Row],[order_id]],shipment[order_id],shipment[delivery_date])</f>
        <v>45650</v>
      </c>
      <c r="R603" s="3" t="str">
        <f>_xlfn.XLOOKUP(order[[#This Row],[order_id]],shipment[shipment_id],shipment[courier])</f>
        <v>Delhivery</v>
      </c>
      <c r="S603" s="3">
        <f>order[[#This Row],[selling_price]]-order[[#This Row],[cost_price]]*order[[#This Row],[quantity]]-order[[#This Row],[discount]]</f>
        <v>1708</v>
      </c>
      <c r="T603" s="3">
        <f>order[[#This Row],[quantity]]*order[[#This Row],[selling_price]]</f>
        <v>27520</v>
      </c>
    </row>
    <row r="604" spans="1:20" x14ac:dyDescent="0.3">
      <c r="A604">
        <v>603</v>
      </c>
      <c r="B604" s="11">
        <v>45638</v>
      </c>
      <c r="C604">
        <v>210</v>
      </c>
      <c r="D604" t="str">
        <f>_xlfn.XLOOKUP(order[[#This Row],[customer_id]],customer[customer_id],customer[customer_name])</f>
        <v>Neha Kapoor</v>
      </c>
      <c r="E604">
        <v>204</v>
      </c>
      <c r="F604">
        <v>3</v>
      </c>
      <c r="G604">
        <v>36666</v>
      </c>
      <c r="H604">
        <v>3111</v>
      </c>
      <c r="I604" t="s">
        <v>15</v>
      </c>
      <c r="J604" t="s">
        <v>12</v>
      </c>
      <c r="K604" t="str">
        <f>_xlfn.XLOOKUP(order[[#This Row],[customer_id]],customer[customer_id],customer[city])</f>
        <v>Bangalore</v>
      </c>
      <c r="L604" t="str">
        <f>_xlfn.XLOOKUP(order[[#This Row],[customer_id]],customer[customer_id],customer[state])</f>
        <v>Karnataka</v>
      </c>
      <c r="M604" t="str">
        <f>_xlfn.XLOOKUP(order[[#This Row],[product_id]],products!$A$2:$A$11,products!$B$2:$B$11)</f>
        <v>Levi's Slim Fit Jeans</v>
      </c>
      <c r="N604" s="3" t="str">
        <f>_xlfn.XLOOKUP(order[[#This Row],[product_id]],products!$A$2:$A$11,products!$C$2:$C$11)</f>
        <v>Fashion</v>
      </c>
      <c r="O604" s="3">
        <f>_xlfn.XLOOKUP(order[[#This Row],[product_id]],Table4[product_id],Table4[cost_price])</f>
        <v>1800</v>
      </c>
      <c r="P604" s="11">
        <f>_xlfn.XLOOKUP(order[[#This Row],[order_id]],shipment[order_id],shipment[ship_date])</f>
        <v>45298</v>
      </c>
      <c r="Q604" s="11">
        <f>_xlfn.XLOOKUP(order[[#This Row],[order_id]],shipment[order_id],shipment[delivery_date])</f>
        <v>45305</v>
      </c>
      <c r="R604" s="3" t="str">
        <f>_xlfn.XLOOKUP(order[[#This Row],[order_id]],shipment[shipment_id],shipment[courier])</f>
        <v>Delhivery</v>
      </c>
      <c r="S604" s="3">
        <f>order[[#This Row],[selling_price]]-order[[#This Row],[cost_price]]*order[[#This Row],[quantity]]-order[[#This Row],[discount]]</f>
        <v>28155</v>
      </c>
      <c r="T604" s="3">
        <f>order[[#This Row],[quantity]]*order[[#This Row],[selling_price]]</f>
        <v>109998</v>
      </c>
    </row>
    <row r="605" spans="1:20" x14ac:dyDescent="0.3">
      <c r="A605">
        <v>690</v>
      </c>
      <c r="B605" s="11">
        <v>45533</v>
      </c>
      <c r="C605">
        <v>166</v>
      </c>
      <c r="D605" t="str">
        <f>_xlfn.XLOOKUP(order[[#This Row],[customer_id]],customer[customer_id],customer[customer_name])</f>
        <v>Meera Joshi</v>
      </c>
      <c r="E605">
        <v>210</v>
      </c>
      <c r="F605">
        <v>4</v>
      </c>
      <c r="G605">
        <v>53253</v>
      </c>
      <c r="H605">
        <v>3792</v>
      </c>
      <c r="I605" t="s">
        <v>9</v>
      </c>
      <c r="J605" t="s">
        <v>12</v>
      </c>
      <c r="K605" t="str">
        <f>_xlfn.XLOOKUP(order[[#This Row],[customer_id]],customer[customer_id],customer[city])</f>
        <v>Pune</v>
      </c>
      <c r="L605" t="str">
        <f>_xlfn.XLOOKUP(order[[#This Row],[customer_id]],customer[customer_id],customer[state])</f>
        <v>Maharashtra</v>
      </c>
      <c r="M605" t="str">
        <f>_xlfn.XLOOKUP(order[[#This Row],[product_id]],products!$A$2:$A$11,products!$B$2:$B$11)</f>
        <v>LG 43 Inch Smart TV</v>
      </c>
      <c r="N605" s="3" t="str">
        <f>_xlfn.XLOOKUP(order[[#This Row],[product_id]],products!$A$2:$A$11,products!$C$2:$C$11)</f>
        <v>Electronics</v>
      </c>
      <c r="O605" s="3">
        <f>_xlfn.XLOOKUP(order[[#This Row],[product_id]],Table4[product_id],Table4[cost_price])</f>
        <v>30000</v>
      </c>
      <c r="P605" s="11">
        <f>_xlfn.XLOOKUP(order[[#This Row],[order_id]],shipment[order_id],shipment[ship_date])</f>
        <v>45464</v>
      </c>
      <c r="Q605" s="11">
        <f>_xlfn.XLOOKUP(order[[#This Row],[order_id]],shipment[order_id],shipment[delivery_date])</f>
        <v>45465</v>
      </c>
      <c r="R605" s="3" t="str">
        <f>_xlfn.XLOOKUP(order[[#This Row],[order_id]],shipment[shipment_id],shipment[courier])</f>
        <v>Delhivery</v>
      </c>
      <c r="S605" s="3">
        <f>order[[#This Row],[selling_price]]-order[[#This Row],[cost_price]]*order[[#This Row],[quantity]]-order[[#This Row],[discount]]</f>
        <v>-70539</v>
      </c>
      <c r="T605" s="3">
        <f>order[[#This Row],[quantity]]*order[[#This Row],[selling_price]]</f>
        <v>213012</v>
      </c>
    </row>
    <row r="606" spans="1:20" x14ac:dyDescent="0.3">
      <c r="A606">
        <v>416</v>
      </c>
      <c r="B606" s="11">
        <v>45449</v>
      </c>
      <c r="C606">
        <v>271</v>
      </c>
      <c r="D606" t="str">
        <f>_xlfn.XLOOKUP(order[[#This Row],[customer_id]],customer[customer_id],customer[customer_name])</f>
        <v>Neha Kapoor</v>
      </c>
      <c r="E606">
        <v>210</v>
      </c>
      <c r="F606">
        <v>1</v>
      </c>
      <c r="G606">
        <v>17671</v>
      </c>
      <c r="H606">
        <v>3780</v>
      </c>
      <c r="I606" t="s">
        <v>15</v>
      </c>
      <c r="J606" t="s">
        <v>10</v>
      </c>
      <c r="K606" t="str">
        <f>_xlfn.XLOOKUP(order[[#This Row],[customer_id]],customer[customer_id],customer[city])</f>
        <v>Ahmedabad</v>
      </c>
      <c r="L606" t="str">
        <f>_xlfn.XLOOKUP(order[[#This Row],[customer_id]],customer[customer_id],customer[state])</f>
        <v>Gujarat</v>
      </c>
      <c r="M606" t="str">
        <f>_xlfn.XLOOKUP(order[[#This Row],[product_id]],products!$A$2:$A$11,products!$B$2:$B$11)</f>
        <v>LG 43 Inch Smart TV</v>
      </c>
      <c r="N606" s="3" t="str">
        <f>_xlfn.XLOOKUP(order[[#This Row],[product_id]],products!$A$2:$A$11,products!$C$2:$C$11)</f>
        <v>Electronics</v>
      </c>
      <c r="O606" s="3">
        <f>_xlfn.XLOOKUP(order[[#This Row],[product_id]],Table4[product_id],Table4[cost_price])</f>
        <v>30000</v>
      </c>
      <c r="P606" s="11">
        <f>_xlfn.XLOOKUP(order[[#This Row],[order_id]],shipment[order_id],shipment[ship_date])</f>
        <v>45304</v>
      </c>
      <c r="Q606" s="11">
        <f>_xlfn.XLOOKUP(order[[#This Row],[order_id]],shipment[order_id],shipment[delivery_date])</f>
        <v>45309</v>
      </c>
      <c r="R606" s="3" t="str">
        <f>_xlfn.XLOOKUP(order[[#This Row],[order_id]],shipment[shipment_id],shipment[courier])</f>
        <v>DTDC</v>
      </c>
      <c r="S606" s="3">
        <f>order[[#This Row],[selling_price]]-order[[#This Row],[cost_price]]*order[[#This Row],[quantity]]-order[[#This Row],[discount]]</f>
        <v>-16109</v>
      </c>
      <c r="T606" s="3">
        <f>order[[#This Row],[quantity]]*order[[#This Row],[selling_price]]</f>
        <v>17671</v>
      </c>
    </row>
    <row r="607" spans="1:20" x14ac:dyDescent="0.3">
      <c r="A607">
        <v>1157</v>
      </c>
      <c r="B607" s="11">
        <v>45394</v>
      </c>
      <c r="C607">
        <v>206</v>
      </c>
      <c r="D607" t="str">
        <f>_xlfn.XLOOKUP(order[[#This Row],[customer_id]],customer[customer_id],customer[customer_name])</f>
        <v>Ananya Gupta</v>
      </c>
      <c r="E607">
        <v>210</v>
      </c>
      <c r="F607">
        <v>3</v>
      </c>
      <c r="G607">
        <v>44467</v>
      </c>
      <c r="H607">
        <v>3704</v>
      </c>
      <c r="I607" t="s">
        <v>9</v>
      </c>
      <c r="J607" t="s">
        <v>10</v>
      </c>
      <c r="K607" t="str">
        <f>_xlfn.XLOOKUP(order[[#This Row],[customer_id]],customer[customer_id],customer[city])</f>
        <v>Chennai</v>
      </c>
      <c r="L607" t="str">
        <f>_xlfn.XLOOKUP(order[[#This Row],[customer_id]],customer[customer_id],customer[state])</f>
        <v>Tamil Nadu</v>
      </c>
      <c r="M607" t="str">
        <f>_xlfn.XLOOKUP(order[[#This Row],[product_id]],products!$A$2:$A$11,products!$B$2:$B$11)</f>
        <v>LG 43 Inch Smart TV</v>
      </c>
      <c r="N607" s="3" t="str">
        <f>_xlfn.XLOOKUP(order[[#This Row],[product_id]],products!$A$2:$A$11,products!$C$2:$C$11)</f>
        <v>Electronics</v>
      </c>
      <c r="O607" s="3">
        <f>_xlfn.XLOOKUP(order[[#This Row],[product_id]],Table4[product_id],Table4[cost_price])</f>
        <v>30000</v>
      </c>
      <c r="P607" s="11">
        <f>_xlfn.XLOOKUP(order[[#This Row],[order_id]],shipment[order_id],shipment[ship_date])</f>
        <v>45509</v>
      </c>
      <c r="Q607" s="11">
        <f>_xlfn.XLOOKUP(order[[#This Row],[order_id]],shipment[order_id],shipment[delivery_date])</f>
        <v>45515</v>
      </c>
      <c r="R607" s="3" t="str">
        <f>_xlfn.XLOOKUP(order[[#This Row],[order_id]],shipment[shipment_id],shipment[courier])</f>
        <v>BlueDart</v>
      </c>
      <c r="S607" s="3">
        <f>order[[#This Row],[selling_price]]-order[[#This Row],[cost_price]]*order[[#This Row],[quantity]]-order[[#This Row],[discount]]</f>
        <v>-49237</v>
      </c>
      <c r="T607" s="3">
        <f>order[[#This Row],[quantity]]*order[[#This Row],[selling_price]]</f>
        <v>133401</v>
      </c>
    </row>
    <row r="608" spans="1:20" x14ac:dyDescent="0.3">
      <c r="A608">
        <v>607</v>
      </c>
      <c r="B608" s="11">
        <v>45465</v>
      </c>
      <c r="C608">
        <v>155</v>
      </c>
      <c r="D608" t="str">
        <f>_xlfn.XLOOKUP(order[[#This Row],[customer_id]],customer[customer_id],customer[customer_name])</f>
        <v>Siddharth Jain</v>
      </c>
      <c r="E608">
        <v>208</v>
      </c>
      <c r="F608">
        <v>3</v>
      </c>
      <c r="G608">
        <v>63184</v>
      </c>
      <c r="H608">
        <v>1016</v>
      </c>
      <c r="I608" t="s">
        <v>11</v>
      </c>
      <c r="J608" t="s">
        <v>10</v>
      </c>
      <c r="K608" t="str">
        <f>_xlfn.XLOOKUP(order[[#This Row],[customer_id]],customer[customer_id],customer[city])</f>
        <v>Pune</v>
      </c>
      <c r="L608" t="str">
        <f>_xlfn.XLOOKUP(order[[#This Row],[customer_id]],customer[customer_id],customer[state])</f>
        <v>Maharashtra</v>
      </c>
      <c r="M608" t="str">
        <f>_xlfn.XLOOKUP(order[[#This Row],[product_id]],products!$A$2:$A$11,products!$B$2:$B$11)</f>
        <v>Adidas Ultraboost Shoes</v>
      </c>
      <c r="N608" s="3" t="str">
        <f>_xlfn.XLOOKUP(order[[#This Row],[product_id]],products!$A$2:$A$11,products!$C$2:$C$11)</f>
        <v>Fashion</v>
      </c>
      <c r="O608" s="3">
        <f>_xlfn.XLOOKUP(order[[#This Row],[product_id]],Table4[product_id],Table4[cost_price])</f>
        <v>9000</v>
      </c>
      <c r="P608" s="11">
        <f>_xlfn.XLOOKUP(order[[#This Row],[order_id]],shipment[order_id],shipment[ship_date])</f>
        <v>45446</v>
      </c>
      <c r="Q608" s="11">
        <f>_xlfn.XLOOKUP(order[[#This Row],[order_id]],shipment[order_id],shipment[delivery_date])</f>
        <v>45456</v>
      </c>
      <c r="R608" s="3" t="str">
        <f>_xlfn.XLOOKUP(order[[#This Row],[order_id]],shipment[shipment_id],shipment[courier])</f>
        <v>Delhivery</v>
      </c>
      <c r="S608" s="3">
        <f>order[[#This Row],[selling_price]]-order[[#This Row],[cost_price]]*order[[#This Row],[quantity]]-order[[#This Row],[discount]]</f>
        <v>35168</v>
      </c>
      <c r="T608" s="3">
        <f>order[[#This Row],[quantity]]*order[[#This Row],[selling_price]]</f>
        <v>189552</v>
      </c>
    </row>
    <row r="609" spans="1:20" x14ac:dyDescent="0.3">
      <c r="A609">
        <v>608</v>
      </c>
      <c r="B609" s="11">
        <v>45643</v>
      </c>
      <c r="C609">
        <v>252</v>
      </c>
      <c r="D609" t="str">
        <f>_xlfn.XLOOKUP(order[[#This Row],[customer_id]],customer[customer_id],customer[customer_name])</f>
        <v>Ananya Gupta</v>
      </c>
      <c r="E609">
        <v>205</v>
      </c>
      <c r="F609">
        <v>4</v>
      </c>
      <c r="G609">
        <v>52128</v>
      </c>
      <c r="H609">
        <v>1989</v>
      </c>
      <c r="I609" t="s">
        <v>11</v>
      </c>
      <c r="J609" t="s">
        <v>10</v>
      </c>
      <c r="K609" t="str">
        <f>_xlfn.XLOOKUP(order[[#This Row],[customer_id]],customer[customer_id],customer[city])</f>
        <v>Pune</v>
      </c>
      <c r="L609" t="str">
        <f>_xlfn.XLOOKUP(order[[#This Row],[customer_id]],customer[customer_id],customer[state])</f>
        <v>Maharashtra</v>
      </c>
      <c r="M609" t="str">
        <f>_xlfn.XLOOKUP(order[[#This Row],[product_id]],products!$A$2:$A$11,products!$B$2:$B$11)</f>
        <v>Prestige Pressure Cooker 5L</v>
      </c>
      <c r="N609" s="3" t="str">
        <f>_xlfn.XLOOKUP(order[[#This Row],[product_id]],products!$A$2:$A$11,products!$C$2:$C$11)</f>
        <v>Home &amp; Kitchen</v>
      </c>
      <c r="O609" s="3">
        <f>_xlfn.XLOOKUP(order[[#This Row],[product_id]],Table4[product_id],Table4[cost_price])</f>
        <v>1200</v>
      </c>
      <c r="P609" s="11">
        <f>_xlfn.XLOOKUP(order[[#This Row],[order_id]],shipment[order_id],shipment[ship_date])</f>
        <v>45358</v>
      </c>
      <c r="Q609" s="11">
        <f>_xlfn.XLOOKUP(order[[#This Row],[order_id]],shipment[order_id],shipment[delivery_date])</f>
        <v>45368</v>
      </c>
      <c r="R609" s="3" t="str">
        <f>_xlfn.XLOOKUP(order[[#This Row],[order_id]],shipment[shipment_id],shipment[courier])</f>
        <v>Delhivery</v>
      </c>
      <c r="S609" s="3">
        <f>order[[#This Row],[selling_price]]-order[[#This Row],[cost_price]]*order[[#This Row],[quantity]]-order[[#This Row],[discount]]</f>
        <v>45339</v>
      </c>
      <c r="T609" s="3">
        <f>order[[#This Row],[quantity]]*order[[#This Row],[selling_price]]</f>
        <v>208512</v>
      </c>
    </row>
    <row r="610" spans="1:20" x14ac:dyDescent="0.3">
      <c r="A610">
        <v>609</v>
      </c>
      <c r="B610" s="11">
        <v>45341</v>
      </c>
      <c r="C610">
        <v>208</v>
      </c>
      <c r="D610" t="str">
        <f>_xlfn.XLOOKUP(order[[#This Row],[customer_id]],customer[customer_id],customer[customer_name])</f>
        <v>Arjun Nair</v>
      </c>
      <c r="E610">
        <v>205</v>
      </c>
      <c r="F610">
        <v>2</v>
      </c>
      <c r="G610">
        <v>50940</v>
      </c>
      <c r="H610">
        <v>4096</v>
      </c>
      <c r="I610" t="s">
        <v>13</v>
      </c>
      <c r="J610" t="s">
        <v>10</v>
      </c>
      <c r="K610" t="str">
        <f>_xlfn.XLOOKUP(order[[#This Row],[customer_id]],customer[customer_id],customer[city])</f>
        <v>Mumbai</v>
      </c>
      <c r="L610" t="str">
        <f>_xlfn.XLOOKUP(order[[#This Row],[customer_id]],customer[customer_id],customer[state])</f>
        <v>Maharashtra</v>
      </c>
      <c r="M610" t="str">
        <f>_xlfn.XLOOKUP(order[[#This Row],[product_id]],products!$A$2:$A$11,products!$B$2:$B$11)</f>
        <v>Prestige Pressure Cooker 5L</v>
      </c>
      <c r="N610" s="3" t="str">
        <f>_xlfn.XLOOKUP(order[[#This Row],[product_id]],products!$A$2:$A$11,products!$C$2:$C$11)</f>
        <v>Home &amp; Kitchen</v>
      </c>
      <c r="O610" s="3">
        <f>_xlfn.XLOOKUP(order[[#This Row],[product_id]],Table4[product_id],Table4[cost_price])</f>
        <v>1200</v>
      </c>
      <c r="P610" s="11">
        <f>_xlfn.XLOOKUP(order[[#This Row],[order_id]],shipment[order_id],shipment[ship_date])</f>
        <v>45597</v>
      </c>
      <c r="Q610" s="11">
        <f>_xlfn.XLOOKUP(order[[#This Row],[order_id]],shipment[order_id],shipment[delivery_date])</f>
        <v>45603</v>
      </c>
      <c r="R610" s="3" t="str">
        <f>_xlfn.XLOOKUP(order[[#This Row],[order_id]],shipment[shipment_id],shipment[courier])</f>
        <v>DTDC</v>
      </c>
      <c r="S610" s="3">
        <f>order[[#This Row],[selling_price]]-order[[#This Row],[cost_price]]*order[[#This Row],[quantity]]-order[[#This Row],[discount]]</f>
        <v>44444</v>
      </c>
      <c r="T610" s="3">
        <f>order[[#This Row],[quantity]]*order[[#This Row],[selling_price]]</f>
        <v>101880</v>
      </c>
    </row>
    <row r="611" spans="1:20" x14ac:dyDescent="0.3">
      <c r="A611">
        <v>610</v>
      </c>
      <c r="B611" s="11">
        <v>45476</v>
      </c>
      <c r="C611">
        <v>200</v>
      </c>
      <c r="D611" t="str">
        <f>_xlfn.XLOOKUP(order[[#This Row],[customer_id]],customer[customer_id],customer[customer_name])</f>
        <v>Sneha Iyer</v>
      </c>
      <c r="E611">
        <v>207</v>
      </c>
      <c r="F611">
        <v>1</v>
      </c>
      <c r="G611">
        <v>58981</v>
      </c>
      <c r="H611">
        <v>1426</v>
      </c>
      <c r="I611" t="s">
        <v>9</v>
      </c>
      <c r="J611" t="s">
        <v>12</v>
      </c>
      <c r="K611" t="str">
        <f>_xlfn.XLOOKUP(order[[#This Row],[customer_id]],customer[customer_id],customer[city])</f>
        <v>Hyderabad</v>
      </c>
      <c r="L611" t="str">
        <f>_xlfn.XLOOKUP(order[[#This Row],[customer_id]],customer[customer_id],customer[state])</f>
        <v>Telangana</v>
      </c>
      <c r="M611" t="str">
        <f>_xlfn.XLOOKUP(order[[#This Row],[product_id]],products!$A$2:$A$11,products!$B$2:$B$11)</f>
        <v>Sony WH-1000XM4 Headphones</v>
      </c>
      <c r="N611" s="3" t="str">
        <f>_xlfn.XLOOKUP(order[[#This Row],[product_id]],products!$A$2:$A$11,products!$C$2:$C$11)</f>
        <v>Electronics</v>
      </c>
      <c r="O611" s="3">
        <f>_xlfn.XLOOKUP(order[[#This Row],[product_id]],Table4[product_id],Table4[cost_price])</f>
        <v>20000</v>
      </c>
      <c r="P611" s="11">
        <f>_xlfn.XLOOKUP(order[[#This Row],[order_id]],shipment[order_id],shipment[ship_date])</f>
        <v>45533</v>
      </c>
      <c r="Q611" s="11">
        <f>_xlfn.XLOOKUP(order[[#This Row],[order_id]],shipment[order_id],shipment[delivery_date])</f>
        <v>45534</v>
      </c>
      <c r="R611" s="3" t="str">
        <f>_xlfn.XLOOKUP(order[[#This Row],[order_id]],shipment[shipment_id],shipment[courier])</f>
        <v>BlueDart</v>
      </c>
      <c r="S611" s="3">
        <f>order[[#This Row],[selling_price]]-order[[#This Row],[cost_price]]*order[[#This Row],[quantity]]-order[[#This Row],[discount]]</f>
        <v>37555</v>
      </c>
      <c r="T611" s="3">
        <f>order[[#This Row],[quantity]]*order[[#This Row],[selling_price]]</f>
        <v>58981</v>
      </c>
    </row>
    <row r="612" spans="1:20" x14ac:dyDescent="0.3">
      <c r="A612">
        <v>995</v>
      </c>
      <c r="B612" s="11">
        <v>45573</v>
      </c>
      <c r="C612">
        <v>148</v>
      </c>
      <c r="D612" t="str">
        <f>_xlfn.XLOOKUP(order[[#This Row],[customer_id]],customer[customer_id],customer[customer_name])</f>
        <v>Karan Patel</v>
      </c>
      <c r="E612">
        <v>210</v>
      </c>
      <c r="F612">
        <v>3</v>
      </c>
      <c r="G612">
        <v>42015</v>
      </c>
      <c r="H612">
        <v>3641</v>
      </c>
      <c r="I612" t="s">
        <v>15</v>
      </c>
      <c r="J612" t="s">
        <v>10</v>
      </c>
      <c r="K612" t="str">
        <f>_xlfn.XLOOKUP(order[[#This Row],[customer_id]],customer[customer_id],customer[city])</f>
        <v>Chennai</v>
      </c>
      <c r="L612" t="str">
        <f>_xlfn.XLOOKUP(order[[#This Row],[customer_id]],customer[customer_id],customer[state])</f>
        <v>Tamil Nadu</v>
      </c>
      <c r="M612" t="str">
        <f>_xlfn.XLOOKUP(order[[#This Row],[product_id]],products!$A$2:$A$11,products!$B$2:$B$11)</f>
        <v>LG 43 Inch Smart TV</v>
      </c>
      <c r="N612" s="3" t="str">
        <f>_xlfn.XLOOKUP(order[[#This Row],[product_id]],products!$A$2:$A$11,products!$C$2:$C$11)</f>
        <v>Electronics</v>
      </c>
      <c r="O612" s="3">
        <f>_xlfn.XLOOKUP(order[[#This Row],[product_id]],Table4[product_id],Table4[cost_price])</f>
        <v>30000</v>
      </c>
      <c r="P612" s="11">
        <f>_xlfn.XLOOKUP(order[[#This Row],[order_id]],shipment[order_id],shipment[ship_date])</f>
        <v>45632</v>
      </c>
      <c r="Q612" s="11">
        <f>_xlfn.XLOOKUP(order[[#This Row],[order_id]],shipment[order_id],shipment[delivery_date])</f>
        <v>45634</v>
      </c>
      <c r="R612" s="3" t="str">
        <f>_xlfn.XLOOKUP(order[[#This Row],[order_id]],shipment[shipment_id],shipment[courier])</f>
        <v>Delhivery</v>
      </c>
      <c r="S612" s="3">
        <f>order[[#This Row],[selling_price]]-order[[#This Row],[cost_price]]*order[[#This Row],[quantity]]-order[[#This Row],[discount]]</f>
        <v>-51626</v>
      </c>
      <c r="T612" s="3">
        <f>order[[#This Row],[quantity]]*order[[#This Row],[selling_price]]</f>
        <v>126045</v>
      </c>
    </row>
    <row r="613" spans="1:20" x14ac:dyDescent="0.3">
      <c r="A613">
        <v>64</v>
      </c>
      <c r="B613" s="11">
        <v>45299</v>
      </c>
      <c r="C613">
        <v>107</v>
      </c>
      <c r="D613" t="str">
        <f>_xlfn.XLOOKUP(order[[#This Row],[customer_id]],customer[customer_id],customer[customer_name])</f>
        <v>Pooja Nair</v>
      </c>
      <c r="E613">
        <v>210</v>
      </c>
      <c r="F613">
        <v>3</v>
      </c>
      <c r="G613">
        <v>59456</v>
      </c>
      <c r="H613">
        <v>3588</v>
      </c>
      <c r="I613" t="s">
        <v>13</v>
      </c>
      <c r="J613" t="s">
        <v>10</v>
      </c>
      <c r="K613" t="str">
        <f>_xlfn.XLOOKUP(order[[#This Row],[customer_id]],customer[customer_id],customer[city])</f>
        <v>Pune</v>
      </c>
      <c r="L613" t="str">
        <f>_xlfn.XLOOKUP(order[[#This Row],[customer_id]],customer[customer_id],customer[state])</f>
        <v>Maharashtra</v>
      </c>
      <c r="M613" t="str">
        <f>_xlfn.XLOOKUP(order[[#This Row],[product_id]],products!$A$2:$A$11,products!$B$2:$B$11)</f>
        <v>LG 43 Inch Smart TV</v>
      </c>
      <c r="N613" s="3" t="str">
        <f>_xlfn.XLOOKUP(order[[#This Row],[product_id]],products!$A$2:$A$11,products!$C$2:$C$11)</f>
        <v>Electronics</v>
      </c>
      <c r="O613" s="3">
        <f>_xlfn.XLOOKUP(order[[#This Row],[product_id]],Table4[product_id],Table4[cost_price])</f>
        <v>30000</v>
      </c>
      <c r="P613" s="11">
        <f>_xlfn.XLOOKUP(order[[#This Row],[order_id]],shipment[order_id],shipment[ship_date])</f>
        <v>45652</v>
      </c>
      <c r="Q613" s="11">
        <f>_xlfn.XLOOKUP(order[[#This Row],[order_id]],shipment[order_id],shipment[delivery_date])</f>
        <v>45662</v>
      </c>
      <c r="R613" s="3" t="str">
        <f>_xlfn.XLOOKUP(order[[#This Row],[order_id]],shipment[shipment_id],shipment[courier])</f>
        <v>BlueDart</v>
      </c>
      <c r="S613" s="3">
        <f>order[[#This Row],[selling_price]]-order[[#This Row],[cost_price]]*order[[#This Row],[quantity]]-order[[#This Row],[discount]]</f>
        <v>-34132</v>
      </c>
      <c r="T613" s="3">
        <f>order[[#This Row],[quantity]]*order[[#This Row],[selling_price]]</f>
        <v>178368</v>
      </c>
    </row>
    <row r="614" spans="1:20" x14ac:dyDescent="0.3">
      <c r="A614">
        <v>347</v>
      </c>
      <c r="B614" s="11">
        <v>45605</v>
      </c>
      <c r="C614">
        <v>207</v>
      </c>
      <c r="D614" t="str">
        <f>_xlfn.XLOOKUP(order[[#This Row],[customer_id]],customer[customer_id],customer[customer_name])</f>
        <v>Neha Kapoor</v>
      </c>
      <c r="E614">
        <v>210</v>
      </c>
      <c r="F614">
        <v>2</v>
      </c>
      <c r="G614">
        <v>58072</v>
      </c>
      <c r="H614">
        <v>3569</v>
      </c>
      <c r="I614" t="s">
        <v>15</v>
      </c>
      <c r="J614" t="s">
        <v>10</v>
      </c>
      <c r="K614" t="str">
        <f>_xlfn.XLOOKUP(order[[#This Row],[customer_id]],customer[customer_id],customer[city])</f>
        <v>Mumbai</v>
      </c>
      <c r="L614" t="str">
        <f>_xlfn.XLOOKUP(order[[#This Row],[customer_id]],customer[customer_id],customer[state])</f>
        <v>Maharashtra</v>
      </c>
      <c r="M614" t="str">
        <f>_xlfn.XLOOKUP(order[[#This Row],[product_id]],products!$A$2:$A$11,products!$B$2:$B$11)</f>
        <v>LG 43 Inch Smart TV</v>
      </c>
      <c r="N614" s="3" t="str">
        <f>_xlfn.XLOOKUP(order[[#This Row],[product_id]],products!$A$2:$A$11,products!$C$2:$C$11)</f>
        <v>Electronics</v>
      </c>
      <c r="O614" s="3">
        <f>_xlfn.XLOOKUP(order[[#This Row],[product_id]],Table4[product_id],Table4[cost_price])</f>
        <v>30000</v>
      </c>
      <c r="P614" s="11">
        <f>_xlfn.XLOOKUP(order[[#This Row],[order_id]],shipment[order_id],shipment[ship_date])</f>
        <v>45606</v>
      </c>
      <c r="Q614" s="11">
        <f>_xlfn.XLOOKUP(order[[#This Row],[order_id]],shipment[order_id],shipment[delivery_date])</f>
        <v>45612</v>
      </c>
      <c r="R614" s="3" t="str">
        <f>_xlfn.XLOOKUP(order[[#This Row],[order_id]],shipment[shipment_id],shipment[courier])</f>
        <v>BlueDart</v>
      </c>
      <c r="S614" s="3">
        <f>order[[#This Row],[selling_price]]-order[[#This Row],[cost_price]]*order[[#This Row],[quantity]]-order[[#This Row],[discount]]</f>
        <v>-5497</v>
      </c>
      <c r="T614" s="3">
        <f>order[[#This Row],[quantity]]*order[[#This Row],[selling_price]]</f>
        <v>116144</v>
      </c>
    </row>
    <row r="615" spans="1:20" x14ac:dyDescent="0.3">
      <c r="A615">
        <v>476</v>
      </c>
      <c r="B615" s="11">
        <v>45414</v>
      </c>
      <c r="C615">
        <v>289</v>
      </c>
      <c r="D615" t="str">
        <f>_xlfn.XLOOKUP(order[[#This Row],[customer_id]],customer[customer_id],customer[customer_name])</f>
        <v>Ishita Bose</v>
      </c>
      <c r="E615">
        <v>210</v>
      </c>
      <c r="F615">
        <v>1</v>
      </c>
      <c r="G615">
        <v>24358</v>
      </c>
      <c r="H615">
        <v>3492</v>
      </c>
      <c r="I615" t="s">
        <v>9</v>
      </c>
      <c r="J615" t="s">
        <v>12</v>
      </c>
      <c r="K615" t="str">
        <f>_xlfn.XLOOKUP(order[[#This Row],[customer_id]],customer[customer_id],customer[city])</f>
        <v>Pune</v>
      </c>
      <c r="L615" t="str">
        <f>_xlfn.XLOOKUP(order[[#This Row],[customer_id]],customer[customer_id],customer[state])</f>
        <v>Maharashtra</v>
      </c>
      <c r="M615" t="str">
        <f>_xlfn.XLOOKUP(order[[#This Row],[product_id]],products!$A$2:$A$11,products!$B$2:$B$11)</f>
        <v>LG 43 Inch Smart TV</v>
      </c>
      <c r="N615" s="3" t="str">
        <f>_xlfn.XLOOKUP(order[[#This Row],[product_id]],products!$A$2:$A$11,products!$C$2:$C$11)</f>
        <v>Electronics</v>
      </c>
      <c r="O615" s="3">
        <f>_xlfn.XLOOKUP(order[[#This Row],[product_id]],Table4[product_id],Table4[cost_price])</f>
        <v>30000</v>
      </c>
      <c r="P615" s="11">
        <f>_xlfn.XLOOKUP(order[[#This Row],[order_id]],shipment[order_id],shipment[ship_date])</f>
        <v>45565</v>
      </c>
      <c r="Q615" s="11">
        <f>_xlfn.XLOOKUP(order[[#This Row],[order_id]],shipment[order_id],shipment[delivery_date])</f>
        <v>45566</v>
      </c>
      <c r="R615" s="3" t="str">
        <f>_xlfn.XLOOKUP(order[[#This Row],[order_id]],shipment[shipment_id],shipment[courier])</f>
        <v>BlueDart</v>
      </c>
      <c r="S615" s="3">
        <f>order[[#This Row],[selling_price]]-order[[#This Row],[cost_price]]*order[[#This Row],[quantity]]-order[[#This Row],[discount]]</f>
        <v>-9134</v>
      </c>
      <c r="T615" s="3">
        <f>order[[#This Row],[quantity]]*order[[#This Row],[selling_price]]</f>
        <v>24358</v>
      </c>
    </row>
    <row r="616" spans="1:20" x14ac:dyDescent="0.3">
      <c r="A616">
        <v>110</v>
      </c>
      <c r="B616" s="11">
        <v>45577</v>
      </c>
      <c r="C616">
        <v>271</v>
      </c>
      <c r="D616" t="str">
        <f>_xlfn.XLOOKUP(order[[#This Row],[customer_id]],customer[customer_id],customer[customer_name])</f>
        <v>Neha Kapoor</v>
      </c>
      <c r="E616">
        <v>210</v>
      </c>
      <c r="F616">
        <v>2</v>
      </c>
      <c r="G616">
        <v>5748</v>
      </c>
      <c r="H616">
        <v>3469</v>
      </c>
      <c r="I616" t="s">
        <v>11</v>
      </c>
      <c r="J616" t="s">
        <v>12</v>
      </c>
      <c r="K616" t="str">
        <f>_xlfn.XLOOKUP(order[[#This Row],[customer_id]],customer[customer_id],customer[city])</f>
        <v>Ahmedabad</v>
      </c>
      <c r="L616" t="str">
        <f>_xlfn.XLOOKUP(order[[#This Row],[customer_id]],customer[customer_id],customer[state])</f>
        <v>Gujarat</v>
      </c>
      <c r="M616" t="str">
        <f>_xlfn.XLOOKUP(order[[#This Row],[product_id]],products!$A$2:$A$11,products!$B$2:$B$11)</f>
        <v>LG 43 Inch Smart TV</v>
      </c>
      <c r="N616" s="3" t="str">
        <f>_xlfn.XLOOKUP(order[[#This Row],[product_id]],products!$A$2:$A$11,products!$C$2:$C$11)</f>
        <v>Electronics</v>
      </c>
      <c r="O616" s="3">
        <f>_xlfn.XLOOKUP(order[[#This Row],[product_id]],Table4[product_id],Table4[cost_price])</f>
        <v>30000</v>
      </c>
      <c r="P616" s="11">
        <f>_xlfn.XLOOKUP(order[[#This Row],[order_id]],shipment[order_id],shipment[ship_date])</f>
        <v>45366</v>
      </c>
      <c r="Q616" s="11">
        <f>_xlfn.XLOOKUP(order[[#This Row],[order_id]],shipment[order_id],shipment[delivery_date])</f>
        <v>45367</v>
      </c>
      <c r="R616" s="3" t="str">
        <f>_xlfn.XLOOKUP(order[[#This Row],[order_id]],shipment[shipment_id],shipment[courier])</f>
        <v>Delhivery</v>
      </c>
      <c r="S616" s="3">
        <f>order[[#This Row],[selling_price]]-order[[#This Row],[cost_price]]*order[[#This Row],[quantity]]-order[[#This Row],[discount]]</f>
        <v>-57721</v>
      </c>
      <c r="T616" s="3">
        <f>order[[#This Row],[quantity]]*order[[#This Row],[selling_price]]</f>
        <v>11496</v>
      </c>
    </row>
    <row r="617" spans="1:20" x14ac:dyDescent="0.3">
      <c r="A617">
        <v>616</v>
      </c>
      <c r="B617" s="11">
        <v>45579</v>
      </c>
      <c r="C617">
        <v>152</v>
      </c>
      <c r="D617" t="str">
        <f>_xlfn.XLOOKUP(order[[#This Row],[customer_id]],customer[customer_id],customer[customer_name])</f>
        <v>Manish Yadav</v>
      </c>
      <c r="E617">
        <v>205</v>
      </c>
      <c r="F617">
        <v>4</v>
      </c>
      <c r="G617">
        <v>50569</v>
      </c>
      <c r="H617">
        <v>3583</v>
      </c>
      <c r="I617" t="s">
        <v>11</v>
      </c>
      <c r="J617" t="s">
        <v>12</v>
      </c>
      <c r="K617" t="str">
        <f>_xlfn.XLOOKUP(order[[#This Row],[customer_id]],customer[customer_id],customer[city])</f>
        <v>Bangalore</v>
      </c>
      <c r="L617" t="str">
        <f>_xlfn.XLOOKUP(order[[#This Row],[customer_id]],customer[customer_id],customer[state])</f>
        <v>Karnataka</v>
      </c>
      <c r="M617" t="str">
        <f>_xlfn.XLOOKUP(order[[#This Row],[product_id]],products!$A$2:$A$11,products!$B$2:$B$11)</f>
        <v>Prestige Pressure Cooker 5L</v>
      </c>
      <c r="N617" s="3" t="str">
        <f>_xlfn.XLOOKUP(order[[#This Row],[product_id]],products!$A$2:$A$11,products!$C$2:$C$11)</f>
        <v>Home &amp; Kitchen</v>
      </c>
      <c r="O617" s="3">
        <f>_xlfn.XLOOKUP(order[[#This Row],[product_id]],Table4[product_id],Table4[cost_price])</f>
        <v>1200</v>
      </c>
      <c r="P617" s="11">
        <f>_xlfn.XLOOKUP(order[[#This Row],[order_id]],shipment[order_id],shipment[ship_date])</f>
        <v>45615</v>
      </c>
      <c r="Q617" s="11">
        <f>_xlfn.XLOOKUP(order[[#This Row],[order_id]],shipment[order_id],shipment[delivery_date])</f>
        <v>45617</v>
      </c>
      <c r="R617" s="3" t="str">
        <f>_xlfn.XLOOKUP(order[[#This Row],[order_id]],shipment[shipment_id],shipment[courier])</f>
        <v>DTDC</v>
      </c>
      <c r="S617" s="3">
        <f>order[[#This Row],[selling_price]]-order[[#This Row],[cost_price]]*order[[#This Row],[quantity]]-order[[#This Row],[discount]]</f>
        <v>42186</v>
      </c>
      <c r="T617" s="3">
        <f>order[[#This Row],[quantity]]*order[[#This Row],[selling_price]]</f>
        <v>202276</v>
      </c>
    </row>
    <row r="618" spans="1:20" x14ac:dyDescent="0.3">
      <c r="A618">
        <v>239</v>
      </c>
      <c r="B618" s="11">
        <v>45545</v>
      </c>
      <c r="C618">
        <v>125</v>
      </c>
      <c r="D618" t="str">
        <f>_xlfn.XLOOKUP(order[[#This Row],[customer_id]],customer[customer_id],customer[customer_name])</f>
        <v>Vikram Singh</v>
      </c>
      <c r="E618">
        <v>210</v>
      </c>
      <c r="F618">
        <v>4</v>
      </c>
      <c r="G618">
        <v>7543</v>
      </c>
      <c r="H618">
        <v>3426</v>
      </c>
      <c r="I618" t="s">
        <v>15</v>
      </c>
      <c r="J618" t="s">
        <v>12</v>
      </c>
      <c r="K618" t="str">
        <f>_xlfn.XLOOKUP(order[[#This Row],[customer_id]],customer[customer_id],customer[city])</f>
        <v>Chennai</v>
      </c>
      <c r="L618" t="str">
        <f>_xlfn.XLOOKUP(order[[#This Row],[customer_id]],customer[customer_id],customer[state])</f>
        <v>Tamil Nadu</v>
      </c>
      <c r="M618" t="str">
        <f>_xlfn.XLOOKUP(order[[#This Row],[product_id]],products!$A$2:$A$11,products!$B$2:$B$11)</f>
        <v>LG 43 Inch Smart TV</v>
      </c>
      <c r="N618" s="3" t="str">
        <f>_xlfn.XLOOKUP(order[[#This Row],[product_id]],products!$A$2:$A$11,products!$C$2:$C$11)</f>
        <v>Electronics</v>
      </c>
      <c r="O618" s="3">
        <f>_xlfn.XLOOKUP(order[[#This Row],[product_id]],Table4[product_id],Table4[cost_price])</f>
        <v>30000</v>
      </c>
      <c r="P618" s="11">
        <f>_xlfn.XLOOKUP(order[[#This Row],[order_id]],shipment[order_id],shipment[ship_date])</f>
        <v>45501</v>
      </c>
      <c r="Q618" s="11">
        <f>_xlfn.XLOOKUP(order[[#This Row],[order_id]],shipment[order_id],shipment[delivery_date])</f>
        <v>45503</v>
      </c>
      <c r="R618" s="3" t="str">
        <f>_xlfn.XLOOKUP(order[[#This Row],[order_id]],shipment[shipment_id],shipment[courier])</f>
        <v>BlueDart</v>
      </c>
      <c r="S618" s="3">
        <f>order[[#This Row],[selling_price]]-order[[#This Row],[cost_price]]*order[[#This Row],[quantity]]-order[[#This Row],[discount]]</f>
        <v>-115883</v>
      </c>
      <c r="T618" s="3">
        <f>order[[#This Row],[quantity]]*order[[#This Row],[selling_price]]</f>
        <v>30172</v>
      </c>
    </row>
    <row r="619" spans="1:20" x14ac:dyDescent="0.3">
      <c r="A619">
        <v>618</v>
      </c>
      <c r="B619" s="11">
        <v>45530</v>
      </c>
      <c r="C619">
        <v>243</v>
      </c>
      <c r="D619" t="str">
        <f>_xlfn.XLOOKUP(order[[#This Row],[customer_id]],customer[customer_id],customer[customer_name])</f>
        <v>Ananya Gupta</v>
      </c>
      <c r="E619">
        <v>204</v>
      </c>
      <c r="F619">
        <v>1</v>
      </c>
      <c r="G619">
        <v>12616</v>
      </c>
      <c r="H619">
        <v>920</v>
      </c>
      <c r="I619" t="s">
        <v>15</v>
      </c>
      <c r="J619" t="s">
        <v>12</v>
      </c>
      <c r="K619" t="str">
        <f>_xlfn.XLOOKUP(order[[#This Row],[customer_id]],customer[customer_id],customer[city])</f>
        <v>Ahmedabad</v>
      </c>
      <c r="L619" t="str">
        <f>_xlfn.XLOOKUP(order[[#This Row],[customer_id]],customer[customer_id],customer[state])</f>
        <v>Gujarat</v>
      </c>
      <c r="M619" t="str">
        <f>_xlfn.XLOOKUP(order[[#This Row],[product_id]],products!$A$2:$A$11,products!$B$2:$B$11)</f>
        <v>Levi's Slim Fit Jeans</v>
      </c>
      <c r="N619" s="3" t="str">
        <f>_xlfn.XLOOKUP(order[[#This Row],[product_id]],products!$A$2:$A$11,products!$C$2:$C$11)</f>
        <v>Fashion</v>
      </c>
      <c r="O619" s="3">
        <f>_xlfn.XLOOKUP(order[[#This Row],[product_id]],Table4[product_id],Table4[cost_price])</f>
        <v>1800</v>
      </c>
      <c r="P619" s="11">
        <f>_xlfn.XLOOKUP(order[[#This Row],[order_id]],shipment[order_id],shipment[ship_date])</f>
        <v>45429</v>
      </c>
      <c r="Q619" s="11">
        <f>_xlfn.XLOOKUP(order[[#This Row],[order_id]],shipment[order_id],shipment[delivery_date])</f>
        <v>45435</v>
      </c>
      <c r="R619" s="3" t="str">
        <f>_xlfn.XLOOKUP(order[[#This Row],[order_id]],shipment[shipment_id],shipment[courier])</f>
        <v>BlueDart</v>
      </c>
      <c r="S619" s="3">
        <f>order[[#This Row],[selling_price]]-order[[#This Row],[cost_price]]*order[[#This Row],[quantity]]-order[[#This Row],[discount]]</f>
        <v>9896</v>
      </c>
      <c r="T619" s="3">
        <f>order[[#This Row],[quantity]]*order[[#This Row],[selling_price]]</f>
        <v>12616</v>
      </c>
    </row>
    <row r="620" spans="1:20" x14ac:dyDescent="0.3">
      <c r="A620">
        <v>159</v>
      </c>
      <c r="B620" s="11">
        <v>45449</v>
      </c>
      <c r="C620">
        <v>119</v>
      </c>
      <c r="D620" t="str">
        <f>_xlfn.XLOOKUP(order[[#This Row],[customer_id]],customer[customer_id],customer[customer_name])</f>
        <v>Pooja Nair</v>
      </c>
      <c r="E620">
        <v>210</v>
      </c>
      <c r="F620">
        <v>2</v>
      </c>
      <c r="G620">
        <v>22320</v>
      </c>
      <c r="H620">
        <v>3125</v>
      </c>
      <c r="I620" t="s">
        <v>15</v>
      </c>
      <c r="J620" t="s">
        <v>14</v>
      </c>
      <c r="K620" t="str">
        <f>_xlfn.XLOOKUP(order[[#This Row],[customer_id]],customer[customer_id],customer[city])</f>
        <v>Bangalore</v>
      </c>
      <c r="L620" t="str">
        <f>_xlfn.XLOOKUP(order[[#This Row],[customer_id]],customer[customer_id],customer[state])</f>
        <v>Karnataka</v>
      </c>
      <c r="M620" t="str">
        <f>_xlfn.XLOOKUP(order[[#This Row],[product_id]],products!$A$2:$A$11,products!$B$2:$B$11)</f>
        <v>LG 43 Inch Smart TV</v>
      </c>
      <c r="N620" s="3" t="str">
        <f>_xlfn.XLOOKUP(order[[#This Row],[product_id]],products!$A$2:$A$11,products!$C$2:$C$11)</f>
        <v>Electronics</v>
      </c>
      <c r="O620" s="3">
        <f>_xlfn.XLOOKUP(order[[#This Row],[product_id]],Table4[product_id],Table4[cost_price])</f>
        <v>30000</v>
      </c>
      <c r="P620" s="11">
        <f>_xlfn.XLOOKUP(order[[#This Row],[order_id]],shipment[order_id],shipment[ship_date])</f>
        <v>45383</v>
      </c>
      <c r="Q620" s="11">
        <f>_xlfn.XLOOKUP(order[[#This Row],[order_id]],shipment[order_id],shipment[delivery_date])</f>
        <v>45390</v>
      </c>
      <c r="R620" s="3" t="str">
        <f>_xlfn.XLOOKUP(order[[#This Row],[order_id]],shipment[shipment_id],shipment[courier])</f>
        <v>Delhivery</v>
      </c>
      <c r="S620" s="3">
        <f>order[[#This Row],[selling_price]]-order[[#This Row],[cost_price]]*order[[#This Row],[quantity]]-order[[#This Row],[discount]]</f>
        <v>-40805</v>
      </c>
      <c r="T620" s="3">
        <f>order[[#This Row],[quantity]]*order[[#This Row],[selling_price]]</f>
        <v>44640</v>
      </c>
    </row>
    <row r="621" spans="1:20" x14ac:dyDescent="0.3">
      <c r="A621">
        <v>620</v>
      </c>
      <c r="B621" s="11">
        <v>45502</v>
      </c>
      <c r="C621">
        <v>236</v>
      </c>
      <c r="D621" t="str">
        <f>_xlfn.XLOOKUP(order[[#This Row],[customer_id]],customer[customer_id],customer[customer_name])</f>
        <v>Priya Reddy</v>
      </c>
      <c r="E621">
        <v>209</v>
      </c>
      <c r="F621">
        <v>2</v>
      </c>
      <c r="G621">
        <v>37162</v>
      </c>
      <c r="H621">
        <v>4861</v>
      </c>
      <c r="I621" t="s">
        <v>11</v>
      </c>
      <c r="J621" t="s">
        <v>10</v>
      </c>
      <c r="K621" t="str">
        <f>_xlfn.XLOOKUP(order[[#This Row],[customer_id]],customer[customer_id],customer[city])</f>
        <v>Ahmedabad</v>
      </c>
      <c r="L621" t="str">
        <f>_xlfn.XLOOKUP(order[[#This Row],[customer_id]],customer[customer_id],customer[state])</f>
        <v>Gujarat</v>
      </c>
      <c r="M621" t="str">
        <f>_xlfn.XLOOKUP(order[[#This Row],[product_id]],products!$A$2:$A$11,products!$B$2:$B$11)</f>
        <v>Milton Thermosteel Bottle</v>
      </c>
      <c r="N621" s="3" t="str">
        <f>_xlfn.XLOOKUP(order[[#This Row],[product_id]],products!$A$2:$A$11,products!$C$2:$C$11)</f>
        <v>Home &amp; Kitchen</v>
      </c>
      <c r="O621" s="3">
        <f>_xlfn.XLOOKUP(order[[#This Row],[product_id]],Table4[product_id],Table4[cost_price])</f>
        <v>800</v>
      </c>
      <c r="P621" s="11">
        <f>_xlfn.XLOOKUP(order[[#This Row],[order_id]],shipment[order_id],shipment[ship_date])</f>
        <v>45445</v>
      </c>
      <c r="Q621" s="11">
        <f>_xlfn.XLOOKUP(order[[#This Row],[order_id]],shipment[order_id],shipment[delivery_date])</f>
        <v>45451</v>
      </c>
      <c r="R621" s="3" t="str">
        <f>_xlfn.XLOOKUP(order[[#This Row],[order_id]],shipment[shipment_id],shipment[courier])</f>
        <v>Delhivery</v>
      </c>
      <c r="S621" s="3">
        <f>order[[#This Row],[selling_price]]-order[[#This Row],[cost_price]]*order[[#This Row],[quantity]]-order[[#This Row],[discount]]</f>
        <v>30701</v>
      </c>
      <c r="T621" s="3">
        <f>order[[#This Row],[quantity]]*order[[#This Row],[selling_price]]</f>
        <v>74324</v>
      </c>
    </row>
    <row r="622" spans="1:20" x14ac:dyDescent="0.3">
      <c r="A622">
        <v>724</v>
      </c>
      <c r="B622" s="11">
        <v>45295</v>
      </c>
      <c r="C622">
        <v>119</v>
      </c>
      <c r="D622" t="str">
        <f>_xlfn.XLOOKUP(order[[#This Row],[customer_id]],customer[customer_id],customer[customer_name])</f>
        <v>Pooja Nair</v>
      </c>
      <c r="E622">
        <v>210</v>
      </c>
      <c r="F622">
        <v>2</v>
      </c>
      <c r="G622">
        <v>31841</v>
      </c>
      <c r="H622">
        <v>3088</v>
      </c>
      <c r="I622" t="s">
        <v>9</v>
      </c>
      <c r="J622" t="s">
        <v>12</v>
      </c>
      <c r="K622" t="str">
        <f>_xlfn.XLOOKUP(order[[#This Row],[customer_id]],customer[customer_id],customer[city])</f>
        <v>Bangalore</v>
      </c>
      <c r="L622" t="str">
        <f>_xlfn.XLOOKUP(order[[#This Row],[customer_id]],customer[customer_id],customer[state])</f>
        <v>Karnataka</v>
      </c>
      <c r="M622" t="str">
        <f>_xlfn.XLOOKUP(order[[#This Row],[product_id]],products!$A$2:$A$11,products!$B$2:$B$11)</f>
        <v>LG 43 Inch Smart TV</v>
      </c>
      <c r="N622" s="3" t="str">
        <f>_xlfn.XLOOKUP(order[[#This Row],[product_id]],products!$A$2:$A$11,products!$C$2:$C$11)</f>
        <v>Electronics</v>
      </c>
      <c r="O622" s="3">
        <f>_xlfn.XLOOKUP(order[[#This Row],[product_id]],Table4[product_id],Table4[cost_price])</f>
        <v>30000</v>
      </c>
      <c r="P622" s="11">
        <f>_xlfn.XLOOKUP(order[[#This Row],[order_id]],shipment[order_id],shipment[ship_date])</f>
        <v>45484</v>
      </c>
      <c r="Q622" s="11">
        <f>_xlfn.XLOOKUP(order[[#This Row],[order_id]],shipment[order_id],shipment[delivery_date])</f>
        <v>45490</v>
      </c>
      <c r="R622" s="3" t="str">
        <f>_xlfn.XLOOKUP(order[[#This Row],[order_id]],shipment[shipment_id],shipment[courier])</f>
        <v>BlueDart</v>
      </c>
      <c r="S622" s="3">
        <f>order[[#This Row],[selling_price]]-order[[#This Row],[cost_price]]*order[[#This Row],[quantity]]-order[[#This Row],[discount]]</f>
        <v>-31247</v>
      </c>
      <c r="T622" s="3">
        <f>order[[#This Row],[quantity]]*order[[#This Row],[selling_price]]</f>
        <v>63682</v>
      </c>
    </row>
    <row r="623" spans="1:20" x14ac:dyDescent="0.3">
      <c r="A623">
        <v>622</v>
      </c>
      <c r="B623" s="11">
        <v>45304</v>
      </c>
      <c r="C623">
        <v>289</v>
      </c>
      <c r="D623" t="str">
        <f>_xlfn.XLOOKUP(order[[#This Row],[customer_id]],customer[customer_id],customer[customer_name])</f>
        <v>Ishita Bose</v>
      </c>
      <c r="E623">
        <v>208</v>
      </c>
      <c r="F623">
        <v>3</v>
      </c>
      <c r="G623">
        <v>30599</v>
      </c>
      <c r="H623">
        <v>1938</v>
      </c>
      <c r="I623" t="s">
        <v>9</v>
      </c>
      <c r="J623" t="s">
        <v>10</v>
      </c>
      <c r="K623" t="str">
        <f>_xlfn.XLOOKUP(order[[#This Row],[customer_id]],customer[customer_id],customer[city])</f>
        <v>Pune</v>
      </c>
      <c r="L623" t="str">
        <f>_xlfn.XLOOKUP(order[[#This Row],[customer_id]],customer[customer_id],customer[state])</f>
        <v>Maharashtra</v>
      </c>
      <c r="M623" t="str">
        <f>_xlfn.XLOOKUP(order[[#This Row],[product_id]],products!$A$2:$A$11,products!$B$2:$B$11)</f>
        <v>Adidas Ultraboost Shoes</v>
      </c>
      <c r="N623" s="3" t="str">
        <f>_xlfn.XLOOKUP(order[[#This Row],[product_id]],products!$A$2:$A$11,products!$C$2:$C$11)</f>
        <v>Fashion</v>
      </c>
      <c r="O623" s="3">
        <f>_xlfn.XLOOKUP(order[[#This Row],[product_id]],Table4[product_id],Table4[cost_price])</f>
        <v>9000</v>
      </c>
      <c r="P623" s="11">
        <f>_xlfn.XLOOKUP(order[[#This Row],[order_id]],shipment[order_id],shipment[ship_date])</f>
        <v>45637</v>
      </c>
      <c r="Q623" s="11">
        <f>_xlfn.XLOOKUP(order[[#This Row],[order_id]],shipment[order_id],shipment[delivery_date])</f>
        <v>45642</v>
      </c>
      <c r="R623" s="3" t="str">
        <f>_xlfn.XLOOKUP(order[[#This Row],[order_id]],shipment[shipment_id],shipment[courier])</f>
        <v>Ekart</v>
      </c>
      <c r="S623" s="3">
        <f>order[[#This Row],[selling_price]]-order[[#This Row],[cost_price]]*order[[#This Row],[quantity]]-order[[#This Row],[discount]]</f>
        <v>1661</v>
      </c>
      <c r="T623" s="3">
        <f>order[[#This Row],[quantity]]*order[[#This Row],[selling_price]]</f>
        <v>91797</v>
      </c>
    </row>
    <row r="624" spans="1:20" x14ac:dyDescent="0.3">
      <c r="A624">
        <v>623</v>
      </c>
      <c r="B624" s="11">
        <v>45318</v>
      </c>
      <c r="C624">
        <v>134</v>
      </c>
      <c r="D624" t="str">
        <f>_xlfn.XLOOKUP(order[[#This Row],[customer_id]],customer[customer_id],customer[customer_name])</f>
        <v>Rohit Verma</v>
      </c>
      <c r="E624">
        <v>208</v>
      </c>
      <c r="F624">
        <v>3</v>
      </c>
      <c r="G624">
        <v>36273</v>
      </c>
      <c r="H624">
        <v>4411</v>
      </c>
      <c r="I624" t="s">
        <v>13</v>
      </c>
      <c r="J624" t="s">
        <v>12</v>
      </c>
      <c r="K624" t="str">
        <f>_xlfn.XLOOKUP(order[[#This Row],[customer_id]],customer[customer_id],customer[city])</f>
        <v>Hyderabad</v>
      </c>
      <c r="L624" t="str">
        <f>_xlfn.XLOOKUP(order[[#This Row],[customer_id]],customer[customer_id],customer[state])</f>
        <v>Telangana</v>
      </c>
      <c r="M624" t="str">
        <f>_xlfn.XLOOKUP(order[[#This Row],[product_id]],products!$A$2:$A$11,products!$B$2:$B$11)</f>
        <v>Adidas Ultraboost Shoes</v>
      </c>
      <c r="N624" s="3" t="str">
        <f>_xlfn.XLOOKUP(order[[#This Row],[product_id]],products!$A$2:$A$11,products!$C$2:$C$11)</f>
        <v>Fashion</v>
      </c>
      <c r="O624" s="3">
        <f>_xlfn.XLOOKUP(order[[#This Row],[product_id]],Table4[product_id],Table4[cost_price])</f>
        <v>9000</v>
      </c>
      <c r="P624" s="11">
        <f>_xlfn.XLOOKUP(order[[#This Row],[order_id]],shipment[order_id],shipment[ship_date])</f>
        <v>45539</v>
      </c>
      <c r="Q624" s="11">
        <f>_xlfn.XLOOKUP(order[[#This Row],[order_id]],shipment[order_id],shipment[delivery_date])</f>
        <v>45549</v>
      </c>
      <c r="R624" s="3" t="str">
        <f>_xlfn.XLOOKUP(order[[#This Row],[order_id]],shipment[shipment_id],shipment[courier])</f>
        <v>Ekart</v>
      </c>
      <c r="S624" s="3">
        <f>order[[#This Row],[selling_price]]-order[[#This Row],[cost_price]]*order[[#This Row],[quantity]]-order[[#This Row],[discount]]</f>
        <v>4862</v>
      </c>
      <c r="T624" s="3">
        <f>order[[#This Row],[quantity]]*order[[#This Row],[selling_price]]</f>
        <v>108819</v>
      </c>
    </row>
    <row r="625" spans="1:20" x14ac:dyDescent="0.3">
      <c r="A625">
        <v>624</v>
      </c>
      <c r="B625" s="11">
        <v>45405</v>
      </c>
      <c r="C625">
        <v>160</v>
      </c>
      <c r="D625" t="str">
        <f>_xlfn.XLOOKUP(order[[#This Row],[customer_id]],customer[customer_id],customer[customer_name])</f>
        <v>Arjun Nair</v>
      </c>
      <c r="E625">
        <v>205</v>
      </c>
      <c r="F625">
        <v>1</v>
      </c>
      <c r="G625">
        <v>20344</v>
      </c>
      <c r="H625">
        <v>149</v>
      </c>
      <c r="I625" t="s">
        <v>9</v>
      </c>
      <c r="J625" t="s">
        <v>10</v>
      </c>
      <c r="K625" t="str">
        <f>_xlfn.XLOOKUP(order[[#This Row],[customer_id]],customer[customer_id],customer[city])</f>
        <v>Delhi</v>
      </c>
      <c r="L625" t="str">
        <f>_xlfn.XLOOKUP(order[[#This Row],[customer_id]],customer[customer_id],customer[state])</f>
        <v>Delhi</v>
      </c>
      <c r="M625" t="str">
        <f>_xlfn.XLOOKUP(order[[#This Row],[product_id]],products!$A$2:$A$11,products!$B$2:$B$11)</f>
        <v>Prestige Pressure Cooker 5L</v>
      </c>
      <c r="N625" s="3" t="str">
        <f>_xlfn.XLOOKUP(order[[#This Row],[product_id]],products!$A$2:$A$11,products!$C$2:$C$11)</f>
        <v>Home &amp; Kitchen</v>
      </c>
      <c r="O625" s="3">
        <f>_xlfn.XLOOKUP(order[[#This Row],[product_id]],Table4[product_id],Table4[cost_price])</f>
        <v>1200</v>
      </c>
      <c r="P625" s="11">
        <f>_xlfn.XLOOKUP(order[[#This Row],[order_id]],shipment[order_id],shipment[ship_date])</f>
        <v>45629</v>
      </c>
      <c r="Q625" s="11">
        <f>_xlfn.XLOOKUP(order[[#This Row],[order_id]],shipment[order_id],shipment[delivery_date])</f>
        <v>45632</v>
      </c>
      <c r="R625" s="3" t="str">
        <f>_xlfn.XLOOKUP(order[[#This Row],[order_id]],shipment[shipment_id],shipment[courier])</f>
        <v>DTDC</v>
      </c>
      <c r="S625" s="3">
        <f>order[[#This Row],[selling_price]]-order[[#This Row],[cost_price]]*order[[#This Row],[quantity]]-order[[#This Row],[discount]]</f>
        <v>18995</v>
      </c>
      <c r="T625" s="3">
        <f>order[[#This Row],[quantity]]*order[[#This Row],[selling_price]]</f>
        <v>20344</v>
      </c>
    </row>
    <row r="626" spans="1:20" x14ac:dyDescent="0.3">
      <c r="A626">
        <v>457</v>
      </c>
      <c r="B626" s="11">
        <v>45629</v>
      </c>
      <c r="C626">
        <v>213</v>
      </c>
      <c r="D626" t="str">
        <f>_xlfn.XLOOKUP(order[[#This Row],[customer_id]],customer[customer_id],customer[customer_name])</f>
        <v>Arjun Nair</v>
      </c>
      <c r="E626">
        <v>210</v>
      </c>
      <c r="F626">
        <v>3</v>
      </c>
      <c r="G626">
        <v>22713</v>
      </c>
      <c r="H626">
        <v>3009</v>
      </c>
      <c r="I626" t="s">
        <v>15</v>
      </c>
      <c r="J626" t="s">
        <v>14</v>
      </c>
      <c r="K626" t="str">
        <f>_xlfn.XLOOKUP(order[[#This Row],[customer_id]],customer[customer_id],customer[city])</f>
        <v>Ahmedabad</v>
      </c>
      <c r="L626" t="str">
        <f>_xlfn.XLOOKUP(order[[#This Row],[customer_id]],customer[customer_id],customer[state])</f>
        <v>Gujarat</v>
      </c>
      <c r="M626" t="str">
        <f>_xlfn.XLOOKUP(order[[#This Row],[product_id]],products!$A$2:$A$11,products!$B$2:$B$11)</f>
        <v>LG 43 Inch Smart TV</v>
      </c>
      <c r="N626" s="3" t="str">
        <f>_xlfn.XLOOKUP(order[[#This Row],[product_id]],products!$A$2:$A$11,products!$C$2:$C$11)</f>
        <v>Electronics</v>
      </c>
      <c r="O626" s="3">
        <f>_xlfn.XLOOKUP(order[[#This Row],[product_id]],Table4[product_id],Table4[cost_price])</f>
        <v>30000</v>
      </c>
      <c r="P626" s="11">
        <f>_xlfn.XLOOKUP(order[[#This Row],[order_id]],shipment[order_id],shipment[ship_date])</f>
        <v>45424</v>
      </c>
      <c r="Q626" s="11">
        <f>_xlfn.XLOOKUP(order[[#This Row],[order_id]],shipment[order_id],shipment[delivery_date])</f>
        <v>45425</v>
      </c>
      <c r="R626" s="3" t="str">
        <f>_xlfn.XLOOKUP(order[[#This Row],[order_id]],shipment[shipment_id],shipment[courier])</f>
        <v>DTDC</v>
      </c>
      <c r="S626" s="3">
        <f>order[[#This Row],[selling_price]]-order[[#This Row],[cost_price]]*order[[#This Row],[quantity]]-order[[#This Row],[discount]]</f>
        <v>-70296</v>
      </c>
      <c r="T626" s="3">
        <f>order[[#This Row],[quantity]]*order[[#This Row],[selling_price]]</f>
        <v>68139</v>
      </c>
    </row>
    <row r="627" spans="1:20" x14ac:dyDescent="0.3">
      <c r="A627">
        <v>713</v>
      </c>
      <c r="B627" s="11">
        <v>45354</v>
      </c>
      <c r="C627">
        <v>154</v>
      </c>
      <c r="D627" t="str">
        <f>_xlfn.XLOOKUP(order[[#This Row],[customer_id]],customer[customer_id],customer[customer_name])</f>
        <v>Manish Yadav</v>
      </c>
      <c r="E627">
        <v>210</v>
      </c>
      <c r="F627">
        <v>2</v>
      </c>
      <c r="G627">
        <v>20975</v>
      </c>
      <c r="H627">
        <v>2997</v>
      </c>
      <c r="I627" t="s">
        <v>11</v>
      </c>
      <c r="J627" t="s">
        <v>12</v>
      </c>
      <c r="K627" t="str">
        <f>_xlfn.XLOOKUP(order[[#This Row],[customer_id]],customer[customer_id],customer[city])</f>
        <v>Hyderabad</v>
      </c>
      <c r="L627" t="str">
        <f>_xlfn.XLOOKUP(order[[#This Row],[customer_id]],customer[customer_id],customer[state])</f>
        <v>Telangana</v>
      </c>
      <c r="M627" t="str">
        <f>_xlfn.XLOOKUP(order[[#This Row],[product_id]],products!$A$2:$A$11,products!$B$2:$B$11)</f>
        <v>LG 43 Inch Smart TV</v>
      </c>
      <c r="N627" s="3" t="str">
        <f>_xlfn.XLOOKUP(order[[#This Row],[product_id]],products!$A$2:$A$11,products!$C$2:$C$11)</f>
        <v>Electronics</v>
      </c>
      <c r="O627" s="3">
        <f>_xlfn.XLOOKUP(order[[#This Row],[product_id]],Table4[product_id],Table4[cost_price])</f>
        <v>30000</v>
      </c>
      <c r="P627" s="11">
        <f>_xlfn.XLOOKUP(order[[#This Row],[order_id]],shipment[order_id],shipment[ship_date])</f>
        <v>45485</v>
      </c>
      <c r="Q627" s="11">
        <f>_xlfn.XLOOKUP(order[[#This Row],[order_id]],shipment[order_id],shipment[delivery_date])</f>
        <v>45495</v>
      </c>
      <c r="R627" s="3" t="str">
        <f>_xlfn.XLOOKUP(order[[#This Row],[order_id]],shipment[shipment_id],shipment[courier])</f>
        <v>Ekart</v>
      </c>
      <c r="S627" s="3">
        <f>order[[#This Row],[selling_price]]-order[[#This Row],[cost_price]]*order[[#This Row],[quantity]]-order[[#This Row],[discount]]</f>
        <v>-42022</v>
      </c>
      <c r="T627" s="3">
        <f>order[[#This Row],[quantity]]*order[[#This Row],[selling_price]]</f>
        <v>41950</v>
      </c>
    </row>
    <row r="628" spans="1:20" x14ac:dyDescent="0.3">
      <c r="A628">
        <v>97</v>
      </c>
      <c r="B628" s="11">
        <v>45514</v>
      </c>
      <c r="C628">
        <v>156</v>
      </c>
      <c r="D628" t="str">
        <f>_xlfn.XLOOKUP(order[[#This Row],[customer_id]],customer[customer_id],customer[customer_name])</f>
        <v>Arjun Nair</v>
      </c>
      <c r="E628">
        <v>210</v>
      </c>
      <c r="F628">
        <v>4</v>
      </c>
      <c r="G628">
        <v>47199</v>
      </c>
      <c r="H628">
        <v>2953</v>
      </c>
      <c r="I628" t="s">
        <v>9</v>
      </c>
      <c r="J628" t="s">
        <v>12</v>
      </c>
      <c r="K628" t="str">
        <f>_xlfn.XLOOKUP(order[[#This Row],[customer_id]],customer[customer_id],customer[city])</f>
        <v>Bangalore</v>
      </c>
      <c r="L628" t="str">
        <f>_xlfn.XLOOKUP(order[[#This Row],[customer_id]],customer[customer_id],customer[state])</f>
        <v>Karnataka</v>
      </c>
      <c r="M628" t="str">
        <f>_xlfn.XLOOKUP(order[[#This Row],[product_id]],products!$A$2:$A$11,products!$B$2:$B$11)</f>
        <v>LG 43 Inch Smart TV</v>
      </c>
      <c r="N628" s="3" t="str">
        <f>_xlfn.XLOOKUP(order[[#This Row],[product_id]],products!$A$2:$A$11,products!$C$2:$C$11)</f>
        <v>Electronics</v>
      </c>
      <c r="O628" s="3">
        <f>_xlfn.XLOOKUP(order[[#This Row],[product_id]],Table4[product_id],Table4[cost_price])</f>
        <v>30000</v>
      </c>
      <c r="P628" s="11">
        <f>_xlfn.XLOOKUP(order[[#This Row],[order_id]],shipment[order_id],shipment[ship_date])</f>
        <v>45422</v>
      </c>
      <c r="Q628" s="11">
        <f>_xlfn.XLOOKUP(order[[#This Row],[order_id]],shipment[order_id],shipment[delivery_date])</f>
        <v>45423</v>
      </c>
      <c r="R628" s="3" t="str">
        <f>_xlfn.XLOOKUP(order[[#This Row],[order_id]],shipment[shipment_id],shipment[courier])</f>
        <v>Delhivery</v>
      </c>
      <c r="S628" s="3">
        <f>order[[#This Row],[selling_price]]-order[[#This Row],[cost_price]]*order[[#This Row],[quantity]]-order[[#This Row],[discount]]</f>
        <v>-75754</v>
      </c>
      <c r="T628" s="3">
        <f>order[[#This Row],[quantity]]*order[[#This Row],[selling_price]]</f>
        <v>188796</v>
      </c>
    </row>
    <row r="629" spans="1:20" x14ac:dyDescent="0.3">
      <c r="A629">
        <v>628</v>
      </c>
      <c r="B629" s="11">
        <v>45650</v>
      </c>
      <c r="C629">
        <v>128</v>
      </c>
      <c r="D629" t="str">
        <f>_xlfn.XLOOKUP(order[[#This Row],[customer_id]],customer[customer_id],customer[customer_name])</f>
        <v>Siddharth Jain</v>
      </c>
      <c r="E629">
        <v>203</v>
      </c>
      <c r="F629">
        <v>1</v>
      </c>
      <c r="G629">
        <v>58400</v>
      </c>
      <c r="H629">
        <v>4392</v>
      </c>
      <c r="I629" t="s">
        <v>9</v>
      </c>
      <c r="J629" t="s">
        <v>10</v>
      </c>
      <c r="K629" t="str">
        <f>_xlfn.XLOOKUP(order[[#This Row],[customer_id]],customer[customer_id],customer[city])</f>
        <v>Mumbai</v>
      </c>
      <c r="L629" t="str">
        <f>_xlfn.XLOOKUP(order[[#This Row],[customer_id]],customer[customer_id],customer[state])</f>
        <v>Maharashtra</v>
      </c>
      <c r="M629" t="str">
        <f>_xlfn.XLOOKUP(order[[#This Row],[product_id]],products!$A$2:$A$11,products!$B$2:$B$11)</f>
        <v>Nike Air Max Shoes</v>
      </c>
      <c r="N629" s="3" t="str">
        <f>_xlfn.XLOOKUP(order[[#This Row],[product_id]],products!$A$2:$A$11,products!$C$2:$C$11)</f>
        <v>Fashion</v>
      </c>
      <c r="O629" s="3">
        <f>_xlfn.XLOOKUP(order[[#This Row],[product_id]],Table4[product_id],Table4[cost_price])</f>
        <v>4000</v>
      </c>
      <c r="P629" s="11">
        <f>_xlfn.XLOOKUP(order[[#This Row],[order_id]],shipment[order_id],shipment[ship_date])</f>
        <v>45323</v>
      </c>
      <c r="Q629" s="11">
        <f>_xlfn.XLOOKUP(order[[#This Row],[order_id]],shipment[order_id],shipment[delivery_date])</f>
        <v>45326</v>
      </c>
      <c r="R629" s="3" t="str">
        <f>_xlfn.XLOOKUP(order[[#This Row],[order_id]],shipment[shipment_id],shipment[courier])</f>
        <v>Ekart</v>
      </c>
      <c r="S629" s="3">
        <f>order[[#This Row],[selling_price]]-order[[#This Row],[cost_price]]*order[[#This Row],[quantity]]-order[[#This Row],[discount]]</f>
        <v>50008</v>
      </c>
      <c r="T629" s="3">
        <f>order[[#This Row],[quantity]]*order[[#This Row],[selling_price]]</f>
        <v>58400</v>
      </c>
    </row>
    <row r="630" spans="1:20" x14ac:dyDescent="0.3">
      <c r="A630">
        <v>629</v>
      </c>
      <c r="B630" s="11">
        <v>45333</v>
      </c>
      <c r="C630">
        <v>177</v>
      </c>
      <c r="D630" t="str">
        <f>_xlfn.XLOOKUP(order[[#This Row],[customer_id]],customer[customer_id],customer[customer_name])</f>
        <v>Priya Reddy</v>
      </c>
      <c r="E630">
        <v>208</v>
      </c>
      <c r="F630">
        <v>3</v>
      </c>
      <c r="G630">
        <v>37805</v>
      </c>
      <c r="H630">
        <v>2243</v>
      </c>
      <c r="I630" t="s">
        <v>9</v>
      </c>
      <c r="J630" t="s">
        <v>12</v>
      </c>
      <c r="K630" t="str">
        <f>_xlfn.XLOOKUP(order[[#This Row],[customer_id]],customer[customer_id],customer[city])</f>
        <v>Ahmedabad</v>
      </c>
      <c r="L630" t="str">
        <f>_xlfn.XLOOKUP(order[[#This Row],[customer_id]],customer[customer_id],customer[state])</f>
        <v>Gujarat</v>
      </c>
      <c r="M630" t="str">
        <f>_xlfn.XLOOKUP(order[[#This Row],[product_id]],products!$A$2:$A$11,products!$B$2:$B$11)</f>
        <v>Adidas Ultraboost Shoes</v>
      </c>
      <c r="N630" s="3" t="str">
        <f>_xlfn.XLOOKUP(order[[#This Row],[product_id]],products!$A$2:$A$11,products!$C$2:$C$11)</f>
        <v>Fashion</v>
      </c>
      <c r="O630" s="3">
        <f>_xlfn.XLOOKUP(order[[#This Row],[product_id]],Table4[product_id],Table4[cost_price])</f>
        <v>9000</v>
      </c>
      <c r="P630" s="11">
        <f>_xlfn.XLOOKUP(order[[#This Row],[order_id]],shipment[order_id],shipment[ship_date])</f>
        <v>45416</v>
      </c>
      <c r="Q630" s="11">
        <f>_xlfn.XLOOKUP(order[[#This Row],[order_id]],shipment[order_id],shipment[delivery_date])</f>
        <v>45426</v>
      </c>
      <c r="R630" s="3" t="str">
        <f>_xlfn.XLOOKUP(order[[#This Row],[order_id]],shipment[shipment_id],shipment[courier])</f>
        <v>Delhivery</v>
      </c>
      <c r="S630" s="3">
        <f>order[[#This Row],[selling_price]]-order[[#This Row],[cost_price]]*order[[#This Row],[quantity]]-order[[#This Row],[discount]]</f>
        <v>8562</v>
      </c>
      <c r="T630" s="3">
        <f>order[[#This Row],[quantity]]*order[[#This Row],[selling_price]]</f>
        <v>113415</v>
      </c>
    </row>
    <row r="631" spans="1:20" x14ac:dyDescent="0.3">
      <c r="A631">
        <v>250</v>
      </c>
      <c r="B631" s="11">
        <v>45657</v>
      </c>
      <c r="C631">
        <v>254</v>
      </c>
      <c r="D631" t="str">
        <f>_xlfn.XLOOKUP(order[[#This Row],[customer_id]],customer[customer_id],customer[customer_name])</f>
        <v>Neha Kapoor</v>
      </c>
      <c r="E631">
        <v>210</v>
      </c>
      <c r="F631">
        <v>1</v>
      </c>
      <c r="G631">
        <v>10505</v>
      </c>
      <c r="H631">
        <v>2908</v>
      </c>
      <c r="I631" t="s">
        <v>11</v>
      </c>
      <c r="J631" t="s">
        <v>12</v>
      </c>
      <c r="K631" t="str">
        <f>_xlfn.XLOOKUP(order[[#This Row],[customer_id]],customer[customer_id],customer[city])</f>
        <v>Bangalore</v>
      </c>
      <c r="L631" t="str">
        <f>_xlfn.XLOOKUP(order[[#This Row],[customer_id]],customer[customer_id],customer[state])</f>
        <v>Karnataka</v>
      </c>
      <c r="M631" t="str">
        <f>_xlfn.XLOOKUP(order[[#This Row],[product_id]],products!$A$2:$A$11,products!$B$2:$B$11)</f>
        <v>LG 43 Inch Smart TV</v>
      </c>
      <c r="N631" s="3" t="str">
        <f>_xlfn.XLOOKUP(order[[#This Row],[product_id]],products!$A$2:$A$11,products!$C$2:$C$11)</f>
        <v>Electronics</v>
      </c>
      <c r="O631" s="3">
        <f>_xlfn.XLOOKUP(order[[#This Row],[product_id]],Table4[product_id],Table4[cost_price])</f>
        <v>30000</v>
      </c>
      <c r="P631" s="11">
        <f>_xlfn.XLOOKUP(order[[#This Row],[order_id]],shipment[order_id],shipment[ship_date])</f>
        <v>45320</v>
      </c>
      <c r="Q631" s="11">
        <f>_xlfn.XLOOKUP(order[[#This Row],[order_id]],shipment[order_id],shipment[delivery_date])</f>
        <v>45321</v>
      </c>
      <c r="R631" s="3" t="str">
        <f>_xlfn.XLOOKUP(order[[#This Row],[order_id]],shipment[shipment_id],shipment[courier])</f>
        <v>DTDC</v>
      </c>
      <c r="S631" s="3">
        <f>order[[#This Row],[selling_price]]-order[[#This Row],[cost_price]]*order[[#This Row],[quantity]]-order[[#This Row],[discount]]</f>
        <v>-22403</v>
      </c>
      <c r="T631" s="3">
        <f>order[[#This Row],[quantity]]*order[[#This Row],[selling_price]]</f>
        <v>10505</v>
      </c>
    </row>
    <row r="632" spans="1:20" x14ac:dyDescent="0.3">
      <c r="A632">
        <v>966</v>
      </c>
      <c r="B632" s="11">
        <v>45433</v>
      </c>
      <c r="C632">
        <v>204</v>
      </c>
      <c r="D632" t="str">
        <f>_xlfn.XLOOKUP(order[[#This Row],[customer_id]],customer[customer_id],customer[customer_name])</f>
        <v>Meera Joshi</v>
      </c>
      <c r="E632">
        <v>210</v>
      </c>
      <c r="F632">
        <v>3</v>
      </c>
      <c r="G632">
        <v>21496</v>
      </c>
      <c r="H632">
        <v>2765</v>
      </c>
      <c r="I632" t="s">
        <v>15</v>
      </c>
      <c r="J632" t="s">
        <v>12</v>
      </c>
      <c r="K632" t="str">
        <f>_xlfn.XLOOKUP(order[[#This Row],[customer_id]],customer[customer_id],customer[city])</f>
        <v>Mumbai</v>
      </c>
      <c r="L632" t="str">
        <f>_xlfn.XLOOKUP(order[[#This Row],[customer_id]],customer[customer_id],customer[state])</f>
        <v>Maharashtra</v>
      </c>
      <c r="M632" t="str">
        <f>_xlfn.XLOOKUP(order[[#This Row],[product_id]],products!$A$2:$A$11,products!$B$2:$B$11)</f>
        <v>LG 43 Inch Smart TV</v>
      </c>
      <c r="N632" s="3" t="str">
        <f>_xlfn.XLOOKUP(order[[#This Row],[product_id]],products!$A$2:$A$11,products!$C$2:$C$11)</f>
        <v>Electronics</v>
      </c>
      <c r="O632" s="3">
        <f>_xlfn.XLOOKUP(order[[#This Row],[product_id]],Table4[product_id],Table4[cost_price])</f>
        <v>30000</v>
      </c>
      <c r="P632" s="11">
        <f>_xlfn.XLOOKUP(order[[#This Row],[order_id]],shipment[order_id],shipment[ship_date])</f>
        <v>45306</v>
      </c>
      <c r="Q632" s="11">
        <f>_xlfn.XLOOKUP(order[[#This Row],[order_id]],shipment[order_id],shipment[delivery_date])</f>
        <v>45315</v>
      </c>
      <c r="R632" s="3" t="str">
        <f>_xlfn.XLOOKUP(order[[#This Row],[order_id]],shipment[shipment_id],shipment[courier])</f>
        <v>BlueDart</v>
      </c>
      <c r="S632" s="3">
        <f>order[[#This Row],[selling_price]]-order[[#This Row],[cost_price]]*order[[#This Row],[quantity]]-order[[#This Row],[discount]]</f>
        <v>-71269</v>
      </c>
      <c r="T632" s="3">
        <f>order[[#This Row],[quantity]]*order[[#This Row],[selling_price]]</f>
        <v>64488</v>
      </c>
    </row>
    <row r="633" spans="1:20" x14ac:dyDescent="0.3">
      <c r="A633">
        <v>750</v>
      </c>
      <c r="B633" s="11">
        <v>45328</v>
      </c>
      <c r="C633">
        <v>217</v>
      </c>
      <c r="D633" t="str">
        <f>_xlfn.XLOOKUP(order[[#This Row],[customer_id]],customer[customer_id],customer[customer_name])</f>
        <v>Rahul Mehta</v>
      </c>
      <c r="E633">
        <v>210</v>
      </c>
      <c r="F633">
        <v>2</v>
      </c>
      <c r="G633">
        <v>19197</v>
      </c>
      <c r="H633">
        <v>2686</v>
      </c>
      <c r="I633" t="s">
        <v>9</v>
      </c>
      <c r="J633" t="s">
        <v>12</v>
      </c>
      <c r="K633" t="str">
        <f>_xlfn.XLOOKUP(order[[#This Row],[customer_id]],customer[customer_id],customer[city])</f>
        <v>Delhi</v>
      </c>
      <c r="L633" t="str">
        <f>_xlfn.XLOOKUP(order[[#This Row],[customer_id]],customer[customer_id],customer[state])</f>
        <v>Delhi</v>
      </c>
      <c r="M633" t="str">
        <f>_xlfn.XLOOKUP(order[[#This Row],[product_id]],products!$A$2:$A$11,products!$B$2:$B$11)</f>
        <v>LG 43 Inch Smart TV</v>
      </c>
      <c r="N633" s="3" t="str">
        <f>_xlfn.XLOOKUP(order[[#This Row],[product_id]],products!$A$2:$A$11,products!$C$2:$C$11)</f>
        <v>Electronics</v>
      </c>
      <c r="O633" s="3">
        <f>_xlfn.XLOOKUP(order[[#This Row],[product_id]],Table4[product_id],Table4[cost_price])</f>
        <v>30000</v>
      </c>
      <c r="P633" s="11">
        <f>_xlfn.XLOOKUP(order[[#This Row],[order_id]],shipment[order_id],shipment[ship_date])</f>
        <v>45378</v>
      </c>
      <c r="Q633" s="11">
        <f>_xlfn.XLOOKUP(order[[#This Row],[order_id]],shipment[order_id],shipment[delivery_date])</f>
        <v>45385</v>
      </c>
      <c r="R633" s="3" t="str">
        <f>_xlfn.XLOOKUP(order[[#This Row],[order_id]],shipment[shipment_id],shipment[courier])</f>
        <v>DTDC</v>
      </c>
      <c r="S633" s="3">
        <f>order[[#This Row],[selling_price]]-order[[#This Row],[cost_price]]*order[[#This Row],[quantity]]-order[[#This Row],[discount]]</f>
        <v>-43489</v>
      </c>
      <c r="T633" s="3">
        <f>order[[#This Row],[quantity]]*order[[#This Row],[selling_price]]</f>
        <v>38394</v>
      </c>
    </row>
    <row r="634" spans="1:20" x14ac:dyDescent="0.3">
      <c r="A634">
        <v>633</v>
      </c>
      <c r="B634" s="11">
        <v>45388</v>
      </c>
      <c r="C634">
        <v>270</v>
      </c>
      <c r="D634" t="str">
        <f>_xlfn.XLOOKUP(order[[#This Row],[customer_id]],customer[customer_id],customer[customer_name])</f>
        <v>Karan Patel</v>
      </c>
      <c r="E634">
        <v>205</v>
      </c>
      <c r="F634">
        <v>3</v>
      </c>
      <c r="G634">
        <v>42138</v>
      </c>
      <c r="H634">
        <v>1422</v>
      </c>
      <c r="I634" t="s">
        <v>15</v>
      </c>
      <c r="J634" t="s">
        <v>14</v>
      </c>
      <c r="K634" t="str">
        <f>_xlfn.XLOOKUP(order[[#This Row],[customer_id]],customer[customer_id],customer[city])</f>
        <v>Mumbai</v>
      </c>
      <c r="L634" t="str">
        <f>_xlfn.XLOOKUP(order[[#This Row],[customer_id]],customer[customer_id],customer[state])</f>
        <v>Maharashtra</v>
      </c>
      <c r="M634" t="str">
        <f>_xlfn.XLOOKUP(order[[#This Row],[product_id]],products!$A$2:$A$11,products!$B$2:$B$11)</f>
        <v>Prestige Pressure Cooker 5L</v>
      </c>
      <c r="N634" s="3" t="str">
        <f>_xlfn.XLOOKUP(order[[#This Row],[product_id]],products!$A$2:$A$11,products!$C$2:$C$11)</f>
        <v>Home &amp; Kitchen</v>
      </c>
      <c r="O634" s="3">
        <f>_xlfn.XLOOKUP(order[[#This Row],[product_id]],Table4[product_id],Table4[cost_price])</f>
        <v>1200</v>
      </c>
      <c r="P634" s="11">
        <f>_xlfn.XLOOKUP(order[[#This Row],[order_id]],shipment[order_id],shipment[ship_date])</f>
        <v>45517</v>
      </c>
      <c r="Q634" s="11">
        <f>_xlfn.XLOOKUP(order[[#This Row],[order_id]],shipment[order_id],shipment[delivery_date])</f>
        <v>45527</v>
      </c>
      <c r="R634" s="3" t="str">
        <f>_xlfn.XLOOKUP(order[[#This Row],[order_id]],shipment[shipment_id],shipment[courier])</f>
        <v>Delhivery</v>
      </c>
      <c r="S634" s="3">
        <f>order[[#This Row],[selling_price]]-order[[#This Row],[cost_price]]*order[[#This Row],[quantity]]-order[[#This Row],[discount]]</f>
        <v>37116</v>
      </c>
      <c r="T634" s="3">
        <f>order[[#This Row],[quantity]]*order[[#This Row],[selling_price]]</f>
        <v>126414</v>
      </c>
    </row>
    <row r="635" spans="1:20" x14ac:dyDescent="0.3">
      <c r="A635">
        <v>350</v>
      </c>
      <c r="B635" s="11">
        <v>45604</v>
      </c>
      <c r="C635">
        <v>147</v>
      </c>
      <c r="D635" t="str">
        <f>_xlfn.XLOOKUP(order[[#This Row],[customer_id]],customer[customer_id],customer[customer_name])</f>
        <v>Priya Reddy</v>
      </c>
      <c r="E635">
        <v>210</v>
      </c>
      <c r="F635">
        <v>3</v>
      </c>
      <c r="G635">
        <v>2579</v>
      </c>
      <c r="H635">
        <v>2647</v>
      </c>
      <c r="I635" t="s">
        <v>15</v>
      </c>
      <c r="J635" t="s">
        <v>12</v>
      </c>
      <c r="K635" t="str">
        <f>_xlfn.XLOOKUP(order[[#This Row],[customer_id]],customer[customer_id],customer[city])</f>
        <v>Delhi</v>
      </c>
      <c r="L635" t="str">
        <f>_xlfn.XLOOKUP(order[[#This Row],[customer_id]],customer[customer_id],customer[state])</f>
        <v>Delhi</v>
      </c>
      <c r="M635" t="str">
        <f>_xlfn.XLOOKUP(order[[#This Row],[product_id]],products!$A$2:$A$11,products!$B$2:$B$11)</f>
        <v>LG 43 Inch Smart TV</v>
      </c>
      <c r="N635" s="3" t="str">
        <f>_xlfn.XLOOKUP(order[[#This Row],[product_id]],products!$A$2:$A$11,products!$C$2:$C$11)</f>
        <v>Electronics</v>
      </c>
      <c r="O635" s="3">
        <f>_xlfn.XLOOKUP(order[[#This Row],[product_id]],Table4[product_id],Table4[cost_price])</f>
        <v>30000</v>
      </c>
      <c r="P635" s="11">
        <f>_xlfn.XLOOKUP(order[[#This Row],[order_id]],shipment[order_id],shipment[ship_date])</f>
        <v>45509</v>
      </c>
      <c r="Q635" s="11">
        <f>_xlfn.XLOOKUP(order[[#This Row],[order_id]],shipment[order_id],shipment[delivery_date])</f>
        <v>45510</v>
      </c>
      <c r="R635" s="3" t="str">
        <f>_xlfn.XLOOKUP(order[[#This Row],[order_id]],shipment[shipment_id],shipment[courier])</f>
        <v>BlueDart</v>
      </c>
      <c r="S635" s="3">
        <f>order[[#This Row],[selling_price]]-order[[#This Row],[cost_price]]*order[[#This Row],[quantity]]-order[[#This Row],[discount]]</f>
        <v>-90068</v>
      </c>
      <c r="T635" s="3">
        <f>order[[#This Row],[quantity]]*order[[#This Row],[selling_price]]</f>
        <v>7737</v>
      </c>
    </row>
    <row r="636" spans="1:20" x14ac:dyDescent="0.3">
      <c r="A636">
        <v>635</v>
      </c>
      <c r="B636" s="11">
        <v>45652</v>
      </c>
      <c r="C636">
        <v>291</v>
      </c>
      <c r="D636" t="str">
        <f>_xlfn.XLOOKUP(order[[#This Row],[customer_id]],customer[customer_id],customer[customer_name])</f>
        <v>Arjun Nair</v>
      </c>
      <c r="E636">
        <v>204</v>
      </c>
      <c r="F636">
        <v>2</v>
      </c>
      <c r="G636">
        <v>53679</v>
      </c>
      <c r="H636">
        <v>292</v>
      </c>
      <c r="I636" t="s">
        <v>13</v>
      </c>
      <c r="J636" t="s">
        <v>12</v>
      </c>
      <c r="K636" t="str">
        <f>_xlfn.XLOOKUP(order[[#This Row],[customer_id]],customer[customer_id],customer[city])</f>
        <v>Mumbai</v>
      </c>
      <c r="L636" t="str">
        <f>_xlfn.XLOOKUP(order[[#This Row],[customer_id]],customer[customer_id],customer[state])</f>
        <v>Maharashtra</v>
      </c>
      <c r="M636" t="str">
        <f>_xlfn.XLOOKUP(order[[#This Row],[product_id]],products!$A$2:$A$11,products!$B$2:$B$11)</f>
        <v>Levi's Slim Fit Jeans</v>
      </c>
      <c r="N636" s="3" t="str">
        <f>_xlfn.XLOOKUP(order[[#This Row],[product_id]],products!$A$2:$A$11,products!$C$2:$C$11)</f>
        <v>Fashion</v>
      </c>
      <c r="O636" s="3">
        <f>_xlfn.XLOOKUP(order[[#This Row],[product_id]],Table4[product_id],Table4[cost_price])</f>
        <v>1800</v>
      </c>
      <c r="P636" s="11">
        <f>_xlfn.XLOOKUP(order[[#This Row],[order_id]],shipment[order_id],shipment[ship_date])</f>
        <v>45356</v>
      </c>
      <c r="Q636" s="11">
        <f>_xlfn.XLOOKUP(order[[#This Row],[order_id]],shipment[order_id],shipment[delivery_date])</f>
        <v>45361</v>
      </c>
      <c r="R636" s="3" t="str">
        <f>_xlfn.XLOOKUP(order[[#This Row],[order_id]],shipment[shipment_id],shipment[courier])</f>
        <v>Delhivery</v>
      </c>
      <c r="S636" s="3">
        <f>order[[#This Row],[selling_price]]-order[[#This Row],[cost_price]]*order[[#This Row],[quantity]]-order[[#This Row],[discount]]</f>
        <v>49787</v>
      </c>
      <c r="T636" s="3">
        <f>order[[#This Row],[quantity]]*order[[#This Row],[selling_price]]</f>
        <v>107358</v>
      </c>
    </row>
    <row r="637" spans="1:20" x14ac:dyDescent="0.3">
      <c r="A637">
        <v>111</v>
      </c>
      <c r="B637" s="11">
        <v>45488</v>
      </c>
      <c r="C637">
        <v>232</v>
      </c>
      <c r="D637" t="str">
        <f>_xlfn.XLOOKUP(order[[#This Row],[customer_id]],customer[customer_id],customer[customer_name])</f>
        <v>Vikram Singh</v>
      </c>
      <c r="E637">
        <v>210</v>
      </c>
      <c r="F637">
        <v>2</v>
      </c>
      <c r="G637">
        <v>18762</v>
      </c>
      <c r="H637">
        <v>2470</v>
      </c>
      <c r="I637" t="s">
        <v>11</v>
      </c>
      <c r="J637" t="s">
        <v>10</v>
      </c>
      <c r="K637" t="str">
        <f>_xlfn.XLOOKUP(order[[#This Row],[customer_id]],customer[customer_id],customer[city])</f>
        <v>Chennai</v>
      </c>
      <c r="L637" t="str">
        <f>_xlfn.XLOOKUP(order[[#This Row],[customer_id]],customer[customer_id],customer[state])</f>
        <v>Tamil Nadu</v>
      </c>
      <c r="M637" t="str">
        <f>_xlfn.XLOOKUP(order[[#This Row],[product_id]],products!$A$2:$A$11,products!$B$2:$B$11)</f>
        <v>LG 43 Inch Smart TV</v>
      </c>
      <c r="N637" s="3" t="str">
        <f>_xlfn.XLOOKUP(order[[#This Row],[product_id]],products!$A$2:$A$11,products!$C$2:$C$11)</f>
        <v>Electronics</v>
      </c>
      <c r="O637" s="3">
        <f>_xlfn.XLOOKUP(order[[#This Row],[product_id]],Table4[product_id],Table4[cost_price])</f>
        <v>30000</v>
      </c>
      <c r="P637" s="11">
        <f>_xlfn.XLOOKUP(order[[#This Row],[order_id]],shipment[order_id],shipment[ship_date])</f>
        <v>45302</v>
      </c>
      <c r="Q637" s="11">
        <f>_xlfn.XLOOKUP(order[[#This Row],[order_id]],shipment[order_id],shipment[delivery_date])</f>
        <v>45312</v>
      </c>
      <c r="R637" s="3" t="str">
        <f>_xlfn.XLOOKUP(order[[#This Row],[order_id]],shipment[shipment_id],shipment[courier])</f>
        <v>BlueDart</v>
      </c>
      <c r="S637" s="3">
        <f>order[[#This Row],[selling_price]]-order[[#This Row],[cost_price]]*order[[#This Row],[quantity]]-order[[#This Row],[discount]]</f>
        <v>-43708</v>
      </c>
      <c r="T637" s="3">
        <f>order[[#This Row],[quantity]]*order[[#This Row],[selling_price]]</f>
        <v>37524</v>
      </c>
    </row>
    <row r="638" spans="1:20" x14ac:dyDescent="0.3">
      <c r="A638">
        <v>637</v>
      </c>
      <c r="B638" s="11">
        <v>45375</v>
      </c>
      <c r="C638">
        <v>221</v>
      </c>
      <c r="D638" t="str">
        <f>_xlfn.XLOOKUP(order[[#This Row],[customer_id]],customer[customer_id],customer[customer_name])</f>
        <v>Manish Yadav</v>
      </c>
      <c r="E638">
        <v>204</v>
      </c>
      <c r="F638">
        <v>1</v>
      </c>
      <c r="G638">
        <v>44152</v>
      </c>
      <c r="H638">
        <v>693</v>
      </c>
      <c r="I638" t="s">
        <v>15</v>
      </c>
      <c r="J638" t="s">
        <v>14</v>
      </c>
      <c r="K638" t="str">
        <f>_xlfn.XLOOKUP(order[[#This Row],[customer_id]],customer[customer_id],customer[city])</f>
        <v>Bangalore</v>
      </c>
      <c r="L638" t="str">
        <f>_xlfn.XLOOKUP(order[[#This Row],[customer_id]],customer[customer_id],customer[state])</f>
        <v>Karnataka</v>
      </c>
      <c r="M638" t="str">
        <f>_xlfn.XLOOKUP(order[[#This Row],[product_id]],products!$A$2:$A$11,products!$B$2:$B$11)</f>
        <v>Levi's Slim Fit Jeans</v>
      </c>
      <c r="N638" s="3" t="str">
        <f>_xlfn.XLOOKUP(order[[#This Row],[product_id]],products!$A$2:$A$11,products!$C$2:$C$11)</f>
        <v>Fashion</v>
      </c>
      <c r="O638" s="3">
        <f>_xlfn.XLOOKUP(order[[#This Row],[product_id]],Table4[product_id],Table4[cost_price])</f>
        <v>1800</v>
      </c>
      <c r="P638" s="11">
        <f>_xlfn.XLOOKUP(order[[#This Row],[order_id]],shipment[order_id],shipment[ship_date])</f>
        <v>45469</v>
      </c>
      <c r="Q638" s="11">
        <f>_xlfn.XLOOKUP(order[[#This Row],[order_id]],shipment[order_id],shipment[delivery_date])</f>
        <v>45476</v>
      </c>
      <c r="R638" s="3" t="str">
        <f>_xlfn.XLOOKUP(order[[#This Row],[order_id]],shipment[shipment_id],shipment[courier])</f>
        <v>BlueDart</v>
      </c>
      <c r="S638" s="3">
        <f>order[[#This Row],[selling_price]]-order[[#This Row],[cost_price]]*order[[#This Row],[quantity]]-order[[#This Row],[discount]]</f>
        <v>41659</v>
      </c>
      <c r="T638" s="3">
        <f>order[[#This Row],[quantity]]*order[[#This Row],[selling_price]]</f>
        <v>44152</v>
      </c>
    </row>
    <row r="639" spans="1:20" x14ac:dyDescent="0.3">
      <c r="A639">
        <v>638</v>
      </c>
      <c r="B639" s="11">
        <v>45374</v>
      </c>
      <c r="C639">
        <v>282</v>
      </c>
      <c r="D639" t="str">
        <f>_xlfn.XLOOKUP(order[[#This Row],[customer_id]],customer[customer_id],customer[customer_name])</f>
        <v>Siddharth Jain</v>
      </c>
      <c r="E639">
        <v>209</v>
      </c>
      <c r="F639">
        <v>2</v>
      </c>
      <c r="G639">
        <v>54342</v>
      </c>
      <c r="H639">
        <v>1102</v>
      </c>
      <c r="I639" t="s">
        <v>9</v>
      </c>
      <c r="J639" t="s">
        <v>12</v>
      </c>
      <c r="K639" t="str">
        <f>_xlfn.XLOOKUP(order[[#This Row],[customer_id]],customer[customer_id],customer[city])</f>
        <v>Delhi</v>
      </c>
      <c r="L639" t="str">
        <f>_xlfn.XLOOKUP(order[[#This Row],[customer_id]],customer[customer_id],customer[state])</f>
        <v>Delhi</v>
      </c>
      <c r="M639" t="str">
        <f>_xlfn.XLOOKUP(order[[#This Row],[product_id]],products!$A$2:$A$11,products!$B$2:$B$11)</f>
        <v>Milton Thermosteel Bottle</v>
      </c>
      <c r="N639" s="3" t="str">
        <f>_xlfn.XLOOKUP(order[[#This Row],[product_id]],products!$A$2:$A$11,products!$C$2:$C$11)</f>
        <v>Home &amp; Kitchen</v>
      </c>
      <c r="O639" s="3">
        <f>_xlfn.XLOOKUP(order[[#This Row],[product_id]],Table4[product_id],Table4[cost_price])</f>
        <v>800</v>
      </c>
      <c r="P639" s="11">
        <f>_xlfn.XLOOKUP(order[[#This Row],[order_id]],shipment[order_id],shipment[ship_date])</f>
        <v>45629</v>
      </c>
      <c r="Q639" s="11">
        <f>_xlfn.XLOOKUP(order[[#This Row],[order_id]],shipment[order_id],shipment[delivery_date])</f>
        <v>45635</v>
      </c>
      <c r="R639" s="3" t="str">
        <f>_xlfn.XLOOKUP(order[[#This Row],[order_id]],shipment[shipment_id],shipment[courier])</f>
        <v>Delhivery</v>
      </c>
      <c r="S639" s="3">
        <f>order[[#This Row],[selling_price]]-order[[#This Row],[cost_price]]*order[[#This Row],[quantity]]-order[[#This Row],[discount]]</f>
        <v>51640</v>
      </c>
      <c r="T639" s="3">
        <f>order[[#This Row],[quantity]]*order[[#This Row],[selling_price]]</f>
        <v>108684</v>
      </c>
    </row>
    <row r="640" spans="1:20" x14ac:dyDescent="0.3">
      <c r="A640">
        <v>639</v>
      </c>
      <c r="B640" s="11">
        <v>45607</v>
      </c>
      <c r="C640">
        <v>109</v>
      </c>
      <c r="D640" t="str">
        <f>_xlfn.XLOOKUP(order[[#This Row],[customer_id]],customer[customer_id],customer[customer_name])</f>
        <v>Sneha Iyer</v>
      </c>
      <c r="E640">
        <v>205</v>
      </c>
      <c r="F640">
        <v>4</v>
      </c>
      <c r="G640">
        <v>11697</v>
      </c>
      <c r="H640">
        <v>2432</v>
      </c>
      <c r="I640" t="s">
        <v>15</v>
      </c>
      <c r="J640" t="s">
        <v>10</v>
      </c>
      <c r="K640" t="str">
        <f>_xlfn.XLOOKUP(order[[#This Row],[customer_id]],customer[customer_id],customer[city])</f>
        <v>Hyderabad</v>
      </c>
      <c r="L640" t="str">
        <f>_xlfn.XLOOKUP(order[[#This Row],[customer_id]],customer[customer_id],customer[state])</f>
        <v>Telangana</v>
      </c>
      <c r="M640" t="str">
        <f>_xlfn.XLOOKUP(order[[#This Row],[product_id]],products!$A$2:$A$11,products!$B$2:$B$11)</f>
        <v>Prestige Pressure Cooker 5L</v>
      </c>
      <c r="N640" s="3" t="str">
        <f>_xlfn.XLOOKUP(order[[#This Row],[product_id]],products!$A$2:$A$11,products!$C$2:$C$11)</f>
        <v>Home &amp; Kitchen</v>
      </c>
      <c r="O640" s="3">
        <f>_xlfn.XLOOKUP(order[[#This Row],[product_id]],Table4[product_id],Table4[cost_price])</f>
        <v>1200</v>
      </c>
      <c r="P640" s="11">
        <f>_xlfn.XLOOKUP(order[[#This Row],[order_id]],shipment[order_id],shipment[ship_date])</f>
        <v>45625</v>
      </c>
      <c r="Q640" s="11">
        <f>_xlfn.XLOOKUP(order[[#This Row],[order_id]],shipment[order_id],shipment[delivery_date])</f>
        <v>45634</v>
      </c>
      <c r="R640" s="3" t="str">
        <f>_xlfn.XLOOKUP(order[[#This Row],[order_id]],shipment[shipment_id],shipment[courier])</f>
        <v>Ekart</v>
      </c>
      <c r="S640" s="3">
        <f>order[[#This Row],[selling_price]]-order[[#This Row],[cost_price]]*order[[#This Row],[quantity]]-order[[#This Row],[discount]]</f>
        <v>4465</v>
      </c>
      <c r="T640" s="3">
        <f>order[[#This Row],[quantity]]*order[[#This Row],[selling_price]]</f>
        <v>46788</v>
      </c>
    </row>
    <row r="641" spans="1:20" x14ac:dyDescent="0.3">
      <c r="A641">
        <v>640</v>
      </c>
      <c r="B641" s="11">
        <v>45537</v>
      </c>
      <c r="C641">
        <v>225</v>
      </c>
      <c r="D641" t="str">
        <f>_xlfn.XLOOKUP(order[[#This Row],[customer_id]],customer[customer_id],customer[customer_name])</f>
        <v>Aarav Sharma</v>
      </c>
      <c r="E641">
        <v>203</v>
      </c>
      <c r="F641">
        <v>3</v>
      </c>
      <c r="G641">
        <v>27469</v>
      </c>
      <c r="H641">
        <v>944</v>
      </c>
      <c r="I641" t="s">
        <v>9</v>
      </c>
      <c r="J641" t="s">
        <v>14</v>
      </c>
      <c r="K641" t="str">
        <f>_xlfn.XLOOKUP(order[[#This Row],[customer_id]],customer[customer_id],customer[city])</f>
        <v>Bangalore</v>
      </c>
      <c r="L641" t="str">
        <f>_xlfn.XLOOKUP(order[[#This Row],[customer_id]],customer[customer_id],customer[state])</f>
        <v>Karnataka</v>
      </c>
      <c r="M641" t="str">
        <f>_xlfn.XLOOKUP(order[[#This Row],[product_id]],products!$A$2:$A$11,products!$B$2:$B$11)</f>
        <v>Nike Air Max Shoes</v>
      </c>
      <c r="N641" s="3" t="str">
        <f>_xlfn.XLOOKUP(order[[#This Row],[product_id]],products!$A$2:$A$11,products!$C$2:$C$11)</f>
        <v>Fashion</v>
      </c>
      <c r="O641" s="3">
        <f>_xlfn.XLOOKUP(order[[#This Row],[product_id]],Table4[product_id],Table4[cost_price])</f>
        <v>4000</v>
      </c>
      <c r="P641" s="11">
        <f>_xlfn.XLOOKUP(order[[#This Row],[order_id]],shipment[order_id],shipment[ship_date])</f>
        <v>45550</v>
      </c>
      <c r="Q641" s="11">
        <f>_xlfn.XLOOKUP(order[[#This Row],[order_id]],shipment[order_id],shipment[delivery_date])</f>
        <v>45560</v>
      </c>
      <c r="R641" s="3" t="str">
        <f>_xlfn.XLOOKUP(order[[#This Row],[order_id]],shipment[shipment_id],shipment[courier])</f>
        <v>BlueDart</v>
      </c>
      <c r="S641" s="3">
        <f>order[[#This Row],[selling_price]]-order[[#This Row],[cost_price]]*order[[#This Row],[quantity]]-order[[#This Row],[discount]]</f>
        <v>14525</v>
      </c>
      <c r="T641" s="3">
        <f>order[[#This Row],[quantity]]*order[[#This Row],[selling_price]]</f>
        <v>82407</v>
      </c>
    </row>
    <row r="642" spans="1:20" x14ac:dyDescent="0.3">
      <c r="A642">
        <v>641</v>
      </c>
      <c r="B642" s="11">
        <v>45361</v>
      </c>
      <c r="C642">
        <v>159</v>
      </c>
      <c r="D642" t="str">
        <f>_xlfn.XLOOKUP(order[[#This Row],[customer_id]],customer[customer_id],customer[customer_name])</f>
        <v>Neha Kapoor</v>
      </c>
      <c r="E642">
        <v>203</v>
      </c>
      <c r="F642">
        <v>1</v>
      </c>
      <c r="G642">
        <v>20382</v>
      </c>
      <c r="H642">
        <v>2617</v>
      </c>
      <c r="I642" t="s">
        <v>11</v>
      </c>
      <c r="J642" t="s">
        <v>10</v>
      </c>
      <c r="K642" t="str">
        <f>_xlfn.XLOOKUP(order[[#This Row],[customer_id]],customer[customer_id],customer[city])</f>
        <v>Ahmedabad</v>
      </c>
      <c r="L642" t="str">
        <f>_xlfn.XLOOKUP(order[[#This Row],[customer_id]],customer[customer_id],customer[state])</f>
        <v>Gujarat</v>
      </c>
      <c r="M642" t="str">
        <f>_xlfn.XLOOKUP(order[[#This Row],[product_id]],products!$A$2:$A$11,products!$B$2:$B$11)</f>
        <v>Nike Air Max Shoes</v>
      </c>
      <c r="N642" s="3" t="str">
        <f>_xlfn.XLOOKUP(order[[#This Row],[product_id]],products!$A$2:$A$11,products!$C$2:$C$11)</f>
        <v>Fashion</v>
      </c>
      <c r="O642" s="3">
        <f>_xlfn.XLOOKUP(order[[#This Row],[product_id]],Table4[product_id],Table4[cost_price])</f>
        <v>4000</v>
      </c>
      <c r="P642" s="11">
        <f>_xlfn.XLOOKUP(order[[#This Row],[order_id]],shipment[order_id],shipment[ship_date])</f>
        <v>45518</v>
      </c>
      <c r="Q642" s="11">
        <f>_xlfn.XLOOKUP(order[[#This Row],[order_id]],shipment[order_id],shipment[delivery_date])</f>
        <v>45522</v>
      </c>
      <c r="R642" s="3" t="str">
        <f>_xlfn.XLOOKUP(order[[#This Row],[order_id]],shipment[shipment_id],shipment[courier])</f>
        <v>BlueDart</v>
      </c>
      <c r="S642" s="3">
        <f>order[[#This Row],[selling_price]]-order[[#This Row],[cost_price]]*order[[#This Row],[quantity]]-order[[#This Row],[discount]]</f>
        <v>13765</v>
      </c>
      <c r="T642" s="3">
        <f>order[[#This Row],[quantity]]*order[[#This Row],[selling_price]]</f>
        <v>20382</v>
      </c>
    </row>
    <row r="643" spans="1:20" x14ac:dyDescent="0.3">
      <c r="A643">
        <v>642</v>
      </c>
      <c r="B643" s="11">
        <v>45605</v>
      </c>
      <c r="C643">
        <v>223</v>
      </c>
      <c r="D643" t="str">
        <f>_xlfn.XLOOKUP(order[[#This Row],[customer_id]],customer[customer_id],customer[customer_name])</f>
        <v>Manish Yadav</v>
      </c>
      <c r="E643">
        <v>208</v>
      </c>
      <c r="F643">
        <v>2</v>
      </c>
      <c r="G643">
        <v>22583</v>
      </c>
      <c r="H643">
        <v>1871</v>
      </c>
      <c r="I643" t="s">
        <v>11</v>
      </c>
      <c r="J643" t="s">
        <v>14</v>
      </c>
      <c r="K643" t="str">
        <f>_xlfn.XLOOKUP(order[[#This Row],[customer_id]],customer[customer_id],customer[city])</f>
        <v>Delhi</v>
      </c>
      <c r="L643" t="str">
        <f>_xlfn.XLOOKUP(order[[#This Row],[customer_id]],customer[customer_id],customer[state])</f>
        <v>Delhi</v>
      </c>
      <c r="M643" t="str">
        <f>_xlfn.XLOOKUP(order[[#This Row],[product_id]],products!$A$2:$A$11,products!$B$2:$B$11)</f>
        <v>Adidas Ultraboost Shoes</v>
      </c>
      <c r="N643" s="3" t="str">
        <f>_xlfn.XLOOKUP(order[[#This Row],[product_id]],products!$A$2:$A$11,products!$C$2:$C$11)</f>
        <v>Fashion</v>
      </c>
      <c r="O643" s="3">
        <f>_xlfn.XLOOKUP(order[[#This Row],[product_id]],Table4[product_id],Table4[cost_price])</f>
        <v>9000</v>
      </c>
      <c r="P643" s="11">
        <f>_xlfn.XLOOKUP(order[[#This Row],[order_id]],shipment[order_id],shipment[ship_date])</f>
        <v>45442</v>
      </c>
      <c r="Q643" s="11">
        <f>_xlfn.XLOOKUP(order[[#This Row],[order_id]],shipment[order_id],shipment[delivery_date])</f>
        <v>45445</v>
      </c>
      <c r="R643" s="3" t="str">
        <f>_xlfn.XLOOKUP(order[[#This Row],[order_id]],shipment[shipment_id],shipment[courier])</f>
        <v>DTDC</v>
      </c>
      <c r="S643" s="3">
        <f>order[[#This Row],[selling_price]]-order[[#This Row],[cost_price]]*order[[#This Row],[quantity]]-order[[#This Row],[discount]]</f>
        <v>2712</v>
      </c>
      <c r="T643" s="3">
        <f>order[[#This Row],[quantity]]*order[[#This Row],[selling_price]]</f>
        <v>45166</v>
      </c>
    </row>
    <row r="644" spans="1:20" x14ac:dyDescent="0.3">
      <c r="A644">
        <v>634</v>
      </c>
      <c r="B644" s="11">
        <v>45418</v>
      </c>
      <c r="C644">
        <v>134</v>
      </c>
      <c r="D644" t="str">
        <f>_xlfn.XLOOKUP(order[[#This Row],[customer_id]],customer[customer_id],customer[customer_name])</f>
        <v>Rohit Verma</v>
      </c>
      <c r="E644">
        <v>210</v>
      </c>
      <c r="F644">
        <v>2</v>
      </c>
      <c r="G644">
        <v>5383</v>
      </c>
      <c r="H644">
        <v>2417</v>
      </c>
      <c r="I644" t="s">
        <v>13</v>
      </c>
      <c r="J644" t="s">
        <v>14</v>
      </c>
      <c r="K644" t="str">
        <f>_xlfn.XLOOKUP(order[[#This Row],[customer_id]],customer[customer_id],customer[city])</f>
        <v>Hyderabad</v>
      </c>
      <c r="L644" t="str">
        <f>_xlfn.XLOOKUP(order[[#This Row],[customer_id]],customer[customer_id],customer[state])</f>
        <v>Telangana</v>
      </c>
      <c r="M644" t="str">
        <f>_xlfn.XLOOKUP(order[[#This Row],[product_id]],products!$A$2:$A$11,products!$B$2:$B$11)</f>
        <v>LG 43 Inch Smart TV</v>
      </c>
      <c r="N644" s="3" t="str">
        <f>_xlfn.XLOOKUP(order[[#This Row],[product_id]],products!$A$2:$A$11,products!$C$2:$C$11)</f>
        <v>Electronics</v>
      </c>
      <c r="O644" s="3">
        <f>_xlfn.XLOOKUP(order[[#This Row],[product_id]],Table4[product_id],Table4[cost_price])</f>
        <v>30000</v>
      </c>
      <c r="P644" s="11">
        <f>_xlfn.XLOOKUP(order[[#This Row],[order_id]],shipment[order_id],shipment[ship_date])</f>
        <v>45454</v>
      </c>
      <c r="Q644" s="11">
        <f>_xlfn.XLOOKUP(order[[#This Row],[order_id]],shipment[order_id],shipment[delivery_date])</f>
        <v>45457</v>
      </c>
      <c r="R644" s="3" t="str">
        <f>_xlfn.XLOOKUP(order[[#This Row],[order_id]],shipment[shipment_id],shipment[courier])</f>
        <v>BlueDart</v>
      </c>
      <c r="S644" s="3">
        <f>order[[#This Row],[selling_price]]-order[[#This Row],[cost_price]]*order[[#This Row],[quantity]]-order[[#This Row],[discount]]</f>
        <v>-57034</v>
      </c>
      <c r="T644" s="3">
        <f>order[[#This Row],[quantity]]*order[[#This Row],[selling_price]]</f>
        <v>10766</v>
      </c>
    </row>
    <row r="645" spans="1:20" x14ac:dyDescent="0.3">
      <c r="A645">
        <v>644</v>
      </c>
      <c r="B645" s="11">
        <v>45396</v>
      </c>
      <c r="C645">
        <v>179</v>
      </c>
      <c r="D645" t="str">
        <f>_xlfn.XLOOKUP(order[[#This Row],[customer_id]],customer[customer_id],customer[customer_name])</f>
        <v>Ananya Gupta</v>
      </c>
      <c r="E645">
        <v>205</v>
      </c>
      <c r="F645">
        <v>1</v>
      </c>
      <c r="G645">
        <v>67364</v>
      </c>
      <c r="H645">
        <v>4811</v>
      </c>
      <c r="I645" t="s">
        <v>15</v>
      </c>
      <c r="J645" t="s">
        <v>14</v>
      </c>
      <c r="K645" t="str">
        <f>_xlfn.XLOOKUP(order[[#This Row],[customer_id]],customer[customer_id],customer[city])</f>
        <v>Hyderabad</v>
      </c>
      <c r="L645" t="str">
        <f>_xlfn.XLOOKUP(order[[#This Row],[customer_id]],customer[customer_id],customer[state])</f>
        <v>Telangana</v>
      </c>
      <c r="M645" t="str">
        <f>_xlfn.XLOOKUP(order[[#This Row],[product_id]],products!$A$2:$A$11,products!$B$2:$B$11)</f>
        <v>Prestige Pressure Cooker 5L</v>
      </c>
      <c r="N645" s="3" t="str">
        <f>_xlfn.XLOOKUP(order[[#This Row],[product_id]],products!$A$2:$A$11,products!$C$2:$C$11)</f>
        <v>Home &amp; Kitchen</v>
      </c>
      <c r="O645" s="3">
        <f>_xlfn.XLOOKUP(order[[#This Row],[product_id]],Table4[product_id],Table4[cost_price])</f>
        <v>1200</v>
      </c>
      <c r="P645" s="11">
        <f>_xlfn.XLOOKUP(order[[#This Row],[order_id]],shipment[order_id],shipment[ship_date])</f>
        <v>45513</v>
      </c>
      <c r="Q645" s="11">
        <f>_xlfn.XLOOKUP(order[[#This Row],[order_id]],shipment[order_id],shipment[delivery_date])</f>
        <v>45516</v>
      </c>
      <c r="R645" s="3" t="str">
        <f>_xlfn.XLOOKUP(order[[#This Row],[order_id]],shipment[shipment_id],shipment[courier])</f>
        <v>BlueDart</v>
      </c>
      <c r="S645" s="3">
        <f>order[[#This Row],[selling_price]]-order[[#This Row],[cost_price]]*order[[#This Row],[quantity]]-order[[#This Row],[discount]]</f>
        <v>61353</v>
      </c>
      <c r="T645" s="3">
        <f>order[[#This Row],[quantity]]*order[[#This Row],[selling_price]]</f>
        <v>67364</v>
      </c>
    </row>
    <row r="646" spans="1:20" x14ac:dyDescent="0.3">
      <c r="A646">
        <v>475</v>
      </c>
      <c r="B646" s="11">
        <v>45393</v>
      </c>
      <c r="C646">
        <v>213</v>
      </c>
      <c r="D646" t="str">
        <f>_xlfn.XLOOKUP(order[[#This Row],[customer_id]],customer[customer_id],customer[customer_name])</f>
        <v>Arjun Nair</v>
      </c>
      <c r="E646">
        <v>210</v>
      </c>
      <c r="F646">
        <v>4</v>
      </c>
      <c r="G646">
        <v>32354</v>
      </c>
      <c r="H646">
        <v>2412</v>
      </c>
      <c r="I646" t="s">
        <v>13</v>
      </c>
      <c r="J646" t="s">
        <v>14</v>
      </c>
      <c r="K646" t="str">
        <f>_xlfn.XLOOKUP(order[[#This Row],[customer_id]],customer[customer_id],customer[city])</f>
        <v>Ahmedabad</v>
      </c>
      <c r="L646" t="str">
        <f>_xlfn.XLOOKUP(order[[#This Row],[customer_id]],customer[customer_id],customer[state])</f>
        <v>Gujarat</v>
      </c>
      <c r="M646" t="str">
        <f>_xlfn.XLOOKUP(order[[#This Row],[product_id]],products!$A$2:$A$11,products!$B$2:$B$11)</f>
        <v>LG 43 Inch Smart TV</v>
      </c>
      <c r="N646" s="3" t="str">
        <f>_xlfn.XLOOKUP(order[[#This Row],[product_id]],products!$A$2:$A$11,products!$C$2:$C$11)</f>
        <v>Electronics</v>
      </c>
      <c r="O646" s="3">
        <f>_xlfn.XLOOKUP(order[[#This Row],[product_id]],Table4[product_id],Table4[cost_price])</f>
        <v>30000</v>
      </c>
      <c r="P646" s="11">
        <f>_xlfn.XLOOKUP(order[[#This Row],[order_id]],shipment[order_id],shipment[ship_date])</f>
        <v>45598</v>
      </c>
      <c r="Q646" s="11">
        <f>_xlfn.XLOOKUP(order[[#This Row],[order_id]],shipment[order_id],shipment[delivery_date])</f>
        <v>45600</v>
      </c>
      <c r="R646" s="3" t="str">
        <f>_xlfn.XLOOKUP(order[[#This Row],[order_id]],shipment[shipment_id],shipment[courier])</f>
        <v>BlueDart</v>
      </c>
      <c r="S646" s="3">
        <f>order[[#This Row],[selling_price]]-order[[#This Row],[cost_price]]*order[[#This Row],[quantity]]-order[[#This Row],[discount]]</f>
        <v>-90058</v>
      </c>
      <c r="T646" s="3">
        <f>order[[#This Row],[quantity]]*order[[#This Row],[selling_price]]</f>
        <v>129416</v>
      </c>
    </row>
    <row r="647" spans="1:20" x14ac:dyDescent="0.3">
      <c r="A647">
        <v>646</v>
      </c>
      <c r="B647" s="11">
        <v>45410</v>
      </c>
      <c r="C647">
        <v>295</v>
      </c>
      <c r="D647" t="str">
        <f>_xlfn.XLOOKUP(order[[#This Row],[customer_id]],customer[customer_id],customer[customer_name])</f>
        <v>Aarav Sharma</v>
      </c>
      <c r="E647">
        <v>204</v>
      </c>
      <c r="F647">
        <v>1</v>
      </c>
      <c r="G647">
        <v>5630</v>
      </c>
      <c r="H647">
        <v>1652</v>
      </c>
      <c r="I647" t="s">
        <v>11</v>
      </c>
      <c r="J647" t="s">
        <v>12</v>
      </c>
      <c r="K647" t="str">
        <f>_xlfn.XLOOKUP(order[[#This Row],[customer_id]],customer[customer_id],customer[city])</f>
        <v>Chennai</v>
      </c>
      <c r="L647" t="str">
        <f>_xlfn.XLOOKUP(order[[#This Row],[customer_id]],customer[customer_id],customer[state])</f>
        <v>Tamil Nadu</v>
      </c>
      <c r="M647" t="str">
        <f>_xlfn.XLOOKUP(order[[#This Row],[product_id]],products!$A$2:$A$11,products!$B$2:$B$11)</f>
        <v>Levi's Slim Fit Jeans</v>
      </c>
      <c r="N647" s="3" t="str">
        <f>_xlfn.XLOOKUP(order[[#This Row],[product_id]],products!$A$2:$A$11,products!$C$2:$C$11)</f>
        <v>Fashion</v>
      </c>
      <c r="O647" s="3">
        <f>_xlfn.XLOOKUP(order[[#This Row],[product_id]],Table4[product_id],Table4[cost_price])</f>
        <v>1800</v>
      </c>
      <c r="P647" s="11">
        <f>_xlfn.XLOOKUP(order[[#This Row],[order_id]],shipment[order_id],shipment[ship_date])</f>
        <v>45489</v>
      </c>
      <c r="Q647" s="11">
        <f>_xlfn.XLOOKUP(order[[#This Row],[order_id]],shipment[order_id],shipment[delivery_date])</f>
        <v>45493</v>
      </c>
      <c r="R647" s="3" t="str">
        <f>_xlfn.XLOOKUP(order[[#This Row],[order_id]],shipment[shipment_id],shipment[courier])</f>
        <v>DTDC</v>
      </c>
      <c r="S647" s="3">
        <f>order[[#This Row],[selling_price]]-order[[#This Row],[cost_price]]*order[[#This Row],[quantity]]-order[[#This Row],[discount]]</f>
        <v>2178</v>
      </c>
      <c r="T647" s="3">
        <f>order[[#This Row],[quantity]]*order[[#This Row],[selling_price]]</f>
        <v>5630</v>
      </c>
    </row>
    <row r="648" spans="1:20" x14ac:dyDescent="0.3">
      <c r="A648">
        <v>647</v>
      </c>
      <c r="B648" s="11">
        <v>45473</v>
      </c>
      <c r="C648">
        <v>283</v>
      </c>
      <c r="D648" t="str">
        <f>_xlfn.XLOOKUP(order[[#This Row],[customer_id]],customer[customer_id],customer[customer_name])</f>
        <v>Neha Kapoor</v>
      </c>
      <c r="E648">
        <v>208</v>
      </c>
      <c r="F648">
        <v>2</v>
      </c>
      <c r="G648">
        <v>37609</v>
      </c>
      <c r="H648">
        <v>4193</v>
      </c>
      <c r="I648" t="s">
        <v>9</v>
      </c>
      <c r="J648" t="s">
        <v>10</v>
      </c>
      <c r="K648" t="str">
        <f>_xlfn.XLOOKUP(order[[#This Row],[customer_id]],customer[customer_id],customer[city])</f>
        <v>Ahmedabad</v>
      </c>
      <c r="L648" t="str">
        <f>_xlfn.XLOOKUP(order[[#This Row],[customer_id]],customer[customer_id],customer[state])</f>
        <v>Gujarat</v>
      </c>
      <c r="M648" t="str">
        <f>_xlfn.XLOOKUP(order[[#This Row],[product_id]],products!$A$2:$A$11,products!$B$2:$B$11)</f>
        <v>Adidas Ultraboost Shoes</v>
      </c>
      <c r="N648" s="3" t="str">
        <f>_xlfn.XLOOKUP(order[[#This Row],[product_id]],products!$A$2:$A$11,products!$C$2:$C$11)</f>
        <v>Fashion</v>
      </c>
      <c r="O648" s="3">
        <f>_xlfn.XLOOKUP(order[[#This Row],[product_id]],Table4[product_id],Table4[cost_price])</f>
        <v>9000</v>
      </c>
      <c r="P648" s="11">
        <f>_xlfn.XLOOKUP(order[[#This Row],[order_id]],shipment[order_id],shipment[ship_date])</f>
        <v>45391</v>
      </c>
      <c r="Q648" s="11">
        <f>_xlfn.XLOOKUP(order[[#This Row],[order_id]],shipment[order_id],shipment[delivery_date])</f>
        <v>45399</v>
      </c>
      <c r="R648" s="3" t="str">
        <f>_xlfn.XLOOKUP(order[[#This Row],[order_id]],shipment[shipment_id],shipment[courier])</f>
        <v>Delhivery</v>
      </c>
      <c r="S648" s="3">
        <f>order[[#This Row],[selling_price]]-order[[#This Row],[cost_price]]*order[[#This Row],[quantity]]-order[[#This Row],[discount]]</f>
        <v>15416</v>
      </c>
      <c r="T648" s="3">
        <f>order[[#This Row],[quantity]]*order[[#This Row],[selling_price]]</f>
        <v>75218</v>
      </c>
    </row>
    <row r="649" spans="1:20" x14ac:dyDescent="0.3">
      <c r="A649">
        <v>737</v>
      </c>
      <c r="B649" s="11">
        <v>45338</v>
      </c>
      <c r="C649">
        <v>297</v>
      </c>
      <c r="D649" t="str">
        <f>_xlfn.XLOOKUP(order[[#This Row],[customer_id]],customer[customer_id],customer[customer_name])</f>
        <v>Meera Joshi</v>
      </c>
      <c r="E649">
        <v>210</v>
      </c>
      <c r="F649">
        <v>3</v>
      </c>
      <c r="G649">
        <v>23642</v>
      </c>
      <c r="H649">
        <v>2378</v>
      </c>
      <c r="I649" t="s">
        <v>11</v>
      </c>
      <c r="J649" t="s">
        <v>10</v>
      </c>
      <c r="K649" t="str">
        <f>_xlfn.XLOOKUP(order[[#This Row],[customer_id]],customer[customer_id],customer[city])</f>
        <v>Bangalore</v>
      </c>
      <c r="L649" t="str">
        <f>_xlfn.XLOOKUP(order[[#This Row],[customer_id]],customer[customer_id],customer[state])</f>
        <v>Karnataka</v>
      </c>
      <c r="M649" t="str">
        <f>_xlfn.XLOOKUP(order[[#This Row],[product_id]],products!$A$2:$A$11,products!$B$2:$B$11)</f>
        <v>LG 43 Inch Smart TV</v>
      </c>
      <c r="N649" s="3" t="str">
        <f>_xlfn.XLOOKUP(order[[#This Row],[product_id]],products!$A$2:$A$11,products!$C$2:$C$11)</f>
        <v>Electronics</v>
      </c>
      <c r="O649" s="3">
        <f>_xlfn.XLOOKUP(order[[#This Row],[product_id]],Table4[product_id],Table4[cost_price])</f>
        <v>30000</v>
      </c>
      <c r="P649" s="11">
        <f>_xlfn.XLOOKUP(order[[#This Row],[order_id]],shipment[order_id],shipment[ship_date])</f>
        <v>45353</v>
      </c>
      <c r="Q649" s="11">
        <f>_xlfn.XLOOKUP(order[[#This Row],[order_id]],shipment[order_id],shipment[delivery_date])</f>
        <v>45358</v>
      </c>
      <c r="R649" s="3" t="str">
        <f>_xlfn.XLOOKUP(order[[#This Row],[order_id]],shipment[shipment_id],shipment[courier])</f>
        <v>DTDC</v>
      </c>
      <c r="S649" s="3">
        <f>order[[#This Row],[selling_price]]-order[[#This Row],[cost_price]]*order[[#This Row],[quantity]]-order[[#This Row],[discount]]</f>
        <v>-68736</v>
      </c>
      <c r="T649" s="3">
        <f>order[[#This Row],[quantity]]*order[[#This Row],[selling_price]]</f>
        <v>70926</v>
      </c>
    </row>
    <row r="650" spans="1:20" x14ac:dyDescent="0.3">
      <c r="A650">
        <v>649</v>
      </c>
      <c r="B650" s="11">
        <v>45345</v>
      </c>
      <c r="C650">
        <v>128</v>
      </c>
      <c r="D650" t="str">
        <f>_xlfn.XLOOKUP(order[[#This Row],[customer_id]],customer[customer_id],customer[customer_name])</f>
        <v>Siddharth Jain</v>
      </c>
      <c r="E650">
        <v>208</v>
      </c>
      <c r="F650">
        <v>2</v>
      </c>
      <c r="G650">
        <v>44706</v>
      </c>
      <c r="H650">
        <v>667</v>
      </c>
      <c r="I650" t="s">
        <v>11</v>
      </c>
      <c r="J650" t="s">
        <v>12</v>
      </c>
      <c r="K650" t="str">
        <f>_xlfn.XLOOKUP(order[[#This Row],[customer_id]],customer[customer_id],customer[city])</f>
        <v>Mumbai</v>
      </c>
      <c r="L650" t="str">
        <f>_xlfn.XLOOKUP(order[[#This Row],[customer_id]],customer[customer_id],customer[state])</f>
        <v>Maharashtra</v>
      </c>
      <c r="M650" t="str">
        <f>_xlfn.XLOOKUP(order[[#This Row],[product_id]],products!$A$2:$A$11,products!$B$2:$B$11)</f>
        <v>Adidas Ultraboost Shoes</v>
      </c>
      <c r="N650" s="3" t="str">
        <f>_xlfn.XLOOKUP(order[[#This Row],[product_id]],products!$A$2:$A$11,products!$C$2:$C$11)</f>
        <v>Fashion</v>
      </c>
      <c r="O650" s="3">
        <f>_xlfn.XLOOKUP(order[[#This Row],[product_id]],Table4[product_id],Table4[cost_price])</f>
        <v>9000</v>
      </c>
      <c r="P650" s="11">
        <f>_xlfn.XLOOKUP(order[[#This Row],[order_id]],shipment[order_id],shipment[ship_date])</f>
        <v>45384</v>
      </c>
      <c r="Q650" s="11">
        <f>_xlfn.XLOOKUP(order[[#This Row],[order_id]],shipment[order_id],shipment[delivery_date])</f>
        <v>45388</v>
      </c>
      <c r="R650" s="3" t="str">
        <f>_xlfn.XLOOKUP(order[[#This Row],[order_id]],shipment[shipment_id],shipment[courier])</f>
        <v>BlueDart</v>
      </c>
      <c r="S650" s="3">
        <f>order[[#This Row],[selling_price]]-order[[#This Row],[cost_price]]*order[[#This Row],[quantity]]-order[[#This Row],[discount]]</f>
        <v>26039</v>
      </c>
      <c r="T650" s="3">
        <f>order[[#This Row],[quantity]]*order[[#This Row],[selling_price]]</f>
        <v>89412</v>
      </c>
    </row>
    <row r="651" spans="1:20" x14ac:dyDescent="0.3">
      <c r="A651">
        <v>794</v>
      </c>
      <c r="B651" s="11">
        <v>45429</v>
      </c>
      <c r="C651">
        <v>159</v>
      </c>
      <c r="D651" t="str">
        <f>_xlfn.XLOOKUP(order[[#This Row],[customer_id]],customer[customer_id],customer[customer_name])</f>
        <v>Neha Kapoor</v>
      </c>
      <c r="E651">
        <v>210</v>
      </c>
      <c r="F651">
        <v>3</v>
      </c>
      <c r="G651">
        <v>36888</v>
      </c>
      <c r="H651">
        <v>2278</v>
      </c>
      <c r="I651" t="s">
        <v>11</v>
      </c>
      <c r="J651" t="s">
        <v>10</v>
      </c>
      <c r="K651" t="str">
        <f>_xlfn.XLOOKUP(order[[#This Row],[customer_id]],customer[customer_id],customer[city])</f>
        <v>Ahmedabad</v>
      </c>
      <c r="L651" t="str">
        <f>_xlfn.XLOOKUP(order[[#This Row],[customer_id]],customer[customer_id],customer[state])</f>
        <v>Gujarat</v>
      </c>
      <c r="M651" t="str">
        <f>_xlfn.XLOOKUP(order[[#This Row],[product_id]],products!$A$2:$A$11,products!$B$2:$B$11)</f>
        <v>LG 43 Inch Smart TV</v>
      </c>
      <c r="N651" s="3" t="str">
        <f>_xlfn.XLOOKUP(order[[#This Row],[product_id]],products!$A$2:$A$11,products!$C$2:$C$11)</f>
        <v>Electronics</v>
      </c>
      <c r="O651" s="3">
        <f>_xlfn.XLOOKUP(order[[#This Row],[product_id]],Table4[product_id],Table4[cost_price])</f>
        <v>30000</v>
      </c>
      <c r="P651" s="11">
        <f>_xlfn.XLOOKUP(order[[#This Row],[order_id]],shipment[order_id],shipment[ship_date])</f>
        <v>45353</v>
      </c>
      <c r="Q651" s="11">
        <f>_xlfn.XLOOKUP(order[[#This Row],[order_id]],shipment[order_id],shipment[delivery_date])</f>
        <v>45356</v>
      </c>
      <c r="R651" s="3" t="str">
        <f>_xlfn.XLOOKUP(order[[#This Row],[order_id]],shipment[shipment_id],shipment[courier])</f>
        <v>Ekart</v>
      </c>
      <c r="S651" s="3">
        <f>order[[#This Row],[selling_price]]-order[[#This Row],[cost_price]]*order[[#This Row],[quantity]]-order[[#This Row],[discount]]</f>
        <v>-55390</v>
      </c>
      <c r="T651" s="3">
        <f>order[[#This Row],[quantity]]*order[[#This Row],[selling_price]]</f>
        <v>110664</v>
      </c>
    </row>
    <row r="652" spans="1:20" x14ac:dyDescent="0.3">
      <c r="A652">
        <v>163</v>
      </c>
      <c r="B652" s="11">
        <v>45304</v>
      </c>
      <c r="C652">
        <v>141</v>
      </c>
      <c r="D652" t="str">
        <f>_xlfn.XLOOKUP(order[[#This Row],[customer_id]],customer[customer_id],customer[customer_name])</f>
        <v>Neha Kapoor</v>
      </c>
      <c r="E652">
        <v>210</v>
      </c>
      <c r="F652">
        <v>2</v>
      </c>
      <c r="G652">
        <v>22091</v>
      </c>
      <c r="H652">
        <v>2221</v>
      </c>
      <c r="I652" t="s">
        <v>9</v>
      </c>
      <c r="J652" t="s">
        <v>12</v>
      </c>
      <c r="K652" t="str">
        <f>_xlfn.XLOOKUP(order[[#This Row],[customer_id]],customer[customer_id],customer[city])</f>
        <v>Ahmedabad</v>
      </c>
      <c r="L652" t="str">
        <f>_xlfn.XLOOKUP(order[[#This Row],[customer_id]],customer[customer_id],customer[state])</f>
        <v>Gujarat</v>
      </c>
      <c r="M652" t="str">
        <f>_xlfn.XLOOKUP(order[[#This Row],[product_id]],products!$A$2:$A$11,products!$B$2:$B$11)</f>
        <v>LG 43 Inch Smart TV</v>
      </c>
      <c r="N652" s="3" t="str">
        <f>_xlfn.XLOOKUP(order[[#This Row],[product_id]],products!$A$2:$A$11,products!$C$2:$C$11)</f>
        <v>Electronics</v>
      </c>
      <c r="O652" s="3">
        <f>_xlfn.XLOOKUP(order[[#This Row],[product_id]],Table4[product_id],Table4[cost_price])</f>
        <v>30000</v>
      </c>
      <c r="P652" s="11">
        <f>_xlfn.XLOOKUP(order[[#This Row],[order_id]],shipment[order_id],shipment[ship_date])</f>
        <v>45635</v>
      </c>
      <c r="Q652" s="11">
        <f>_xlfn.XLOOKUP(order[[#This Row],[order_id]],shipment[order_id],shipment[delivery_date])</f>
        <v>45636</v>
      </c>
      <c r="R652" s="3" t="str">
        <f>_xlfn.XLOOKUP(order[[#This Row],[order_id]],shipment[shipment_id],shipment[courier])</f>
        <v>Delhivery</v>
      </c>
      <c r="S652" s="3">
        <f>order[[#This Row],[selling_price]]-order[[#This Row],[cost_price]]*order[[#This Row],[quantity]]-order[[#This Row],[discount]]</f>
        <v>-40130</v>
      </c>
      <c r="T652" s="3">
        <f>order[[#This Row],[quantity]]*order[[#This Row],[selling_price]]</f>
        <v>44182</v>
      </c>
    </row>
    <row r="653" spans="1:20" x14ac:dyDescent="0.3">
      <c r="A653">
        <v>652</v>
      </c>
      <c r="B653" s="11">
        <v>45303</v>
      </c>
      <c r="C653">
        <v>116</v>
      </c>
      <c r="D653" t="str">
        <f>_xlfn.XLOOKUP(order[[#This Row],[customer_id]],customer[customer_id],customer[customer_name])</f>
        <v>Arjun Nair</v>
      </c>
      <c r="E653">
        <v>207</v>
      </c>
      <c r="F653">
        <v>1</v>
      </c>
      <c r="G653">
        <v>59472</v>
      </c>
      <c r="H653">
        <v>1878</v>
      </c>
      <c r="I653" t="s">
        <v>13</v>
      </c>
      <c r="J653" t="s">
        <v>12</v>
      </c>
      <c r="K653" t="str">
        <f>_xlfn.XLOOKUP(order[[#This Row],[customer_id]],customer[customer_id],customer[city])</f>
        <v>Hyderabad</v>
      </c>
      <c r="L653" t="str">
        <f>_xlfn.XLOOKUP(order[[#This Row],[customer_id]],customer[customer_id],customer[state])</f>
        <v>Telangana</v>
      </c>
      <c r="M653" t="str">
        <f>_xlfn.XLOOKUP(order[[#This Row],[product_id]],products!$A$2:$A$11,products!$B$2:$B$11)</f>
        <v>Sony WH-1000XM4 Headphones</v>
      </c>
      <c r="N653" s="3" t="str">
        <f>_xlfn.XLOOKUP(order[[#This Row],[product_id]],products!$A$2:$A$11,products!$C$2:$C$11)</f>
        <v>Electronics</v>
      </c>
      <c r="O653" s="3">
        <f>_xlfn.XLOOKUP(order[[#This Row],[product_id]],Table4[product_id],Table4[cost_price])</f>
        <v>20000</v>
      </c>
      <c r="P653" s="11">
        <f>_xlfn.XLOOKUP(order[[#This Row],[order_id]],shipment[order_id],shipment[ship_date])</f>
        <v>45321</v>
      </c>
      <c r="Q653" s="11">
        <f>_xlfn.XLOOKUP(order[[#This Row],[order_id]],shipment[order_id],shipment[delivery_date])</f>
        <v>45327</v>
      </c>
      <c r="R653" s="3" t="str">
        <f>_xlfn.XLOOKUP(order[[#This Row],[order_id]],shipment[shipment_id],shipment[courier])</f>
        <v>DTDC</v>
      </c>
      <c r="S653" s="3">
        <f>order[[#This Row],[selling_price]]-order[[#This Row],[cost_price]]*order[[#This Row],[quantity]]-order[[#This Row],[discount]]</f>
        <v>37594</v>
      </c>
      <c r="T653" s="3">
        <f>order[[#This Row],[quantity]]*order[[#This Row],[selling_price]]</f>
        <v>59472</v>
      </c>
    </row>
    <row r="654" spans="1:20" x14ac:dyDescent="0.3">
      <c r="A654">
        <v>653</v>
      </c>
      <c r="B654" s="11">
        <v>45455</v>
      </c>
      <c r="C654">
        <v>275</v>
      </c>
      <c r="D654" t="str">
        <f>_xlfn.XLOOKUP(order[[#This Row],[customer_id]],customer[customer_id],customer[customer_name])</f>
        <v>Rohit Verma</v>
      </c>
      <c r="E654">
        <v>209</v>
      </c>
      <c r="F654">
        <v>1</v>
      </c>
      <c r="G654">
        <v>42502</v>
      </c>
      <c r="H654">
        <v>307</v>
      </c>
      <c r="I654" t="s">
        <v>13</v>
      </c>
      <c r="J654" t="s">
        <v>14</v>
      </c>
      <c r="K654" t="str">
        <f>_xlfn.XLOOKUP(order[[#This Row],[customer_id]],customer[customer_id],customer[city])</f>
        <v>Mumbai</v>
      </c>
      <c r="L654" t="str">
        <f>_xlfn.XLOOKUP(order[[#This Row],[customer_id]],customer[customer_id],customer[state])</f>
        <v>Maharashtra</v>
      </c>
      <c r="M654" t="str">
        <f>_xlfn.XLOOKUP(order[[#This Row],[product_id]],products!$A$2:$A$11,products!$B$2:$B$11)</f>
        <v>Milton Thermosteel Bottle</v>
      </c>
      <c r="N654" s="3" t="str">
        <f>_xlfn.XLOOKUP(order[[#This Row],[product_id]],products!$A$2:$A$11,products!$C$2:$C$11)</f>
        <v>Home &amp; Kitchen</v>
      </c>
      <c r="O654" s="3">
        <f>_xlfn.XLOOKUP(order[[#This Row],[product_id]],Table4[product_id],Table4[cost_price])</f>
        <v>800</v>
      </c>
      <c r="P654" s="11">
        <f>_xlfn.XLOOKUP(order[[#This Row],[order_id]],shipment[order_id],shipment[ship_date])</f>
        <v>45565</v>
      </c>
      <c r="Q654" s="11">
        <f>_xlfn.XLOOKUP(order[[#This Row],[order_id]],shipment[order_id],shipment[delivery_date])</f>
        <v>45571</v>
      </c>
      <c r="R654" s="3" t="str">
        <f>_xlfn.XLOOKUP(order[[#This Row],[order_id]],shipment[shipment_id],shipment[courier])</f>
        <v>Ekart</v>
      </c>
      <c r="S654" s="3">
        <f>order[[#This Row],[selling_price]]-order[[#This Row],[cost_price]]*order[[#This Row],[quantity]]-order[[#This Row],[discount]]</f>
        <v>41395</v>
      </c>
      <c r="T654" s="3">
        <f>order[[#This Row],[quantity]]*order[[#This Row],[selling_price]]</f>
        <v>42502</v>
      </c>
    </row>
    <row r="655" spans="1:20" x14ac:dyDescent="0.3">
      <c r="A655">
        <v>1039</v>
      </c>
      <c r="B655" s="11">
        <v>45501</v>
      </c>
      <c r="C655">
        <v>177</v>
      </c>
      <c r="D655" t="str">
        <f>_xlfn.XLOOKUP(order[[#This Row],[customer_id]],customer[customer_id],customer[customer_name])</f>
        <v>Priya Reddy</v>
      </c>
      <c r="E655">
        <v>210</v>
      </c>
      <c r="F655">
        <v>4</v>
      </c>
      <c r="G655">
        <v>31186</v>
      </c>
      <c r="H655">
        <v>2183</v>
      </c>
      <c r="I655" t="s">
        <v>13</v>
      </c>
      <c r="J655" t="s">
        <v>10</v>
      </c>
      <c r="K655" t="str">
        <f>_xlfn.XLOOKUP(order[[#This Row],[customer_id]],customer[customer_id],customer[city])</f>
        <v>Ahmedabad</v>
      </c>
      <c r="L655" t="str">
        <f>_xlfn.XLOOKUP(order[[#This Row],[customer_id]],customer[customer_id],customer[state])</f>
        <v>Gujarat</v>
      </c>
      <c r="M655" t="str">
        <f>_xlfn.XLOOKUP(order[[#This Row],[product_id]],products!$A$2:$A$11,products!$B$2:$B$11)</f>
        <v>LG 43 Inch Smart TV</v>
      </c>
      <c r="N655" s="3" t="str">
        <f>_xlfn.XLOOKUP(order[[#This Row],[product_id]],products!$A$2:$A$11,products!$C$2:$C$11)</f>
        <v>Electronics</v>
      </c>
      <c r="O655" s="3">
        <f>_xlfn.XLOOKUP(order[[#This Row],[product_id]],Table4[product_id],Table4[cost_price])</f>
        <v>30000</v>
      </c>
      <c r="P655" s="11">
        <f>_xlfn.XLOOKUP(order[[#This Row],[order_id]],shipment[order_id],shipment[ship_date])</f>
        <v>45454</v>
      </c>
      <c r="Q655" s="11">
        <f>_xlfn.XLOOKUP(order[[#This Row],[order_id]],shipment[order_id],shipment[delivery_date])</f>
        <v>45461</v>
      </c>
      <c r="R655" s="3" t="str">
        <f>_xlfn.XLOOKUP(order[[#This Row],[order_id]],shipment[shipment_id],shipment[courier])</f>
        <v>BlueDart</v>
      </c>
      <c r="S655" s="3">
        <f>order[[#This Row],[selling_price]]-order[[#This Row],[cost_price]]*order[[#This Row],[quantity]]-order[[#This Row],[discount]]</f>
        <v>-90997</v>
      </c>
      <c r="T655" s="3">
        <f>order[[#This Row],[quantity]]*order[[#This Row],[selling_price]]</f>
        <v>124744</v>
      </c>
    </row>
    <row r="656" spans="1:20" x14ac:dyDescent="0.3">
      <c r="A656">
        <v>655</v>
      </c>
      <c r="B656" s="11">
        <v>45451</v>
      </c>
      <c r="C656">
        <v>109</v>
      </c>
      <c r="D656" t="str">
        <f>_xlfn.XLOOKUP(order[[#This Row],[customer_id]],customer[customer_id],customer[customer_name])</f>
        <v>Sneha Iyer</v>
      </c>
      <c r="E656">
        <v>208</v>
      </c>
      <c r="F656">
        <v>1</v>
      </c>
      <c r="G656">
        <v>33828</v>
      </c>
      <c r="H656">
        <v>2111</v>
      </c>
      <c r="I656" t="s">
        <v>13</v>
      </c>
      <c r="J656" t="s">
        <v>10</v>
      </c>
      <c r="K656" t="str">
        <f>_xlfn.XLOOKUP(order[[#This Row],[customer_id]],customer[customer_id],customer[city])</f>
        <v>Hyderabad</v>
      </c>
      <c r="L656" t="str">
        <f>_xlfn.XLOOKUP(order[[#This Row],[customer_id]],customer[customer_id],customer[state])</f>
        <v>Telangana</v>
      </c>
      <c r="M656" t="str">
        <f>_xlfn.XLOOKUP(order[[#This Row],[product_id]],products!$A$2:$A$11,products!$B$2:$B$11)</f>
        <v>Adidas Ultraboost Shoes</v>
      </c>
      <c r="N656" s="3" t="str">
        <f>_xlfn.XLOOKUP(order[[#This Row],[product_id]],products!$A$2:$A$11,products!$C$2:$C$11)</f>
        <v>Fashion</v>
      </c>
      <c r="O656" s="3">
        <f>_xlfn.XLOOKUP(order[[#This Row],[product_id]],Table4[product_id],Table4[cost_price])</f>
        <v>9000</v>
      </c>
      <c r="P656" s="11">
        <f>_xlfn.XLOOKUP(order[[#This Row],[order_id]],shipment[order_id],shipment[ship_date])</f>
        <v>45322</v>
      </c>
      <c r="Q656" s="11">
        <f>_xlfn.XLOOKUP(order[[#This Row],[order_id]],shipment[order_id],shipment[delivery_date])</f>
        <v>45325</v>
      </c>
      <c r="R656" s="3" t="str">
        <f>_xlfn.XLOOKUP(order[[#This Row],[order_id]],shipment[shipment_id],shipment[courier])</f>
        <v>BlueDart</v>
      </c>
      <c r="S656" s="3">
        <f>order[[#This Row],[selling_price]]-order[[#This Row],[cost_price]]*order[[#This Row],[quantity]]-order[[#This Row],[discount]]</f>
        <v>22717</v>
      </c>
      <c r="T656" s="3">
        <f>order[[#This Row],[quantity]]*order[[#This Row],[selling_price]]</f>
        <v>33828</v>
      </c>
    </row>
    <row r="657" spans="1:20" x14ac:dyDescent="0.3">
      <c r="A657">
        <v>780</v>
      </c>
      <c r="B657" s="11">
        <v>45405</v>
      </c>
      <c r="C657">
        <v>253</v>
      </c>
      <c r="D657" t="str">
        <f>_xlfn.XLOOKUP(order[[#This Row],[customer_id]],customer[customer_id],customer[customer_name])</f>
        <v>Neha Kapoor</v>
      </c>
      <c r="E657">
        <v>210</v>
      </c>
      <c r="F657">
        <v>4</v>
      </c>
      <c r="G657">
        <v>35119</v>
      </c>
      <c r="H657">
        <v>2125</v>
      </c>
      <c r="I657" t="s">
        <v>9</v>
      </c>
      <c r="J657" t="s">
        <v>12</v>
      </c>
      <c r="K657" t="str">
        <f>_xlfn.XLOOKUP(order[[#This Row],[customer_id]],customer[customer_id],customer[city])</f>
        <v>Mumbai</v>
      </c>
      <c r="L657" t="str">
        <f>_xlfn.XLOOKUP(order[[#This Row],[customer_id]],customer[customer_id],customer[state])</f>
        <v>Maharashtra</v>
      </c>
      <c r="M657" t="str">
        <f>_xlfn.XLOOKUP(order[[#This Row],[product_id]],products!$A$2:$A$11,products!$B$2:$B$11)</f>
        <v>LG 43 Inch Smart TV</v>
      </c>
      <c r="N657" s="3" t="str">
        <f>_xlfn.XLOOKUP(order[[#This Row],[product_id]],products!$A$2:$A$11,products!$C$2:$C$11)</f>
        <v>Electronics</v>
      </c>
      <c r="O657" s="3">
        <f>_xlfn.XLOOKUP(order[[#This Row],[product_id]],Table4[product_id],Table4[cost_price])</f>
        <v>30000</v>
      </c>
      <c r="P657" s="11">
        <f>_xlfn.XLOOKUP(order[[#This Row],[order_id]],shipment[order_id],shipment[ship_date])</f>
        <v>45513</v>
      </c>
      <c r="Q657" s="11">
        <f>_xlfn.XLOOKUP(order[[#This Row],[order_id]],shipment[order_id],shipment[delivery_date])</f>
        <v>45522</v>
      </c>
      <c r="R657" s="3" t="str">
        <f>_xlfn.XLOOKUP(order[[#This Row],[order_id]],shipment[shipment_id],shipment[courier])</f>
        <v>Ekart</v>
      </c>
      <c r="S657" s="3">
        <f>order[[#This Row],[selling_price]]-order[[#This Row],[cost_price]]*order[[#This Row],[quantity]]-order[[#This Row],[discount]]</f>
        <v>-87006</v>
      </c>
      <c r="T657" s="3">
        <f>order[[#This Row],[quantity]]*order[[#This Row],[selling_price]]</f>
        <v>140476</v>
      </c>
    </row>
    <row r="658" spans="1:20" x14ac:dyDescent="0.3">
      <c r="A658">
        <v>657</v>
      </c>
      <c r="B658" s="11">
        <v>45407</v>
      </c>
      <c r="C658">
        <v>102</v>
      </c>
      <c r="D658" t="str">
        <f>_xlfn.XLOOKUP(order[[#This Row],[customer_id]],customer[customer_id],customer[customer_name])</f>
        <v>Aarav Sharma</v>
      </c>
      <c r="E658">
        <v>204</v>
      </c>
      <c r="F658">
        <v>1</v>
      </c>
      <c r="G658">
        <v>9350</v>
      </c>
      <c r="H658">
        <v>4536</v>
      </c>
      <c r="I658" t="s">
        <v>9</v>
      </c>
      <c r="J658" t="s">
        <v>12</v>
      </c>
      <c r="K658" t="str">
        <f>_xlfn.XLOOKUP(order[[#This Row],[customer_id]],customer[customer_id],customer[city])</f>
        <v>Delhi</v>
      </c>
      <c r="L658" t="str">
        <f>_xlfn.XLOOKUP(order[[#This Row],[customer_id]],customer[customer_id],customer[state])</f>
        <v>Delhi</v>
      </c>
      <c r="M658" t="str">
        <f>_xlfn.XLOOKUP(order[[#This Row],[product_id]],products!$A$2:$A$11,products!$B$2:$B$11)</f>
        <v>Levi's Slim Fit Jeans</v>
      </c>
      <c r="N658" s="3" t="str">
        <f>_xlfn.XLOOKUP(order[[#This Row],[product_id]],products!$A$2:$A$11,products!$C$2:$C$11)</f>
        <v>Fashion</v>
      </c>
      <c r="O658" s="3">
        <f>_xlfn.XLOOKUP(order[[#This Row],[product_id]],Table4[product_id],Table4[cost_price])</f>
        <v>1800</v>
      </c>
      <c r="P658" s="11">
        <f>_xlfn.XLOOKUP(order[[#This Row],[order_id]],shipment[order_id],shipment[ship_date])</f>
        <v>45322</v>
      </c>
      <c r="Q658" s="11">
        <f>_xlfn.XLOOKUP(order[[#This Row],[order_id]],shipment[order_id],shipment[delivery_date])</f>
        <v>45323</v>
      </c>
      <c r="R658" s="3" t="str">
        <f>_xlfn.XLOOKUP(order[[#This Row],[order_id]],shipment[shipment_id],shipment[courier])</f>
        <v>Ekart</v>
      </c>
      <c r="S658" s="3">
        <f>order[[#This Row],[selling_price]]-order[[#This Row],[cost_price]]*order[[#This Row],[quantity]]-order[[#This Row],[discount]]</f>
        <v>3014</v>
      </c>
      <c r="T658" s="3">
        <f>order[[#This Row],[quantity]]*order[[#This Row],[selling_price]]</f>
        <v>9350</v>
      </c>
    </row>
    <row r="659" spans="1:20" x14ac:dyDescent="0.3">
      <c r="A659">
        <v>93</v>
      </c>
      <c r="B659" s="11">
        <v>45354</v>
      </c>
      <c r="C659">
        <v>137</v>
      </c>
      <c r="D659" t="str">
        <f>_xlfn.XLOOKUP(order[[#This Row],[customer_id]],customer[customer_id],customer[customer_name])</f>
        <v>Ananya Gupta</v>
      </c>
      <c r="E659">
        <v>210</v>
      </c>
      <c r="F659">
        <v>4</v>
      </c>
      <c r="G659">
        <v>48007</v>
      </c>
      <c r="H659">
        <v>2116</v>
      </c>
      <c r="I659" t="s">
        <v>9</v>
      </c>
      <c r="J659" t="s">
        <v>12</v>
      </c>
      <c r="K659" t="str">
        <f>_xlfn.XLOOKUP(order[[#This Row],[customer_id]],customer[customer_id],customer[city])</f>
        <v>Delhi</v>
      </c>
      <c r="L659" t="str">
        <f>_xlfn.XLOOKUP(order[[#This Row],[customer_id]],customer[customer_id],customer[state])</f>
        <v>Delhi</v>
      </c>
      <c r="M659" t="str">
        <f>_xlfn.XLOOKUP(order[[#This Row],[product_id]],products!$A$2:$A$11,products!$B$2:$B$11)</f>
        <v>LG 43 Inch Smart TV</v>
      </c>
      <c r="N659" s="3" t="str">
        <f>_xlfn.XLOOKUP(order[[#This Row],[product_id]],products!$A$2:$A$11,products!$C$2:$C$11)</f>
        <v>Electronics</v>
      </c>
      <c r="O659" s="3">
        <f>_xlfn.XLOOKUP(order[[#This Row],[product_id]],Table4[product_id],Table4[cost_price])</f>
        <v>30000</v>
      </c>
      <c r="P659" s="11">
        <f>_xlfn.XLOOKUP(order[[#This Row],[order_id]],shipment[order_id],shipment[ship_date])</f>
        <v>45355</v>
      </c>
      <c r="Q659" s="11">
        <f>_xlfn.XLOOKUP(order[[#This Row],[order_id]],shipment[order_id],shipment[delivery_date])</f>
        <v>45358</v>
      </c>
      <c r="R659" s="3" t="str">
        <f>_xlfn.XLOOKUP(order[[#This Row],[order_id]],shipment[shipment_id],shipment[courier])</f>
        <v>Ekart</v>
      </c>
      <c r="S659" s="3">
        <f>order[[#This Row],[selling_price]]-order[[#This Row],[cost_price]]*order[[#This Row],[quantity]]-order[[#This Row],[discount]]</f>
        <v>-74109</v>
      </c>
      <c r="T659" s="3">
        <f>order[[#This Row],[quantity]]*order[[#This Row],[selling_price]]</f>
        <v>192028</v>
      </c>
    </row>
    <row r="660" spans="1:20" x14ac:dyDescent="0.3">
      <c r="A660">
        <v>840</v>
      </c>
      <c r="B660" s="11">
        <v>45389</v>
      </c>
      <c r="C660">
        <v>104</v>
      </c>
      <c r="D660" t="str">
        <f>_xlfn.XLOOKUP(order[[#This Row],[customer_id]],customer[customer_id],customer[customer_name])</f>
        <v>Aarav Sharma</v>
      </c>
      <c r="E660">
        <v>210</v>
      </c>
      <c r="F660">
        <v>2</v>
      </c>
      <c r="G660">
        <v>42511</v>
      </c>
      <c r="H660">
        <v>2114</v>
      </c>
      <c r="I660" t="s">
        <v>13</v>
      </c>
      <c r="J660" t="s">
        <v>12</v>
      </c>
      <c r="K660" t="str">
        <f>_xlfn.XLOOKUP(order[[#This Row],[customer_id]],customer[customer_id],customer[city])</f>
        <v>Bangalore</v>
      </c>
      <c r="L660" t="str">
        <f>_xlfn.XLOOKUP(order[[#This Row],[customer_id]],customer[customer_id],customer[state])</f>
        <v>Karnataka</v>
      </c>
      <c r="M660" t="str">
        <f>_xlfn.XLOOKUP(order[[#This Row],[product_id]],products!$A$2:$A$11,products!$B$2:$B$11)</f>
        <v>LG 43 Inch Smart TV</v>
      </c>
      <c r="N660" s="3" t="str">
        <f>_xlfn.XLOOKUP(order[[#This Row],[product_id]],products!$A$2:$A$11,products!$C$2:$C$11)</f>
        <v>Electronics</v>
      </c>
      <c r="O660" s="3">
        <f>_xlfn.XLOOKUP(order[[#This Row],[product_id]],Table4[product_id],Table4[cost_price])</f>
        <v>30000</v>
      </c>
      <c r="P660" s="11">
        <f>_xlfn.XLOOKUP(order[[#This Row],[order_id]],shipment[order_id],shipment[ship_date])</f>
        <v>45382</v>
      </c>
      <c r="Q660" s="11">
        <f>_xlfn.XLOOKUP(order[[#This Row],[order_id]],shipment[order_id],shipment[delivery_date])</f>
        <v>45390</v>
      </c>
      <c r="R660" s="3" t="str">
        <f>_xlfn.XLOOKUP(order[[#This Row],[order_id]],shipment[shipment_id],shipment[courier])</f>
        <v>DTDC</v>
      </c>
      <c r="S660" s="3">
        <f>order[[#This Row],[selling_price]]-order[[#This Row],[cost_price]]*order[[#This Row],[quantity]]-order[[#This Row],[discount]]</f>
        <v>-19603</v>
      </c>
      <c r="T660" s="3">
        <f>order[[#This Row],[quantity]]*order[[#This Row],[selling_price]]</f>
        <v>85022</v>
      </c>
    </row>
    <row r="661" spans="1:20" x14ac:dyDescent="0.3">
      <c r="A661">
        <v>660</v>
      </c>
      <c r="B661" s="11">
        <v>45593</v>
      </c>
      <c r="C661">
        <v>169</v>
      </c>
      <c r="D661" t="str">
        <f>_xlfn.XLOOKUP(order[[#This Row],[customer_id]],customer[customer_id],customer[customer_name])</f>
        <v>Vikram Singh</v>
      </c>
      <c r="E661">
        <v>206</v>
      </c>
      <c r="F661">
        <v>2</v>
      </c>
      <c r="G661">
        <v>69715</v>
      </c>
      <c r="H661">
        <v>323</v>
      </c>
      <c r="I661" t="s">
        <v>15</v>
      </c>
      <c r="J661" t="s">
        <v>10</v>
      </c>
      <c r="K661" t="str">
        <f>_xlfn.XLOOKUP(order[[#This Row],[customer_id]],customer[customer_id],customer[city])</f>
        <v>Ahmedabad</v>
      </c>
      <c r="L661" t="str">
        <f>_xlfn.XLOOKUP(order[[#This Row],[customer_id]],customer[customer_id],customer[state])</f>
        <v>Gujarat</v>
      </c>
      <c r="M661" t="str">
        <f>_xlfn.XLOOKUP(order[[#This Row],[product_id]],products!$A$2:$A$11,products!$B$2:$B$11)</f>
        <v>Philips Air Fryer</v>
      </c>
      <c r="N661" s="3" t="str">
        <f>_xlfn.XLOOKUP(order[[#This Row],[product_id]],products!$A$2:$A$11,products!$C$2:$C$11)</f>
        <v>Home &amp; Kitchen</v>
      </c>
      <c r="O661" s="3">
        <f>_xlfn.XLOOKUP(order[[#This Row],[product_id]],Table4[product_id],Table4[cost_price])</f>
        <v>7000</v>
      </c>
      <c r="P661" s="11">
        <f>_xlfn.XLOOKUP(order[[#This Row],[order_id]],shipment[order_id],shipment[ship_date])</f>
        <v>45302</v>
      </c>
      <c r="Q661" s="11">
        <f>_xlfn.XLOOKUP(order[[#This Row],[order_id]],shipment[order_id],shipment[delivery_date])</f>
        <v>45307</v>
      </c>
      <c r="R661" s="3" t="str">
        <f>_xlfn.XLOOKUP(order[[#This Row],[order_id]],shipment[shipment_id],shipment[courier])</f>
        <v>DTDC</v>
      </c>
      <c r="S661" s="3">
        <f>order[[#This Row],[selling_price]]-order[[#This Row],[cost_price]]*order[[#This Row],[quantity]]-order[[#This Row],[discount]]</f>
        <v>55392</v>
      </c>
      <c r="T661" s="3">
        <f>order[[#This Row],[quantity]]*order[[#This Row],[selling_price]]</f>
        <v>139430</v>
      </c>
    </row>
    <row r="662" spans="1:20" x14ac:dyDescent="0.3">
      <c r="A662">
        <v>26</v>
      </c>
      <c r="B662" s="11">
        <v>45394</v>
      </c>
      <c r="C662">
        <v>209</v>
      </c>
      <c r="D662" t="str">
        <f>_xlfn.XLOOKUP(order[[#This Row],[customer_id]],customer[customer_id],customer[customer_name])</f>
        <v>Neha Kapoor</v>
      </c>
      <c r="E662">
        <v>210</v>
      </c>
      <c r="F662">
        <v>4</v>
      </c>
      <c r="G662">
        <v>56064</v>
      </c>
      <c r="H662">
        <v>1985</v>
      </c>
      <c r="I662" t="s">
        <v>15</v>
      </c>
      <c r="J662" t="s">
        <v>12</v>
      </c>
      <c r="K662" t="str">
        <f>_xlfn.XLOOKUP(order[[#This Row],[customer_id]],customer[customer_id],customer[city])</f>
        <v>Mumbai</v>
      </c>
      <c r="L662" t="str">
        <f>_xlfn.XLOOKUP(order[[#This Row],[customer_id]],customer[customer_id],customer[state])</f>
        <v>Maharashtra</v>
      </c>
      <c r="M662" t="str">
        <f>_xlfn.XLOOKUP(order[[#This Row],[product_id]],products!$A$2:$A$11,products!$B$2:$B$11)</f>
        <v>LG 43 Inch Smart TV</v>
      </c>
      <c r="N662" s="3" t="str">
        <f>_xlfn.XLOOKUP(order[[#This Row],[product_id]],products!$A$2:$A$11,products!$C$2:$C$11)</f>
        <v>Electronics</v>
      </c>
      <c r="O662" s="3">
        <f>_xlfn.XLOOKUP(order[[#This Row],[product_id]],Table4[product_id],Table4[cost_price])</f>
        <v>30000</v>
      </c>
      <c r="P662" s="11">
        <f>_xlfn.XLOOKUP(order[[#This Row],[order_id]],shipment[order_id],shipment[ship_date])</f>
        <v>45624</v>
      </c>
      <c r="Q662" s="11">
        <f>_xlfn.XLOOKUP(order[[#This Row],[order_id]],shipment[order_id],shipment[delivery_date])</f>
        <v>45627</v>
      </c>
      <c r="R662" s="3" t="str">
        <f>_xlfn.XLOOKUP(order[[#This Row],[order_id]],shipment[shipment_id],shipment[courier])</f>
        <v>Delhivery</v>
      </c>
      <c r="S662" s="3">
        <f>order[[#This Row],[selling_price]]-order[[#This Row],[cost_price]]*order[[#This Row],[quantity]]-order[[#This Row],[discount]]</f>
        <v>-65921</v>
      </c>
      <c r="T662" s="3">
        <f>order[[#This Row],[quantity]]*order[[#This Row],[selling_price]]</f>
        <v>224256</v>
      </c>
    </row>
    <row r="663" spans="1:20" x14ac:dyDescent="0.3">
      <c r="A663">
        <v>865</v>
      </c>
      <c r="B663" s="11">
        <v>45343</v>
      </c>
      <c r="C663">
        <v>171</v>
      </c>
      <c r="D663" t="str">
        <f>_xlfn.XLOOKUP(order[[#This Row],[customer_id]],customer[customer_id],customer[customer_name])</f>
        <v>Vikram Singh</v>
      </c>
      <c r="E663">
        <v>210</v>
      </c>
      <c r="F663">
        <v>2</v>
      </c>
      <c r="G663">
        <v>10462</v>
      </c>
      <c r="H663">
        <v>1809</v>
      </c>
      <c r="I663" t="s">
        <v>13</v>
      </c>
      <c r="J663" t="s">
        <v>14</v>
      </c>
      <c r="K663" t="str">
        <f>_xlfn.XLOOKUP(order[[#This Row],[customer_id]],customer[customer_id],customer[city])</f>
        <v>Pune</v>
      </c>
      <c r="L663" t="str">
        <f>_xlfn.XLOOKUP(order[[#This Row],[customer_id]],customer[customer_id],customer[state])</f>
        <v>Maharashtra</v>
      </c>
      <c r="M663" t="str">
        <f>_xlfn.XLOOKUP(order[[#This Row],[product_id]],products!$A$2:$A$11,products!$B$2:$B$11)</f>
        <v>LG 43 Inch Smart TV</v>
      </c>
      <c r="N663" s="3" t="str">
        <f>_xlfn.XLOOKUP(order[[#This Row],[product_id]],products!$A$2:$A$11,products!$C$2:$C$11)</f>
        <v>Electronics</v>
      </c>
      <c r="O663" s="3">
        <f>_xlfn.XLOOKUP(order[[#This Row],[product_id]],Table4[product_id],Table4[cost_price])</f>
        <v>30000</v>
      </c>
      <c r="P663" s="11">
        <f>_xlfn.XLOOKUP(order[[#This Row],[order_id]],shipment[order_id],shipment[ship_date])</f>
        <v>45639</v>
      </c>
      <c r="Q663" s="11">
        <f>_xlfn.XLOOKUP(order[[#This Row],[order_id]],shipment[order_id],shipment[delivery_date])</f>
        <v>45640</v>
      </c>
      <c r="R663" s="3" t="str">
        <f>_xlfn.XLOOKUP(order[[#This Row],[order_id]],shipment[shipment_id],shipment[courier])</f>
        <v>DTDC</v>
      </c>
      <c r="S663" s="3">
        <f>order[[#This Row],[selling_price]]-order[[#This Row],[cost_price]]*order[[#This Row],[quantity]]-order[[#This Row],[discount]]</f>
        <v>-51347</v>
      </c>
      <c r="T663" s="3">
        <f>order[[#This Row],[quantity]]*order[[#This Row],[selling_price]]</f>
        <v>20924</v>
      </c>
    </row>
    <row r="664" spans="1:20" x14ac:dyDescent="0.3">
      <c r="A664">
        <v>324</v>
      </c>
      <c r="B664" s="11">
        <v>45526</v>
      </c>
      <c r="C664">
        <v>102</v>
      </c>
      <c r="D664" t="str">
        <f>_xlfn.XLOOKUP(order[[#This Row],[customer_id]],customer[customer_id],customer[customer_name])</f>
        <v>Aarav Sharma</v>
      </c>
      <c r="E664">
        <v>210</v>
      </c>
      <c r="F664">
        <v>3</v>
      </c>
      <c r="G664">
        <v>53883</v>
      </c>
      <c r="H664">
        <v>1782</v>
      </c>
      <c r="I664" t="s">
        <v>15</v>
      </c>
      <c r="J664" t="s">
        <v>10</v>
      </c>
      <c r="K664" t="str">
        <f>_xlfn.XLOOKUP(order[[#This Row],[customer_id]],customer[customer_id],customer[city])</f>
        <v>Delhi</v>
      </c>
      <c r="L664" t="str">
        <f>_xlfn.XLOOKUP(order[[#This Row],[customer_id]],customer[customer_id],customer[state])</f>
        <v>Delhi</v>
      </c>
      <c r="M664" t="str">
        <f>_xlfn.XLOOKUP(order[[#This Row],[product_id]],products!$A$2:$A$11,products!$B$2:$B$11)</f>
        <v>LG 43 Inch Smart TV</v>
      </c>
      <c r="N664" s="3" t="str">
        <f>_xlfn.XLOOKUP(order[[#This Row],[product_id]],products!$A$2:$A$11,products!$C$2:$C$11)</f>
        <v>Electronics</v>
      </c>
      <c r="O664" s="3">
        <f>_xlfn.XLOOKUP(order[[#This Row],[product_id]],Table4[product_id],Table4[cost_price])</f>
        <v>30000</v>
      </c>
      <c r="P664" s="11">
        <f>_xlfn.XLOOKUP(order[[#This Row],[order_id]],shipment[order_id],shipment[ship_date])</f>
        <v>45462</v>
      </c>
      <c r="Q664" s="11">
        <f>_xlfn.XLOOKUP(order[[#This Row],[order_id]],shipment[order_id],shipment[delivery_date])</f>
        <v>45465</v>
      </c>
      <c r="R664" s="3" t="str">
        <f>_xlfn.XLOOKUP(order[[#This Row],[order_id]],shipment[shipment_id],shipment[courier])</f>
        <v>DTDC</v>
      </c>
      <c r="S664" s="3">
        <f>order[[#This Row],[selling_price]]-order[[#This Row],[cost_price]]*order[[#This Row],[quantity]]-order[[#This Row],[discount]]</f>
        <v>-37899</v>
      </c>
      <c r="T664" s="3">
        <f>order[[#This Row],[quantity]]*order[[#This Row],[selling_price]]</f>
        <v>161649</v>
      </c>
    </row>
    <row r="665" spans="1:20" x14ac:dyDescent="0.3">
      <c r="A665">
        <v>664</v>
      </c>
      <c r="B665" s="11">
        <v>45425</v>
      </c>
      <c r="C665">
        <v>225</v>
      </c>
      <c r="D665" t="str">
        <f>_xlfn.XLOOKUP(order[[#This Row],[customer_id]],customer[customer_id],customer[customer_name])</f>
        <v>Aarav Sharma</v>
      </c>
      <c r="E665">
        <v>203</v>
      </c>
      <c r="F665">
        <v>1</v>
      </c>
      <c r="G665">
        <v>55788</v>
      </c>
      <c r="H665">
        <v>1443</v>
      </c>
      <c r="I665" t="s">
        <v>15</v>
      </c>
      <c r="J665" t="s">
        <v>10</v>
      </c>
      <c r="K665" t="str">
        <f>_xlfn.XLOOKUP(order[[#This Row],[customer_id]],customer[customer_id],customer[city])</f>
        <v>Bangalore</v>
      </c>
      <c r="L665" t="str">
        <f>_xlfn.XLOOKUP(order[[#This Row],[customer_id]],customer[customer_id],customer[state])</f>
        <v>Karnataka</v>
      </c>
      <c r="M665" t="str">
        <f>_xlfn.XLOOKUP(order[[#This Row],[product_id]],products!$A$2:$A$11,products!$B$2:$B$11)</f>
        <v>Nike Air Max Shoes</v>
      </c>
      <c r="N665" s="3" t="str">
        <f>_xlfn.XLOOKUP(order[[#This Row],[product_id]],products!$A$2:$A$11,products!$C$2:$C$11)</f>
        <v>Fashion</v>
      </c>
      <c r="O665" s="3">
        <f>_xlfn.XLOOKUP(order[[#This Row],[product_id]],Table4[product_id],Table4[cost_price])</f>
        <v>4000</v>
      </c>
      <c r="P665" s="11">
        <f>_xlfn.XLOOKUP(order[[#This Row],[order_id]],shipment[order_id],shipment[ship_date])</f>
        <v>45434</v>
      </c>
      <c r="Q665" s="11">
        <f>_xlfn.XLOOKUP(order[[#This Row],[order_id]],shipment[order_id],shipment[delivery_date])</f>
        <v>45437</v>
      </c>
      <c r="R665" s="3" t="str">
        <f>_xlfn.XLOOKUP(order[[#This Row],[order_id]],shipment[shipment_id],shipment[courier])</f>
        <v>BlueDart</v>
      </c>
      <c r="S665" s="3">
        <f>order[[#This Row],[selling_price]]-order[[#This Row],[cost_price]]*order[[#This Row],[quantity]]-order[[#This Row],[discount]]</f>
        <v>50345</v>
      </c>
      <c r="T665" s="3">
        <f>order[[#This Row],[quantity]]*order[[#This Row],[selling_price]]</f>
        <v>55788</v>
      </c>
    </row>
    <row r="666" spans="1:20" x14ac:dyDescent="0.3">
      <c r="A666">
        <v>665</v>
      </c>
      <c r="B666" s="11">
        <v>45594</v>
      </c>
      <c r="C666">
        <v>265</v>
      </c>
      <c r="D666" t="str">
        <f>_xlfn.XLOOKUP(order[[#This Row],[customer_id]],customer[customer_id],customer[customer_name])</f>
        <v>Arjun Nair</v>
      </c>
      <c r="E666">
        <v>203</v>
      </c>
      <c r="F666">
        <v>2</v>
      </c>
      <c r="G666">
        <v>25388</v>
      </c>
      <c r="H666">
        <v>4529</v>
      </c>
      <c r="I666" t="s">
        <v>11</v>
      </c>
      <c r="J666" t="s">
        <v>14</v>
      </c>
      <c r="K666" t="str">
        <f>_xlfn.XLOOKUP(order[[#This Row],[customer_id]],customer[customer_id],customer[city])</f>
        <v>Bangalore</v>
      </c>
      <c r="L666" t="str">
        <f>_xlfn.XLOOKUP(order[[#This Row],[customer_id]],customer[customer_id],customer[state])</f>
        <v>Karnataka</v>
      </c>
      <c r="M666" t="str">
        <f>_xlfn.XLOOKUP(order[[#This Row],[product_id]],products!$A$2:$A$11,products!$B$2:$B$11)</f>
        <v>Nike Air Max Shoes</v>
      </c>
      <c r="N666" s="3" t="str">
        <f>_xlfn.XLOOKUP(order[[#This Row],[product_id]],products!$A$2:$A$11,products!$C$2:$C$11)</f>
        <v>Fashion</v>
      </c>
      <c r="O666" s="3">
        <f>_xlfn.XLOOKUP(order[[#This Row],[product_id]],Table4[product_id],Table4[cost_price])</f>
        <v>4000</v>
      </c>
      <c r="P666" s="11">
        <f>_xlfn.XLOOKUP(order[[#This Row],[order_id]],shipment[order_id],shipment[ship_date])</f>
        <v>45323</v>
      </c>
      <c r="Q666" s="11">
        <f>_xlfn.XLOOKUP(order[[#This Row],[order_id]],shipment[order_id],shipment[delivery_date])</f>
        <v>45326</v>
      </c>
      <c r="R666" s="3" t="str">
        <f>_xlfn.XLOOKUP(order[[#This Row],[order_id]],shipment[shipment_id],shipment[courier])</f>
        <v>BlueDart</v>
      </c>
      <c r="S666" s="3">
        <f>order[[#This Row],[selling_price]]-order[[#This Row],[cost_price]]*order[[#This Row],[quantity]]-order[[#This Row],[discount]]</f>
        <v>12859</v>
      </c>
      <c r="T666" s="3">
        <f>order[[#This Row],[quantity]]*order[[#This Row],[selling_price]]</f>
        <v>50776</v>
      </c>
    </row>
    <row r="667" spans="1:20" x14ac:dyDescent="0.3">
      <c r="A667">
        <v>666</v>
      </c>
      <c r="B667" s="11">
        <v>45655</v>
      </c>
      <c r="C667">
        <v>121</v>
      </c>
      <c r="D667" t="str">
        <f>_xlfn.XLOOKUP(order[[#This Row],[customer_id]],customer[customer_id],customer[customer_name])</f>
        <v>Rohit Verma</v>
      </c>
      <c r="E667">
        <v>205</v>
      </c>
      <c r="F667">
        <v>1</v>
      </c>
      <c r="G667">
        <v>57440</v>
      </c>
      <c r="H667">
        <v>2691</v>
      </c>
      <c r="I667" t="s">
        <v>15</v>
      </c>
      <c r="J667" t="s">
        <v>10</v>
      </c>
      <c r="K667" t="str">
        <f>_xlfn.XLOOKUP(order[[#This Row],[customer_id]],customer[customer_id],customer[city])</f>
        <v>Bangalore</v>
      </c>
      <c r="L667" t="str">
        <f>_xlfn.XLOOKUP(order[[#This Row],[customer_id]],customer[customer_id],customer[state])</f>
        <v>Karnataka</v>
      </c>
      <c r="M667" t="str">
        <f>_xlfn.XLOOKUP(order[[#This Row],[product_id]],products!$A$2:$A$11,products!$B$2:$B$11)</f>
        <v>Prestige Pressure Cooker 5L</v>
      </c>
      <c r="N667" s="3" t="str">
        <f>_xlfn.XLOOKUP(order[[#This Row],[product_id]],products!$A$2:$A$11,products!$C$2:$C$11)</f>
        <v>Home &amp; Kitchen</v>
      </c>
      <c r="O667" s="3">
        <f>_xlfn.XLOOKUP(order[[#This Row],[product_id]],Table4[product_id],Table4[cost_price])</f>
        <v>1200</v>
      </c>
      <c r="P667" s="11">
        <f>_xlfn.XLOOKUP(order[[#This Row],[order_id]],shipment[order_id],shipment[ship_date])</f>
        <v>45426</v>
      </c>
      <c r="Q667" s="11">
        <f>_xlfn.XLOOKUP(order[[#This Row],[order_id]],shipment[order_id],shipment[delivery_date])</f>
        <v>45427</v>
      </c>
      <c r="R667" s="3" t="str">
        <f>_xlfn.XLOOKUP(order[[#This Row],[order_id]],shipment[shipment_id],shipment[courier])</f>
        <v>BlueDart</v>
      </c>
      <c r="S667" s="3">
        <f>order[[#This Row],[selling_price]]-order[[#This Row],[cost_price]]*order[[#This Row],[quantity]]-order[[#This Row],[discount]]</f>
        <v>53549</v>
      </c>
      <c r="T667" s="3">
        <f>order[[#This Row],[quantity]]*order[[#This Row],[selling_price]]</f>
        <v>57440</v>
      </c>
    </row>
    <row r="668" spans="1:20" x14ac:dyDescent="0.3">
      <c r="A668">
        <v>501</v>
      </c>
      <c r="B668" s="11">
        <v>45571</v>
      </c>
      <c r="C668">
        <v>152</v>
      </c>
      <c r="D668" t="str">
        <f>_xlfn.XLOOKUP(order[[#This Row],[customer_id]],customer[customer_id],customer[customer_name])</f>
        <v>Manish Yadav</v>
      </c>
      <c r="E668">
        <v>210</v>
      </c>
      <c r="F668">
        <v>1</v>
      </c>
      <c r="G668">
        <v>27209</v>
      </c>
      <c r="H668">
        <v>1755</v>
      </c>
      <c r="I668" t="s">
        <v>9</v>
      </c>
      <c r="J668" t="s">
        <v>10</v>
      </c>
      <c r="K668" t="str">
        <f>_xlfn.XLOOKUP(order[[#This Row],[customer_id]],customer[customer_id],customer[city])</f>
        <v>Bangalore</v>
      </c>
      <c r="L668" t="str">
        <f>_xlfn.XLOOKUP(order[[#This Row],[customer_id]],customer[customer_id],customer[state])</f>
        <v>Karnataka</v>
      </c>
      <c r="M668" t="str">
        <f>_xlfn.XLOOKUP(order[[#This Row],[product_id]],products!$A$2:$A$11,products!$B$2:$B$11)</f>
        <v>LG 43 Inch Smart TV</v>
      </c>
      <c r="N668" s="3" t="str">
        <f>_xlfn.XLOOKUP(order[[#This Row],[product_id]],products!$A$2:$A$11,products!$C$2:$C$11)</f>
        <v>Electronics</v>
      </c>
      <c r="O668" s="3">
        <f>_xlfn.XLOOKUP(order[[#This Row],[product_id]],Table4[product_id],Table4[cost_price])</f>
        <v>30000</v>
      </c>
      <c r="P668" s="11">
        <f>_xlfn.XLOOKUP(order[[#This Row],[order_id]],shipment[order_id],shipment[ship_date])</f>
        <v>45420</v>
      </c>
      <c r="Q668" s="11">
        <f>_xlfn.XLOOKUP(order[[#This Row],[order_id]],shipment[order_id],shipment[delivery_date])</f>
        <v>45422</v>
      </c>
      <c r="R668" s="3" t="str">
        <f>_xlfn.XLOOKUP(order[[#This Row],[order_id]],shipment[shipment_id],shipment[courier])</f>
        <v>BlueDart</v>
      </c>
      <c r="S668" s="3">
        <f>order[[#This Row],[selling_price]]-order[[#This Row],[cost_price]]*order[[#This Row],[quantity]]-order[[#This Row],[discount]]</f>
        <v>-4546</v>
      </c>
      <c r="T668" s="3">
        <f>order[[#This Row],[quantity]]*order[[#This Row],[selling_price]]</f>
        <v>27209</v>
      </c>
    </row>
    <row r="669" spans="1:20" x14ac:dyDescent="0.3">
      <c r="A669">
        <v>94</v>
      </c>
      <c r="B669" s="11">
        <v>45509</v>
      </c>
      <c r="C669">
        <v>223</v>
      </c>
      <c r="D669" t="str">
        <f>_xlfn.XLOOKUP(order[[#This Row],[customer_id]],customer[customer_id],customer[customer_name])</f>
        <v>Manish Yadav</v>
      </c>
      <c r="E669">
        <v>210</v>
      </c>
      <c r="F669">
        <v>2</v>
      </c>
      <c r="G669">
        <v>48239</v>
      </c>
      <c r="H669">
        <v>1736</v>
      </c>
      <c r="I669" t="s">
        <v>9</v>
      </c>
      <c r="J669" t="s">
        <v>12</v>
      </c>
      <c r="K669" t="str">
        <f>_xlfn.XLOOKUP(order[[#This Row],[customer_id]],customer[customer_id],customer[city])</f>
        <v>Delhi</v>
      </c>
      <c r="L669" t="str">
        <f>_xlfn.XLOOKUP(order[[#This Row],[customer_id]],customer[customer_id],customer[state])</f>
        <v>Delhi</v>
      </c>
      <c r="M669" t="str">
        <f>_xlfn.XLOOKUP(order[[#This Row],[product_id]],products!$A$2:$A$11,products!$B$2:$B$11)</f>
        <v>LG 43 Inch Smart TV</v>
      </c>
      <c r="N669" s="3" t="str">
        <f>_xlfn.XLOOKUP(order[[#This Row],[product_id]],products!$A$2:$A$11,products!$C$2:$C$11)</f>
        <v>Electronics</v>
      </c>
      <c r="O669" s="3">
        <f>_xlfn.XLOOKUP(order[[#This Row],[product_id]],Table4[product_id],Table4[cost_price])</f>
        <v>30000</v>
      </c>
      <c r="P669" s="11">
        <f>_xlfn.XLOOKUP(order[[#This Row],[order_id]],shipment[order_id],shipment[ship_date])</f>
        <v>45369</v>
      </c>
      <c r="Q669" s="11">
        <f>_xlfn.XLOOKUP(order[[#This Row],[order_id]],shipment[order_id],shipment[delivery_date])</f>
        <v>45374</v>
      </c>
      <c r="R669" s="3" t="str">
        <f>_xlfn.XLOOKUP(order[[#This Row],[order_id]],shipment[shipment_id],shipment[courier])</f>
        <v>DTDC</v>
      </c>
      <c r="S669" s="3">
        <f>order[[#This Row],[selling_price]]-order[[#This Row],[cost_price]]*order[[#This Row],[quantity]]-order[[#This Row],[discount]]</f>
        <v>-13497</v>
      </c>
      <c r="T669" s="3">
        <f>order[[#This Row],[quantity]]*order[[#This Row],[selling_price]]</f>
        <v>96478</v>
      </c>
    </row>
    <row r="670" spans="1:20" x14ac:dyDescent="0.3">
      <c r="A670">
        <v>669</v>
      </c>
      <c r="B670" s="11">
        <v>45457</v>
      </c>
      <c r="C670">
        <v>226</v>
      </c>
      <c r="D670" t="str">
        <f>_xlfn.XLOOKUP(order[[#This Row],[customer_id]],customer[customer_id],customer[customer_name])</f>
        <v>Rahul Mehta</v>
      </c>
      <c r="E670">
        <v>203</v>
      </c>
      <c r="F670">
        <v>3</v>
      </c>
      <c r="G670">
        <v>28619</v>
      </c>
      <c r="H670">
        <v>1848</v>
      </c>
      <c r="I670" t="s">
        <v>9</v>
      </c>
      <c r="J670" t="s">
        <v>12</v>
      </c>
      <c r="K670" t="str">
        <f>_xlfn.XLOOKUP(order[[#This Row],[customer_id]],customer[customer_id],customer[city])</f>
        <v>Bangalore</v>
      </c>
      <c r="L670" t="str">
        <f>_xlfn.XLOOKUP(order[[#This Row],[customer_id]],customer[customer_id],customer[state])</f>
        <v>Karnataka</v>
      </c>
      <c r="M670" t="str">
        <f>_xlfn.XLOOKUP(order[[#This Row],[product_id]],products!$A$2:$A$11,products!$B$2:$B$11)</f>
        <v>Nike Air Max Shoes</v>
      </c>
      <c r="N670" s="3" t="str">
        <f>_xlfn.XLOOKUP(order[[#This Row],[product_id]],products!$A$2:$A$11,products!$C$2:$C$11)</f>
        <v>Fashion</v>
      </c>
      <c r="O670" s="3">
        <f>_xlfn.XLOOKUP(order[[#This Row],[product_id]],Table4[product_id],Table4[cost_price])</f>
        <v>4000</v>
      </c>
      <c r="P670" s="11">
        <f>_xlfn.XLOOKUP(order[[#This Row],[order_id]],shipment[order_id],shipment[ship_date])</f>
        <v>45294</v>
      </c>
      <c r="Q670" s="11">
        <f>_xlfn.XLOOKUP(order[[#This Row],[order_id]],shipment[order_id],shipment[delivery_date])</f>
        <v>45297</v>
      </c>
      <c r="R670" s="3" t="str">
        <f>_xlfn.XLOOKUP(order[[#This Row],[order_id]],shipment[shipment_id],shipment[courier])</f>
        <v>BlueDart</v>
      </c>
      <c r="S670" s="3">
        <f>order[[#This Row],[selling_price]]-order[[#This Row],[cost_price]]*order[[#This Row],[quantity]]-order[[#This Row],[discount]]</f>
        <v>14771</v>
      </c>
      <c r="T670" s="3">
        <f>order[[#This Row],[quantity]]*order[[#This Row],[selling_price]]</f>
        <v>85857</v>
      </c>
    </row>
    <row r="671" spans="1:20" x14ac:dyDescent="0.3">
      <c r="A671">
        <v>281</v>
      </c>
      <c r="B671" s="11">
        <v>45429</v>
      </c>
      <c r="C671">
        <v>110</v>
      </c>
      <c r="D671" t="str">
        <f>_xlfn.XLOOKUP(order[[#This Row],[customer_id]],customer[customer_id],customer[customer_name])</f>
        <v>Rahul Mehta</v>
      </c>
      <c r="E671">
        <v>210</v>
      </c>
      <c r="F671">
        <v>4</v>
      </c>
      <c r="G671">
        <v>2617</v>
      </c>
      <c r="H671">
        <v>1679</v>
      </c>
      <c r="I671" t="s">
        <v>11</v>
      </c>
      <c r="J671" t="s">
        <v>12</v>
      </c>
      <c r="K671" t="str">
        <f>_xlfn.XLOOKUP(order[[#This Row],[customer_id]],customer[customer_id],customer[city])</f>
        <v>Delhi</v>
      </c>
      <c r="L671" t="str">
        <f>_xlfn.XLOOKUP(order[[#This Row],[customer_id]],customer[customer_id],customer[state])</f>
        <v>Delhi</v>
      </c>
      <c r="M671" t="str">
        <f>_xlfn.XLOOKUP(order[[#This Row],[product_id]],products!$A$2:$A$11,products!$B$2:$B$11)</f>
        <v>LG 43 Inch Smart TV</v>
      </c>
      <c r="N671" s="3" t="str">
        <f>_xlfn.XLOOKUP(order[[#This Row],[product_id]],products!$A$2:$A$11,products!$C$2:$C$11)</f>
        <v>Electronics</v>
      </c>
      <c r="O671" s="3">
        <f>_xlfn.XLOOKUP(order[[#This Row],[product_id]],Table4[product_id],Table4[cost_price])</f>
        <v>30000</v>
      </c>
      <c r="P671" s="11">
        <f>_xlfn.XLOOKUP(order[[#This Row],[order_id]],shipment[order_id],shipment[ship_date])</f>
        <v>45588</v>
      </c>
      <c r="Q671" s="11">
        <f>_xlfn.XLOOKUP(order[[#This Row],[order_id]],shipment[order_id],shipment[delivery_date])</f>
        <v>45590</v>
      </c>
      <c r="R671" s="3" t="str">
        <f>_xlfn.XLOOKUP(order[[#This Row],[order_id]],shipment[shipment_id],shipment[courier])</f>
        <v>Ekart</v>
      </c>
      <c r="S671" s="3">
        <f>order[[#This Row],[selling_price]]-order[[#This Row],[cost_price]]*order[[#This Row],[quantity]]-order[[#This Row],[discount]]</f>
        <v>-119062</v>
      </c>
      <c r="T671" s="3">
        <f>order[[#This Row],[quantity]]*order[[#This Row],[selling_price]]</f>
        <v>10468</v>
      </c>
    </row>
    <row r="672" spans="1:20" x14ac:dyDescent="0.3">
      <c r="A672">
        <v>133</v>
      </c>
      <c r="B672" s="11">
        <v>45585</v>
      </c>
      <c r="C672">
        <v>256</v>
      </c>
      <c r="D672" t="str">
        <f>_xlfn.XLOOKUP(order[[#This Row],[customer_id]],customer[customer_id],customer[customer_name])</f>
        <v>Priya Reddy</v>
      </c>
      <c r="E672">
        <v>210</v>
      </c>
      <c r="F672">
        <v>4</v>
      </c>
      <c r="G672">
        <v>20404</v>
      </c>
      <c r="H672">
        <v>1663</v>
      </c>
      <c r="I672" t="s">
        <v>13</v>
      </c>
      <c r="J672" t="s">
        <v>14</v>
      </c>
      <c r="K672" t="str">
        <f>_xlfn.XLOOKUP(order[[#This Row],[customer_id]],customer[customer_id],customer[city])</f>
        <v>Hyderabad</v>
      </c>
      <c r="L672" t="str">
        <f>_xlfn.XLOOKUP(order[[#This Row],[customer_id]],customer[customer_id],customer[state])</f>
        <v>Telangana</v>
      </c>
      <c r="M672" t="str">
        <f>_xlfn.XLOOKUP(order[[#This Row],[product_id]],products!$A$2:$A$11,products!$B$2:$B$11)</f>
        <v>LG 43 Inch Smart TV</v>
      </c>
      <c r="N672" s="3" t="str">
        <f>_xlfn.XLOOKUP(order[[#This Row],[product_id]],products!$A$2:$A$11,products!$C$2:$C$11)</f>
        <v>Electronics</v>
      </c>
      <c r="O672" s="3">
        <f>_xlfn.XLOOKUP(order[[#This Row],[product_id]],Table4[product_id],Table4[cost_price])</f>
        <v>30000</v>
      </c>
      <c r="P672" s="11">
        <f>_xlfn.XLOOKUP(order[[#This Row],[order_id]],shipment[order_id],shipment[ship_date])</f>
        <v>45445</v>
      </c>
      <c r="Q672" s="11">
        <f>_xlfn.XLOOKUP(order[[#This Row],[order_id]],shipment[order_id],shipment[delivery_date])</f>
        <v>45449</v>
      </c>
      <c r="R672" s="3" t="str">
        <f>_xlfn.XLOOKUP(order[[#This Row],[order_id]],shipment[shipment_id],shipment[courier])</f>
        <v>Ekart</v>
      </c>
      <c r="S672" s="3">
        <f>order[[#This Row],[selling_price]]-order[[#This Row],[cost_price]]*order[[#This Row],[quantity]]-order[[#This Row],[discount]]</f>
        <v>-101259</v>
      </c>
      <c r="T672" s="3">
        <f>order[[#This Row],[quantity]]*order[[#This Row],[selling_price]]</f>
        <v>81616</v>
      </c>
    </row>
    <row r="673" spans="1:20" x14ac:dyDescent="0.3">
      <c r="A673">
        <v>672</v>
      </c>
      <c r="B673" s="11">
        <v>45446</v>
      </c>
      <c r="C673">
        <v>230</v>
      </c>
      <c r="D673" t="str">
        <f>_xlfn.XLOOKUP(order[[#This Row],[customer_id]],customer[customer_id],customer[customer_name])</f>
        <v>Rohit Verma</v>
      </c>
      <c r="E673">
        <v>205</v>
      </c>
      <c r="F673">
        <v>3</v>
      </c>
      <c r="G673">
        <v>24852</v>
      </c>
      <c r="H673">
        <v>4412</v>
      </c>
      <c r="I673" t="s">
        <v>11</v>
      </c>
      <c r="J673" t="s">
        <v>12</v>
      </c>
      <c r="K673" t="str">
        <f>_xlfn.XLOOKUP(order[[#This Row],[customer_id]],customer[customer_id],customer[city])</f>
        <v>Mumbai</v>
      </c>
      <c r="L673" t="str">
        <f>_xlfn.XLOOKUP(order[[#This Row],[customer_id]],customer[customer_id],customer[state])</f>
        <v>Maharashtra</v>
      </c>
      <c r="M673" t="str">
        <f>_xlfn.XLOOKUP(order[[#This Row],[product_id]],products!$A$2:$A$11,products!$B$2:$B$11)</f>
        <v>Prestige Pressure Cooker 5L</v>
      </c>
      <c r="N673" s="3" t="str">
        <f>_xlfn.XLOOKUP(order[[#This Row],[product_id]],products!$A$2:$A$11,products!$C$2:$C$11)</f>
        <v>Home &amp; Kitchen</v>
      </c>
      <c r="O673" s="3">
        <f>_xlfn.XLOOKUP(order[[#This Row],[product_id]],Table4[product_id],Table4[cost_price])</f>
        <v>1200</v>
      </c>
      <c r="P673" s="11">
        <f>_xlfn.XLOOKUP(order[[#This Row],[order_id]],shipment[order_id],shipment[ship_date])</f>
        <v>45304</v>
      </c>
      <c r="Q673" s="11">
        <f>_xlfn.XLOOKUP(order[[#This Row],[order_id]],shipment[order_id],shipment[delivery_date])</f>
        <v>45307</v>
      </c>
      <c r="R673" s="3" t="str">
        <f>_xlfn.XLOOKUP(order[[#This Row],[order_id]],shipment[shipment_id],shipment[courier])</f>
        <v>DTDC</v>
      </c>
      <c r="S673" s="3">
        <f>order[[#This Row],[selling_price]]-order[[#This Row],[cost_price]]*order[[#This Row],[quantity]]-order[[#This Row],[discount]]</f>
        <v>16840</v>
      </c>
      <c r="T673" s="3">
        <f>order[[#This Row],[quantity]]*order[[#This Row],[selling_price]]</f>
        <v>74556</v>
      </c>
    </row>
    <row r="674" spans="1:20" x14ac:dyDescent="0.3">
      <c r="A674">
        <v>1102</v>
      </c>
      <c r="B674" s="11">
        <v>45594</v>
      </c>
      <c r="C674">
        <v>180</v>
      </c>
      <c r="D674" t="str">
        <f>_xlfn.XLOOKUP(order[[#This Row],[customer_id]],customer[customer_id],customer[customer_name])</f>
        <v>Siddharth Jain</v>
      </c>
      <c r="E674">
        <v>210</v>
      </c>
      <c r="F674">
        <v>3</v>
      </c>
      <c r="G674">
        <v>62873</v>
      </c>
      <c r="H674">
        <v>1640</v>
      </c>
      <c r="I674" t="s">
        <v>9</v>
      </c>
      <c r="J674" t="s">
        <v>10</v>
      </c>
      <c r="K674" t="str">
        <f>_xlfn.XLOOKUP(order[[#This Row],[customer_id]],customer[customer_id],customer[city])</f>
        <v>Hyderabad</v>
      </c>
      <c r="L674" t="str">
        <f>_xlfn.XLOOKUP(order[[#This Row],[customer_id]],customer[customer_id],customer[state])</f>
        <v>Telangana</v>
      </c>
      <c r="M674" t="str">
        <f>_xlfn.XLOOKUP(order[[#This Row],[product_id]],products!$A$2:$A$11,products!$B$2:$B$11)</f>
        <v>LG 43 Inch Smart TV</v>
      </c>
      <c r="N674" s="3" t="str">
        <f>_xlfn.XLOOKUP(order[[#This Row],[product_id]],products!$A$2:$A$11,products!$C$2:$C$11)</f>
        <v>Electronics</v>
      </c>
      <c r="O674" s="3">
        <f>_xlfn.XLOOKUP(order[[#This Row],[product_id]],Table4[product_id],Table4[cost_price])</f>
        <v>30000</v>
      </c>
      <c r="P674" s="11">
        <f>_xlfn.XLOOKUP(order[[#This Row],[order_id]],shipment[order_id],shipment[ship_date])</f>
        <v>45614</v>
      </c>
      <c r="Q674" s="11">
        <f>_xlfn.XLOOKUP(order[[#This Row],[order_id]],shipment[order_id],shipment[delivery_date])</f>
        <v>45623</v>
      </c>
      <c r="R674" s="3" t="str">
        <f>_xlfn.XLOOKUP(order[[#This Row],[order_id]],shipment[shipment_id],shipment[courier])</f>
        <v>DTDC</v>
      </c>
      <c r="S674" s="3">
        <f>order[[#This Row],[selling_price]]-order[[#This Row],[cost_price]]*order[[#This Row],[quantity]]-order[[#This Row],[discount]]</f>
        <v>-28767</v>
      </c>
      <c r="T674" s="3">
        <f>order[[#This Row],[quantity]]*order[[#This Row],[selling_price]]</f>
        <v>188619</v>
      </c>
    </row>
    <row r="675" spans="1:20" x14ac:dyDescent="0.3">
      <c r="A675">
        <v>973</v>
      </c>
      <c r="B675" s="11">
        <v>45433</v>
      </c>
      <c r="C675">
        <v>226</v>
      </c>
      <c r="D675" t="str">
        <f>_xlfn.XLOOKUP(order[[#This Row],[customer_id]],customer[customer_id],customer[customer_name])</f>
        <v>Rahul Mehta</v>
      </c>
      <c r="E675">
        <v>210</v>
      </c>
      <c r="F675">
        <v>3</v>
      </c>
      <c r="G675">
        <v>24478</v>
      </c>
      <c r="H675">
        <v>1569</v>
      </c>
      <c r="I675" t="s">
        <v>9</v>
      </c>
      <c r="J675" t="s">
        <v>10</v>
      </c>
      <c r="K675" t="str">
        <f>_xlfn.XLOOKUP(order[[#This Row],[customer_id]],customer[customer_id],customer[city])</f>
        <v>Bangalore</v>
      </c>
      <c r="L675" t="str">
        <f>_xlfn.XLOOKUP(order[[#This Row],[customer_id]],customer[customer_id],customer[state])</f>
        <v>Karnataka</v>
      </c>
      <c r="M675" t="str">
        <f>_xlfn.XLOOKUP(order[[#This Row],[product_id]],products!$A$2:$A$11,products!$B$2:$B$11)</f>
        <v>LG 43 Inch Smart TV</v>
      </c>
      <c r="N675" s="3" t="str">
        <f>_xlfn.XLOOKUP(order[[#This Row],[product_id]],products!$A$2:$A$11,products!$C$2:$C$11)</f>
        <v>Electronics</v>
      </c>
      <c r="O675" s="3">
        <f>_xlfn.XLOOKUP(order[[#This Row],[product_id]],Table4[product_id],Table4[cost_price])</f>
        <v>30000</v>
      </c>
      <c r="P675" s="11">
        <f>_xlfn.XLOOKUP(order[[#This Row],[order_id]],shipment[order_id],shipment[ship_date])</f>
        <v>45321</v>
      </c>
      <c r="Q675" s="11">
        <f>_xlfn.XLOOKUP(order[[#This Row],[order_id]],shipment[order_id],shipment[delivery_date])</f>
        <v>45325</v>
      </c>
      <c r="R675" s="3" t="str">
        <f>_xlfn.XLOOKUP(order[[#This Row],[order_id]],shipment[shipment_id],shipment[courier])</f>
        <v>Delhivery</v>
      </c>
      <c r="S675" s="3">
        <f>order[[#This Row],[selling_price]]-order[[#This Row],[cost_price]]*order[[#This Row],[quantity]]-order[[#This Row],[discount]]</f>
        <v>-67091</v>
      </c>
      <c r="T675" s="3">
        <f>order[[#This Row],[quantity]]*order[[#This Row],[selling_price]]</f>
        <v>73434</v>
      </c>
    </row>
    <row r="676" spans="1:20" x14ac:dyDescent="0.3">
      <c r="A676">
        <v>675</v>
      </c>
      <c r="B676" s="11">
        <v>45461</v>
      </c>
      <c r="C676">
        <v>121</v>
      </c>
      <c r="D676" t="str">
        <f>_xlfn.XLOOKUP(order[[#This Row],[customer_id]],customer[customer_id],customer[customer_name])</f>
        <v>Rohit Verma</v>
      </c>
      <c r="E676">
        <v>205</v>
      </c>
      <c r="F676">
        <v>3</v>
      </c>
      <c r="G676">
        <v>51118</v>
      </c>
      <c r="H676">
        <v>1924</v>
      </c>
      <c r="I676" t="s">
        <v>13</v>
      </c>
      <c r="J676" t="s">
        <v>12</v>
      </c>
      <c r="K676" t="str">
        <f>_xlfn.XLOOKUP(order[[#This Row],[customer_id]],customer[customer_id],customer[city])</f>
        <v>Bangalore</v>
      </c>
      <c r="L676" t="str">
        <f>_xlfn.XLOOKUP(order[[#This Row],[customer_id]],customer[customer_id],customer[state])</f>
        <v>Karnataka</v>
      </c>
      <c r="M676" t="str">
        <f>_xlfn.XLOOKUP(order[[#This Row],[product_id]],products!$A$2:$A$11,products!$B$2:$B$11)</f>
        <v>Prestige Pressure Cooker 5L</v>
      </c>
      <c r="N676" s="3" t="str">
        <f>_xlfn.XLOOKUP(order[[#This Row],[product_id]],products!$A$2:$A$11,products!$C$2:$C$11)</f>
        <v>Home &amp; Kitchen</v>
      </c>
      <c r="O676" s="3">
        <f>_xlfn.XLOOKUP(order[[#This Row],[product_id]],Table4[product_id],Table4[cost_price])</f>
        <v>1200</v>
      </c>
      <c r="P676" s="11">
        <f>_xlfn.XLOOKUP(order[[#This Row],[order_id]],shipment[order_id],shipment[ship_date])</f>
        <v>45300</v>
      </c>
      <c r="Q676" s="11">
        <f>_xlfn.XLOOKUP(order[[#This Row],[order_id]],shipment[order_id],shipment[delivery_date])</f>
        <v>45308</v>
      </c>
      <c r="R676" s="3" t="str">
        <f>_xlfn.XLOOKUP(order[[#This Row],[order_id]],shipment[shipment_id],shipment[courier])</f>
        <v>BlueDart</v>
      </c>
      <c r="S676" s="3">
        <f>order[[#This Row],[selling_price]]-order[[#This Row],[cost_price]]*order[[#This Row],[quantity]]-order[[#This Row],[discount]]</f>
        <v>45594</v>
      </c>
      <c r="T676" s="3">
        <f>order[[#This Row],[quantity]]*order[[#This Row],[selling_price]]</f>
        <v>153354</v>
      </c>
    </row>
    <row r="677" spans="1:20" x14ac:dyDescent="0.3">
      <c r="A677">
        <v>748</v>
      </c>
      <c r="B677" s="11">
        <v>45650</v>
      </c>
      <c r="C677">
        <v>296</v>
      </c>
      <c r="D677" t="str">
        <f>_xlfn.XLOOKUP(order[[#This Row],[customer_id]],customer[customer_id],customer[customer_name])</f>
        <v>Rohit Verma</v>
      </c>
      <c r="E677">
        <v>210</v>
      </c>
      <c r="F677">
        <v>2</v>
      </c>
      <c r="G677">
        <v>36902</v>
      </c>
      <c r="H677">
        <v>1562</v>
      </c>
      <c r="I677" t="s">
        <v>9</v>
      </c>
      <c r="J677" t="s">
        <v>12</v>
      </c>
      <c r="K677" t="str">
        <f>_xlfn.XLOOKUP(order[[#This Row],[customer_id]],customer[customer_id],customer[city])</f>
        <v>Pune</v>
      </c>
      <c r="L677" t="str">
        <f>_xlfn.XLOOKUP(order[[#This Row],[customer_id]],customer[customer_id],customer[state])</f>
        <v>Maharashtra</v>
      </c>
      <c r="M677" t="str">
        <f>_xlfn.XLOOKUP(order[[#This Row],[product_id]],products!$A$2:$A$11,products!$B$2:$B$11)</f>
        <v>LG 43 Inch Smart TV</v>
      </c>
      <c r="N677" s="3" t="str">
        <f>_xlfn.XLOOKUP(order[[#This Row],[product_id]],products!$A$2:$A$11,products!$C$2:$C$11)</f>
        <v>Electronics</v>
      </c>
      <c r="O677" s="3">
        <f>_xlfn.XLOOKUP(order[[#This Row],[product_id]],Table4[product_id],Table4[cost_price])</f>
        <v>30000</v>
      </c>
      <c r="P677" s="11">
        <f>_xlfn.XLOOKUP(order[[#This Row],[order_id]],shipment[order_id],shipment[ship_date])</f>
        <v>45421</v>
      </c>
      <c r="Q677" s="11">
        <f>_xlfn.XLOOKUP(order[[#This Row],[order_id]],shipment[order_id],shipment[delivery_date])</f>
        <v>45425</v>
      </c>
      <c r="R677" s="3" t="str">
        <f>_xlfn.XLOOKUP(order[[#This Row],[order_id]],shipment[shipment_id],shipment[courier])</f>
        <v>Ekart</v>
      </c>
      <c r="S677" s="3">
        <f>order[[#This Row],[selling_price]]-order[[#This Row],[cost_price]]*order[[#This Row],[quantity]]-order[[#This Row],[discount]]</f>
        <v>-24660</v>
      </c>
      <c r="T677" s="3">
        <f>order[[#This Row],[quantity]]*order[[#This Row],[selling_price]]</f>
        <v>73804</v>
      </c>
    </row>
    <row r="678" spans="1:20" x14ac:dyDescent="0.3">
      <c r="A678">
        <v>677</v>
      </c>
      <c r="B678" s="11">
        <v>45629</v>
      </c>
      <c r="C678">
        <v>184</v>
      </c>
      <c r="D678" t="str">
        <f>_xlfn.XLOOKUP(order[[#This Row],[customer_id]],customer[customer_id],customer[customer_name])</f>
        <v>Arjun Nair</v>
      </c>
      <c r="E678">
        <v>208</v>
      </c>
      <c r="F678">
        <v>4</v>
      </c>
      <c r="G678">
        <v>41660</v>
      </c>
      <c r="H678">
        <v>4503</v>
      </c>
      <c r="I678" t="s">
        <v>15</v>
      </c>
      <c r="J678" t="s">
        <v>14</v>
      </c>
      <c r="K678" t="str">
        <f>_xlfn.XLOOKUP(order[[#This Row],[customer_id]],customer[customer_id],customer[city])</f>
        <v>Delhi</v>
      </c>
      <c r="L678" t="str">
        <f>_xlfn.XLOOKUP(order[[#This Row],[customer_id]],customer[customer_id],customer[state])</f>
        <v>Delhi</v>
      </c>
      <c r="M678" t="str">
        <f>_xlfn.XLOOKUP(order[[#This Row],[product_id]],products!$A$2:$A$11,products!$B$2:$B$11)</f>
        <v>Adidas Ultraboost Shoes</v>
      </c>
      <c r="N678" s="3" t="str">
        <f>_xlfn.XLOOKUP(order[[#This Row],[product_id]],products!$A$2:$A$11,products!$C$2:$C$11)</f>
        <v>Fashion</v>
      </c>
      <c r="O678" s="3">
        <f>_xlfn.XLOOKUP(order[[#This Row],[product_id]],Table4[product_id],Table4[cost_price])</f>
        <v>9000</v>
      </c>
      <c r="P678" s="11">
        <f>_xlfn.XLOOKUP(order[[#This Row],[order_id]],shipment[order_id],shipment[ship_date])</f>
        <v>45370</v>
      </c>
      <c r="Q678" s="11">
        <f>_xlfn.XLOOKUP(order[[#This Row],[order_id]],shipment[order_id],shipment[delivery_date])</f>
        <v>45378</v>
      </c>
      <c r="R678" s="3" t="str">
        <f>_xlfn.XLOOKUP(order[[#This Row],[order_id]],shipment[shipment_id],shipment[courier])</f>
        <v>BlueDart</v>
      </c>
      <c r="S678" s="3">
        <f>order[[#This Row],[selling_price]]-order[[#This Row],[cost_price]]*order[[#This Row],[quantity]]-order[[#This Row],[discount]]</f>
        <v>1157</v>
      </c>
      <c r="T678" s="3">
        <f>order[[#This Row],[quantity]]*order[[#This Row],[selling_price]]</f>
        <v>166640</v>
      </c>
    </row>
    <row r="679" spans="1:20" x14ac:dyDescent="0.3">
      <c r="A679">
        <v>678</v>
      </c>
      <c r="B679" s="11">
        <v>45608</v>
      </c>
      <c r="C679">
        <v>162</v>
      </c>
      <c r="D679" t="str">
        <f>_xlfn.XLOOKUP(order[[#This Row],[customer_id]],customer[customer_id],customer[customer_name])</f>
        <v>Ananya Gupta</v>
      </c>
      <c r="E679">
        <v>206</v>
      </c>
      <c r="F679">
        <v>3</v>
      </c>
      <c r="G679">
        <v>56459</v>
      </c>
      <c r="H679">
        <v>1922</v>
      </c>
      <c r="I679" t="s">
        <v>15</v>
      </c>
      <c r="J679" t="s">
        <v>10</v>
      </c>
      <c r="K679" t="str">
        <f>_xlfn.XLOOKUP(order[[#This Row],[customer_id]],customer[customer_id],customer[city])</f>
        <v>Ahmedabad</v>
      </c>
      <c r="L679" t="str">
        <f>_xlfn.XLOOKUP(order[[#This Row],[customer_id]],customer[customer_id],customer[state])</f>
        <v>Gujarat</v>
      </c>
      <c r="M679" t="str">
        <f>_xlfn.XLOOKUP(order[[#This Row],[product_id]],products!$A$2:$A$11,products!$B$2:$B$11)</f>
        <v>Philips Air Fryer</v>
      </c>
      <c r="N679" s="3" t="str">
        <f>_xlfn.XLOOKUP(order[[#This Row],[product_id]],products!$A$2:$A$11,products!$C$2:$C$11)</f>
        <v>Home &amp; Kitchen</v>
      </c>
      <c r="O679" s="3">
        <f>_xlfn.XLOOKUP(order[[#This Row],[product_id]],Table4[product_id],Table4[cost_price])</f>
        <v>7000</v>
      </c>
      <c r="P679" s="11">
        <f>_xlfn.XLOOKUP(order[[#This Row],[order_id]],shipment[order_id],shipment[ship_date])</f>
        <v>45583</v>
      </c>
      <c r="Q679" s="11">
        <f>_xlfn.XLOOKUP(order[[#This Row],[order_id]],shipment[order_id],shipment[delivery_date])</f>
        <v>45590</v>
      </c>
      <c r="R679" s="3" t="str">
        <f>_xlfn.XLOOKUP(order[[#This Row],[order_id]],shipment[shipment_id],shipment[courier])</f>
        <v>DTDC</v>
      </c>
      <c r="S679" s="3">
        <f>order[[#This Row],[selling_price]]-order[[#This Row],[cost_price]]*order[[#This Row],[quantity]]-order[[#This Row],[discount]]</f>
        <v>33537</v>
      </c>
      <c r="T679" s="3">
        <f>order[[#This Row],[quantity]]*order[[#This Row],[selling_price]]</f>
        <v>169377</v>
      </c>
    </row>
    <row r="680" spans="1:20" x14ac:dyDescent="0.3">
      <c r="A680">
        <v>572</v>
      </c>
      <c r="B680" s="11">
        <v>45469</v>
      </c>
      <c r="C680">
        <v>253</v>
      </c>
      <c r="D680" t="str">
        <f>_xlfn.XLOOKUP(order[[#This Row],[customer_id]],customer[customer_id],customer[customer_name])</f>
        <v>Neha Kapoor</v>
      </c>
      <c r="E680">
        <v>210</v>
      </c>
      <c r="F680">
        <v>4</v>
      </c>
      <c r="G680">
        <v>13211</v>
      </c>
      <c r="H680">
        <v>1440</v>
      </c>
      <c r="I680" t="s">
        <v>9</v>
      </c>
      <c r="J680" t="s">
        <v>12</v>
      </c>
      <c r="K680" t="str">
        <f>_xlfn.XLOOKUP(order[[#This Row],[customer_id]],customer[customer_id],customer[city])</f>
        <v>Mumbai</v>
      </c>
      <c r="L680" t="str">
        <f>_xlfn.XLOOKUP(order[[#This Row],[customer_id]],customer[customer_id],customer[state])</f>
        <v>Maharashtra</v>
      </c>
      <c r="M680" t="str">
        <f>_xlfn.XLOOKUP(order[[#This Row],[product_id]],products!$A$2:$A$11,products!$B$2:$B$11)</f>
        <v>LG 43 Inch Smart TV</v>
      </c>
      <c r="N680" s="3" t="str">
        <f>_xlfn.XLOOKUP(order[[#This Row],[product_id]],products!$A$2:$A$11,products!$C$2:$C$11)</f>
        <v>Electronics</v>
      </c>
      <c r="O680" s="3">
        <f>_xlfn.XLOOKUP(order[[#This Row],[product_id]],Table4[product_id],Table4[cost_price])</f>
        <v>30000</v>
      </c>
      <c r="P680" s="11">
        <f>_xlfn.XLOOKUP(order[[#This Row],[order_id]],shipment[order_id],shipment[ship_date])</f>
        <v>45543</v>
      </c>
      <c r="Q680" s="11">
        <f>_xlfn.XLOOKUP(order[[#This Row],[order_id]],shipment[order_id],shipment[delivery_date])</f>
        <v>45544</v>
      </c>
      <c r="R680" s="3" t="str">
        <f>_xlfn.XLOOKUP(order[[#This Row],[order_id]],shipment[shipment_id],shipment[courier])</f>
        <v>BlueDart</v>
      </c>
      <c r="S680" s="3">
        <f>order[[#This Row],[selling_price]]-order[[#This Row],[cost_price]]*order[[#This Row],[quantity]]-order[[#This Row],[discount]]</f>
        <v>-108229</v>
      </c>
      <c r="T680" s="3">
        <f>order[[#This Row],[quantity]]*order[[#This Row],[selling_price]]</f>
        <v>52844</v>
      </c>
    </row>
    <row r="681" spans="1:20" x14ac:dyDescent="0.3">
      <c r="A681">
        <v>680</v>
      </c>
      <c r="B681" s="11">
        <v>45434</v>
      </c>
      <c r="C681">
        <v>271</v>
      </c>
      <c r="D681" t="str">
        <f>_xlfn.XLOOKUP(order[[#This Row],[customer_id]],customer[customer_id],customer[customer_name])</f>
        <v>Neha Kapoor</v>
      </c>
      <c r="E681">
        <v>204</v>
      </c>
      <c r="F681">
        <v>3</v>
      </c>
      <c r="G681">
        <v>65714</v>
      </c>
      <c r="H681">
        <v>2944</v>
      </c>
      <c r="I681" t="s">
        <v>11</v>
      </c>
      <c r="J681" t="s">
        <v>12</v>
      </c>
      <c r="K681" t="str">
        <f>_xlfn.XLOOKUP(order[[#This Row],[customer_id]],customer[customer_id],customer[city])</f>
        <v>Ahmedabad</v>
      </c>
      <c r="L681" t="str">
        <f>_xlfn.XLOOKUP(order[[#This Row],[customer_id]],customer[customer_id],customer[state])</f>
        <v>Gujarat</v>
      </c>
      <c r="M681" t="str">
        <f>_xlfn.XLOOKUP(order[[#This Row],[product_id]],products!$A$2:$A$11,products!$B$2:$B$11)</f>
        <v>Levi's Slim Fit Jeans</v>
      </c>
      <c r="N681" s="3" t="str">
        <f>_xlfn.XLOOKUP(order[[#This Row],[product_id]],products!$A$2:$A$11,products!$C$2:$C$11)</f>
        <v>Fashion</v>
      </c>
      <c r="O681" s="3">
        <f>_xlfn.XLOOKUP(order[[#This Row],[product_id]],Table4[product_id],Table4[cost_price])</f>
        <v>1800</v>
      </c>
      <c r="P681" s="11">
        <f>_xlfn.XLOOKUP(order[[#This Row],[order_id]],shipment[order_id],shipment[ship_date])</f>
        <v>45310</v>
      </c>
      <c r="Q681" s="11">
        <f>_xlfn.XLOOKUP(order[[#This Row],[order_id]],shipment[order_id],shipment[delivery_date])</f>
        <v>45315</v>
      </c>
      <c r="R681" s="3" t="str">
        <f>_xlfn.XLOOKUP(order[[#This Row],[order_id]],shipment[shipment_id],shipment[courier])</f>
        <v>Delhivery</v>
      </c>
      <c r="S681" s="3">
        <f>order[[#This Row],[selling_price]]-order[[#This Row],[cost_price]]*order[[#This Row],[quantity]]-order[[#This Row],[discount]]</f>
        <v>57370</v>
      </c>
      <c r="T681" s="3">
        <f>order[[#This Row],[quantity]]*order[[#This Row],[selling_price]]</f>
        <v>197142</v>
      </c>
    </row>
    <row r="682" spans="1:20" x14ac:dyDescent="0.3">
      <c r="A682">
        <v>681</v>
      </c>
      <c r="B682" s="11">
        <v>45346</v>
      </c>
      <c r="C682">
        <v>183</v>
      </c>
      <c r="D682" t="str">
        <f>_xlfn.XLOOKUP(order[[#This Row],[customer_id]],customer[customer_id],customer[customer_name])</f>
        <v>Rohit Verma</v>
      </c>
      <c r="E682">
        <v>204</v>
      </c>
      <c r="F682">
        <v>4</v>
      </c>
      <c r="G682">
        <v>22506</v>
      </c>
      <c r="H682">
        <v>133</v>
      </c>
      <c r="I682" t="s">
        <v>15</v>
      </c>
      <c r="J682" t="s">
        <v>14</v>
      </c>
      <c r="K682" t="str">
        <f>_xlfn.XLOOKUP(order[[#This Row],[customer_id]],customer[customer_id],customer[city])</f>
        <v>Bangalore</v>
      </c>
      <c r="L682" t="str">
        <f>_xlfn.XLOOKUP(order[[#This Row],[customer_id]],customer[customer_id],customer[state])</f>
        <v>Karnataka</v>
      </c>
      <c r="M682" t="str">
        <f>_xlfn.XLOOKUP(order[[#This Row],[product_id]],products!$A$2:$A$11,products!$B$2:$B$11)</f>
        <v>Levi's Slim Fit Jeans</v>
      </c>
      <c r="N682" s="3" t="str">
        <f>_xlfn.XLOOKUP(order[[#This Row],[product_id]],products!$A$2:$A$11,products!$C$2:$C$11)</f>
        <v>Fashion</v>
      </c>
      <c r="O682" s="3">
        <f>_xlfn.XLOOKUP(order[[#This Row],[product_id]],Table4[product_id],Table4[cost_price])</f>
        <v>1800</v>
      </c>
      <c r="P682" s="11">
        <f>_xlfn.XLOOKUP(order[[#This Row],[order_id]],shipment[order_id],shipment[ship_date])</f>
        <v>45390</v>
      </c>
      <c r="Q682" s="11">
        <f>_xlfn.XLOOKUP(order[[#This Row],[order_id]],shipment[order_id],shipment[delivery_date])</f>
        <v>45397</v>
      </c>
      <c r="R682" s="3" t="str">
        <f>_xlfn.XLOOKUP(order[[#This Row],[order_id]],shipment[shipment_id],shipment[courier])</f>
        <v>DTDC</v>
      </c>
      <c r="S682" s="3">
        <f>order[[#This Row],[selling_price]]-order[[#This Row],[cost_price]]*order[[#This Row],[quantity]]-order[[#This Row],[discount]]</f>
        <v>15173</v>
      </c>
      <c r="T682" s="3">
        <f>order[[#This Row],[quantity]]*order[[#This Row],[selling_price]]</f>
        <v>90024</v>
      </c>
    </row>
    <row r="683" spans="1:20" x14ac:dyDescent="0.3">
      <c r="A683">
        <v>682</v>
      </c>
      <c r="B683" s="11">
        <v>45490</v>
      </c>
      <c r="C683">
        <v>167</v>
      </c>
      <c r="D683" t="str">
        <f>_xlfn.XLOOKUP(order[[#This Row],[customer_id]],customer[customer_id],customer[customer_name])</f>
        <v>Siddharth Jain</v>
      </c>
      <c r="E683">
        <v>208</v>
      </c>
      <c r="F683">
        <v>3</v>
      </c>
      <c r="G683">
        <v>67038</v>
      </c>
      <c r="H683">
        <v>1225</v>
      </c>
      <c r="I683" t="s">
        <v>11</v>
      </c>
      <c r="J683" t="s">
        <v>14</v>
      </c>
      <c r="K683" t="str">
        <f>_xlfn.XLOOKUP(order[[#This Row],[customer_id]],customer[customer_id],customer[city])</f>
        <v>Ahmedabad</v>
      </c>
      <c r="L683" t="str">
        <f>_xlfn.XLOOKUP(order[[#This Row],[customer_id]],customer[customer_id],customer[state])</f>
        <v>Gujarat</v>
      </c>
      <c r="M683" t="str">
        <f>_xlfn.XLOOKUP(order[[#This Row],[product_id]],products!$A$2:$A$11,products!$B$2:$B$11)</f>
        <v>Adidas Ultraboost Shoes</v>
      </c>
      <c r="N683" s="3" t="str">
        <f>_xlfn.XLOOKUP(order[[#This Row],[product_id]],products!$A$2:$A$11,products!$C$2:$C$11)</f>
        <v>Fashion</v>
      </c>
      <c r="O683" s="3">
        <f>_xlfn.XLOOKUP(order[[#This Row],[product_id]],Table4[product_id],Table4[cost_price])</f>
        <v>9000</v>
      </c>
      <c r="P683" s="11">
        <f>_xlfn.XLOOKUP(order[[#This Row],[order_id]],shipment[order_id],shipment[ship_date])</f>
        <v>45625</v>
      </c>
      <c r="Q683" s="11">
        <f>_xlfn.XLOOKUP(order[[#This Row],[order_id]],shipment[order_id],shipment[delivery_date])</f>
        <v>45633</v>
      </c>
      <c r="R683" s="3" t="str">
        <f>_xlfn.XLOOKUP(order[[#This Row],[order_id]],shipment[shipment_id],shipment[courier])</f>
        <v>Ekart</v>
      </c>
      <c r="S683" s="3">
        <f>order[[#This Row],[selling_price]]-order[[#This Row],[cost_price]]*order[[#This Row],[quantity]]-order[[#This Row],[discount]]</f>
        <v>38813</v>
      </c>
      <c r="T683" s="3">
        <f>order[[#This Row],[quantity]]*order[[#This Row],[selling_price]]</f>
        <v>201114</v>
      </c>
    </row>
    <row r="684" spans="1:20" x14ac:dyDescent="0.3">
      <c r="A684">
        <v>399</v>
      </c>
      <c r="B684" s="11">
        <v>45366</v>
      </c>
      <c r="C684">
        <v>287</v>
      </c>
      <c r="D684" t="str">
        <f>_xlfn.XLOOKUP(order[[#This Row],[customer_id]],customer[customer_id],customer[customer_name])</f>
        <v>Karan Patel</v>
      </c>
      <c r="E684">
        <v>210</v>
      </c>
      <c r="F684">
        <v>4</v>
      </c>
      <c r="G684">
        <v>18849</v>
      </c>
      <c r="H684">
        <v>1429</v>
      </c>
      <c r="I684" t="s">
        <v>11</v>
      </c>
      <c r="J684" t="s">
        <v>10</v>
      </c>
      <c r="K684" t="str">
        <f>_xlfn.XLOOKUP(order[[#This Row],[customer_id]],customer[customer_id],customer[city])</f>
        <v>Chennai</v>
      </c>
      <c r="L684" t="str">
        <f>_xlfn.XLOOKUP(order[[#This Row],[customer_id]],customer[customer_id],customer[state])</f>
        <v>Tamil Nadu</v>
      </c>
      <c r="M684" t="str">
        <f>_xlfn.XLOOKUP(order[[#This Row],[product_id]],products!$A$2:$A$11,products!$B$2:$B$11)</f>
        <v>LG 43 Inch Smart TV</v>
      </c>
      <c r="N684" s="3" t="str">
        <f>_xlfn.XLOOKUP(order[[#This Row],[product_id]],products!$A$2:$A$11,products!$C$2:$C$11)</f>
        <v>Electronics</v>
      </c>
      <c r="O684" s="3">
        <f>_xlfn.XLOOKUP(order[[#This Row],[product_id]],Table4[product_id],Table4[cost_price])</f>
        <v>30000</v>
      </c>
      <c r="P684" s="11">
        <f>_xlfn.XLOOKUP(order[[#This Row],[order_id]],shipment[order_id],shipment[ship_date])</f>
        <v>45605</v>
      </c>
      <c r="Q684" s="11">
        <f>_xlfn.XLOOKUP(order[[#This Row],[order_id]],shipment[order_id],shipment[delivery_date])</f>
        <v>45612</v>
      </c>
      <c r="R684" s="3" t="str">
        <f>_xlfn.XLOOKUP(order[[#This Row],[order_id]],shipment[shipment_id],shipment[courier])</f>
        <v>Ekart</v>
      </c>
      <c r="S684" s="3">
        <f>order[[#This Row],[selling_price]]-order[[#This Row],[cost_price]]*order[[#This Row],[quantity]]-order[[#This Row],[discount]]</f>
        <v>-102580</v>
      </c>
      <c r="T684" s="3">
        <f>order[[#This Row],[quantity]]*order[[#This Row],[selling_price]]</f>
        <v>75396</v>
      </c>
    </row>
    <row r="685" spans="1:20" x14ac:dyDescent="0.3">
      <c r="A685">
        <v>684</v>
      </c>
      <c r="B685" s="11">
        <v>45485</v>
      </c>
      <c r="C685">
        <v>140</v>
      </c>
      <c r="D685" t="str">
        <f>_xlfn.XLOOKUP(order[[#This Row],[customer_id]],customer[customer_id],customer[customer_name])</f>
        <v>Neha Kapoor</v>
      </c>
      <c r="E685">
        <v>209</v>
      </c>
      <c r="F685">
        <v>4</v>
      </c>
      <c r="G685">
        <v>27139</v>
      </c>
      <c r="H685">
        <v>1481</v>
      </c>
      <c r="I685" t="s">
        <v>11</v>
      </c>
      <c r="J685" t="s">
        <v>14</v>
      </c>
      <c r="K685" t="str">
        <f>_xlfn.XLOOKUP(order[[#This Row],[customer_id]],customer[customer_id],customer[city])</f>
        <v>Chennai</v>
      </c>
      <c r="L685" t="str">
        <f>_xlfn.XLOOKUP(order[[#This Row],[customer_id]],customer[customer_id],customer[state])</f>
        <v>Tamil Nadu</v>
      </c>
      <c r="M685" t="str">
        <f>_xlfn.XLOOKUP(order[[#This Row],[product_id]],products!$A$2:$A$11,products!$B$2:$B$11)</f>
        <v>Milton Thermosteel Bottle</v>
      </c>
      <c r="N685" s="3" t="str">
        <f>_xlfn.XLOOKUP(order[[#This Row],[product_id]],products!$A$2:$A$11,products!$C$2:$C$11)</f>
        <v>Home &amp; Kitchen</v>
      </c>
      <c r="O685" s="3">
        <f>_xlfn.XLOOKUP(order[[#This Row],[product_id]],Table4[product_id],Table4[cost_price])</f>
        <v>800</v>
      </c>
      <c r="P685" s="11">
        <f>_xlfn.XLOOKUP(order[[#This Row],[order_id]],shipment[order_id],shipment[ship_date])</f>
        <v>45544</v>
      </c>
      <c r="Q685" s="11">
        <f>_xlfn.XLOOKUP(order[[#This Row],[order_id]],shipment[order_id],shipment[delivery_date])</f>
        <v>45553</v>
      </c>
      <c r="R685" s="3" t="str">
        <f>_xlfn.XLOOKUP(order[[#This Row],[order_id]],shipment[shipment_id],shipment[courier])</f>
        <v>Delhivery</v>
      </c>
      <c r="S685" s="3">
        <f>order[[#This Row],[selling_price]]-order[[#This Row],[cost_price]]*order[[#This Row],[quantity]]-order[[#This Row],[discount]]</f>
        <v>22458</v>
      </c>
      <c r="T685" s="3">
        <f>order[[#This Row],[quantity]]*order[[#This Row],[selling_price]]</f>
        <v>108556</v>
      </c>
    </row>
    <row r="686" spans="1:20" x14ac:dyDescent="0.3">
      <c r="A686">
        <v>613</v>
      </c>
      <c r="B686" s="11">
        <v>45608</v>
      </c>
      <c r="C686">
        <v>148</v>
      </c>
      <c r="D686" t="str">
        <f>_xlfn.XLOOKUP(order[[#This Row],[customer_id]],customer[customer_id],customer[customer_name])</f>
        <v>Karan Patel</v>
      </c>
      <c r="E686">
        <v>210</v>
      </c>
      <c r="F686">
        <v>3</v>
      </c>
      <c r="G686">
        <v>9111</v>
      </c>
      <c r="H686">
        <v>1426</v>
      </c>
      <c r="I686" t="s">
        <v>9</v>
      </c>
      <c r="J686" t="s">
        <v>14</v>
      </c>
      <c r="K686" t="str">
        <f>_xlfn.XLOOKUP(order[[#This Row],[customer_id]],customer[customer_id],customer[city])</f>
        <v>Chennai</v>
      </c>
      <c r="L686" t="str">
        <f>_xlfn.XLOOKUP(order[[#This Row],[customer_id]],customer[customer_id],customer[state])</f>
        <v>Tamil Nadu</v>
      </c>
      <c r="M686" t="str">
        <f>_xlfn.XLOOKUP(order[[#This Row],[product_id]],products!$A$2:$A$11,products!$B$2:$B$11)</f>
        <v>LG 43 Inch Smart TV</v>
      </c>
      <c r="N686" s="3" t="str">
        <f>_xlfn.XLOOKUP(order[[#This Row],[product_id]],products!$A$2:$A$11,products!$C$2:$C$11)</f>
        <v>Electronics</v>
      </c>
      <c r="O686" s="3">
        <f>_xlfn.XLOOKUP(order[[#This Row],[product_id]],Table4[product_id],Table4[cost_price])</f>
        <v>30000</v>
      </c>
      <c r="P686" s="11">
        <f>_xlfn.XLOOKUP(order[[#This Row],[order_id]],shipment[order_id],shipment[ship_date])</f>
        <v>45605</v>
      </c>
      <c r="Q686" s="11">
        <f>_xlfn.XLOOKUP(order[[#This Row],[order_id]],shipment[order_id],shipment[delivery_date])</f>
        <v>45606</v>
      </c>
      <c r="R686" s="3" t="str">
        <f>_xlfn.XLOOKUP(order[[#This Row],[order_id]],shipment[shipment_id],shipment[courier])</f>
        <v>DTDC</v>
      </c>
      <c r="S686" s="3">
        <f>order[[#This Row],[selling_price]]-order[[#This Row],[cost_price]]*order[[#This Row],[quantity]]-order[[#This Row],[discount]]</f>
        <v>-82315</v>
      </c>
      <c r="T686" s="3">
        <f>order[[#This Row],[quantity]]*order[[#This Row],[selling_price]]</f>
        <v>27333</v>
      </c>
    </row>
    <row r="687" spans="1:20" x14ac:dyDescent="0.3">
      <c r="A687">
        <v>932</v>
      </c>
      <c r="B687" s="11">
        <v>45639</v>
      </c>
      <c r="C687">
        <v>244</v>
      </c>
      <c r="D687" t="str">
        <f>_xlfn.XLOOKUP(order[[#This Row],[customer_id]],customer[customer_id],customer[customer_name])</f>
        <v>Ananya Gupta</v>
      </c>
      <c r="E687">
        <v>210</v>
      </c>
      <c r="F687">
        <v>3</v>
      </c>
      <c r="G687">
        <v>29833</v>
      </c>
      <c r="H687">
        <v>1382</v>
      </c>
      <c r="I687" t="s">
        <v>15</v>
      </c>
      <c r="J687" t="s">
        <v>10</v>
      </c>
      <c r="K687" t="str">
        <f>_xlfn.XLOOKUP(order[[#This Row],[customer_id]],customer[customer_id],customer[city])</f>
        <v>Chennai</v>
      </c>
      <c r="L687" t="str">
        <f>_xlfn.XLOOKUP(order[[#This Row],[customer_id]],customer[customer_id],customer[state])</f>
        <v>Tamil Nadu</v>
      </c>
      <c r="M687" t="str">
        <f>_xlfn.XLOOKUP(order[[#This Row],[product_id]],products!$A$2:$A$11,products!$B$2:$B$11)</f>
        <v>LG 43 Inch Smart TV</v>
      </c>
      <c r="N687" s="3" t="str">
        <f>_xlfn.XLOOKUP(order[[#This Row],[product_id]],products!$A$2:$A$11,products!$C$2:$C$11)</f>
        <v>Electronics</v>
      </c>
      <c r="O687" s="3">
        <f>_xlfn.XLOOKUP(order[[#This Row],[product_id]],Table4[product_id],Table4[cost_price])</f>
        <v>30000</v>
      </c>
      <c r="P687" s="11">
        <f>_xlfn.XLOOKUP(order[[#This Row],[order_id]],shipment[order_id],shipment[ship_date])</f>
        <v>45577</v>
      </c>
      <c r="Q687" s="11">
        <f>_xlfn.XLOOKUP(order[[#This Row],[order_id]],shipment[order_id],shipment[delivery_date])</f>
        <v>45584</v>
      </c>
      <c r="R687" s="3" t="str">
        <f>_xlfn.XLOOKUP(order[[#This Row],[order_id]],shipment[shipment_id],shipment[courier])</f>
        <v>Delhivery</v>
      </c>
      <c r="S687" s="3">
        <f>order[[#This Row],[selling_price]]-order[[#This Row],[cost_price]]*order[[#This Row],[quantity]]-order[[#This Row],[discount]]</f>
        <v>-61549</v>
      </c>
      <c r="T687" s="3">
        <f>order[[#This Row],[quantity]]*order[[#This Row],[selling_price]]</f>
        <v>89499</v>
      </c>
    </row>
    <row r="688" spans="1:20" x14ac:dyDescent="0.3">
      <c r="A688">
        <v>687</v>
      </c>
      <c r="B688" s="11">
        <v>45379</v>
      </c>
      <c r="C688">
        <v>263</v>
      </c>
      <c r="D688" t="str">
        <f>_xlfn.XLOOKUP(order[[#This Row],[customer_id]],customer[customer_id],customer[customer_name])</f>
        <v>Rohit Verma</v>
      </c>
      <c r="E688">
        <v>209</v>
      </c>
      <c r="F688">
        <v>1</v>
      </c>
      <c r="G688">
        <v>41180</v>
      </c>
      <c r="H688">
        <v>3937</v>
      </c>
      <c r="I688" t="s">
        <v>13</v>
      </c>
      <c r="J688" t="s">
        <v>12</v>
      </c>
      <c r="K688" t="str">
        <f>_xlfn.XLOOKUP(order[[#This Row],[customer_id]],customer[customer_id],customer[city])</f>
        <v>Chennai</v>
      </c>
      <c r="L688" t="str">
        <f>_xlfn.XLOOKUP(order[[#This Row],[customer_id]],customer[customer_id],customer[state])</f>
        <v>Tamil Nadu</v>
      </c>
      <c r="M688" t="str">
        <f>_xlfn.XLOOKUP(order[[#This Row],[product_id]],products!$A$2:$A$11,products!$B$2:$B$11)</f>
        <v>Milton Thermosteel Bottle</v>
      </c>
      <c r="N688" s="3" t="str">
        <f>_xlfn.XLOOKUP(order[[#This Row],[product_id]],products!$A$2:$A$11,products!$C$2:$C$11)</f>
        <v>Home &amp; Kitchen</v>
      </c>
      <c r="O688" s="3">
        <f>_xlfn.XLOOKUP(order[[#This Row],[product_id]],Table4[product_id],Table4[cost_price])</f>
        <v>800</v>
      </c>
      <c r="P688" s="11">
        <f>_xlfn.XLOOKUP(order[[#This Row],[order_id]],shipment[order_id],shipment[ship_date])</f>
        <v>45570</v>
      </c>
      <c r="Q688" s="11">
        <f>_xlfn.XLOOKUP(order[[#This Row],[order_id]],shipment[order_id],shipment[delivery_date])</f>
        <v>45572</v>
      </c>
      <c r="R688" s="3" t="str">
        <f>_xlfn.XLOOKUP(order[[#This Row],[order_id]],shipment[shipment_id],shipment[courier])</f>
        <v>Delhivery</v>
      </c>
      <c r="S688" s="3">
        <f>order[[#This Row],[selling_price]]-order[[#This Row],[cost_price]]*order[[#This Row],[quantity]]-order[[#This Row],[discount]]</f>
        <v>36443</v>
      </c>
      <c r="T688" s="3">
        <f>order[[#This Row],[quantity]]*order[[#This Row],[selling_price]]</f>
        <v>41180</v>
      </c>
    </row>
    <row r="689" spans="1:20" x14ac:dyDescent="0.3">
      <c r="A689">
        <v>313</v>
      </c>
      <c r="B689" s="11">
        <v>45362</v>
      </c>
      <c r="C689">
        <v>277</v>
      </c>
      <c r="D689" t="str">
        <f>_xlfn.XLOOKUP(order[[#This Row],[customer_id]],customer[customer_id],customer[customer_name])</f>
        <v>Ananya Gupta</v>
      </c>
      <c r="E689">
        <v>210</v>
      </c>
      <c r="F689">
        <v>4</v>
      </c>
      <c r="G689">
        <v>16458</v>
      </c>
      <c r="H689">
        <v>1363</v>
      </c>
      <c r="I689" t="s">
        <v>13</v>
      </c>
      <c r="J689" t="s">
        <v>12</v>
      </c>
      <c r="K689" t="str">
        <f>_xlfn.XLOOKUP(order[[#This Row],[customer_id]],customer[customer_id],customer[city])</f>
        <v>Bangalore</v>
      </c>
      <c r="L689" t="str">
        <f>_xlfn.XLOOKUP(order[[#This Row],[customer_id]],customer[customer_id],customer[state])</f>
        <v>Karnataka</v>
      </c>
      <c r="M689" t="str">
        <f>_xlfn.XLOOKUP(order[[#This Row],[product_id]],products!$A$2:$A$11,products!$B$2:$B$11)</f>
        <v>LG 43 Inch Smart TV</v>
      </c>
      <c r="N689" s="3" t="str">
        <f>_xlfn.XLOOKUP(order[[#This Row],[product_id]],products!$A$2:$A$11,products!$C$2:$C$11)</f>
        <v>Electronics</v>
      </c>
      <c r="O689" s="3">
        <f>_xlfn.XLOOKUP(order[[#This Row],[product_id]],Table4[product_id],Table4[cost_price])</f>
        <v>30000</v>
      </c>
      <c r="P689" s="11">
        <f>_xlfn.XLOOKUP(order[[#This Row],[order_id]],shipment[order_id],shipment[ship_date])</f>
        <v>45651</v>
      </c>
      <c r="Q689" s="11">
        <f>_xlfn.XLOOKUP(order[[#This Row],[order_id]],shipment[order_id],shipment[delivery_date])</f>
        <v>45661</v>
      </c>
      <c r="R689" s="3" t="str">
        <f>_xlfn.XLOOKUP(order[[#This Row],[order_id]],shipment[shipment_id],shipment[courier])</f>
        <v>Delhivery</v>
      </c>
      <c r="S689" s="3">
        <f>order[[#This Row],[selling_price]]-order[[#This Row],[cost_price]]*order[[#This Row],[quantity]]-order[[#This Row],[discount]]</f>
        <v>-104905</v>
      </c>
      <c r="T689" s="3">
        <f>order[[#This Row],[quantity]]*order[[#This Row],[selling_price]]</f>
        <v>65832</v>
      </c>
    </row>
    <row r="690" spans="1:20" x14ac:dyDescent="0.3">
      <c r="A690">
        <v>935</v>
      </c>
      <c r="B690" s="11">
        <v>45338</v>
      </c>
      <c r="C690">
        <v>121</v>
      </c>
      <c r="D690" t="str">
        <f>_xlfn.XLOOKUP(order[[#This Row],[customer_id]],customer[customer_id],customer[customer_name])</f>
        <v>Rohit Verma</v>
      </c>
      <c r="E690">
        <v>210</v>
      </c>
      <c r="F690">
        <v>4</v>
      </c>
      <c r="G690">
        <v>33084</v>
      </c>
      <c r="H690">
        <v>1336</v>
      </c>
      <c r="I690" t="s">
        <v>15</v>
      </c>
      <c r="J690" t="s">
        <v>10</v>
      </c>
      <c r="K690" t="str">
        <f>_xlfn.XLOOKUP(order[[#This Row],[customer_id]],customer[customer_id],customer[city])</f>
        <v>Bangalore</v>
      </c>
      <c r="L690" t="str">
        <f>_xlfn.XLOOKUP(order[[#This Row],[customer_id]],customer[customer_id],customer[state])</f>
        <v>Karnataka</v>
      </c>
      <c r="M690" t="str">
        <f>_xlfn.XLOOKUP(order[[#This Row],[product_id]],products!$A$2:$A$11,products!$B$2:$B$11)</f>
        <v>LG 43 Inch Smart TV</v>
      </c>
      <c r="N690" s="3" t="str">
        <f>_xlfn.XLOOKUP(order[[#This Row],[product_id]],products!$A$2:$A$11,products!$C$2:$C$11)</f>
        <v>Electronics</v>
      </c>
      <c r="O690" s="3">
        <f>_xlfn.XLOOKUP(order[[#This Row],[product_id]],Table4[product_id],Table4[cost_price])</f>
        <v>30000</v>
      </c>
      <c r="P690" s="11">
        <f>_xlfn.XLOOKUP(order[[#This Row],[order_id]],shipment[order_id],shipment[ship_date])</f>
        <v>45546</v>
      </c>
      <c r="Q690" s="11">
        <f>_xlfn.XLOOKUP(order[[#This Row],[order_id]],shipment[order_id],shipment[delivery_date])</f>
        <v>45547</v>
      </c>
      <c r="R690" s="3" t="str">
        <f>_xlfn.XLOOKUP(order[[#This Row],[order_id]],shipment[shipment_id],shipment[courier])</f>
        <v>Ekart</v>
      </c>
      <c r="S690" s="3">
        <f>order[[#This Row],[selling_price]]-order[[#This Row],[cost_price]]*order[[#This Row],[quantity]]-order[[#This Row],[discount]]</f>
        <v>-88252</v>
      </c>
      <c r="T690" s="3">
        <f>order[[#This Row],[quantity]]*order[[#This Row],[selling_price]]</f>
        <v>132336</v>
      </c>
    </row>
    <row r="691" spans="1:20" x14ac:dyDescent="0.3">
      <c r="A691">
        <v>185</v>
      </c>
      <c r="B691" s="11">
        <v>45657</v>
      </c>
      <c r="C691">
        <v>192</v>
      </c>
      <c r="D691" t="str">
        <f>_xlfn.XLOOKUP(order[[#This Row],[customer_id]],customer[customer_id],customer[customer_name])</f>
        <v>Sneha Iyer</v>
      </c>
      <c r="E691">
        <v>210</v>
      </c>
      <c r="F691">
        <v>4</v>
      </c>
      <c r="G691">
        <v>38924</v>
      </c>
      <c r="H691">
        <v>1319</v>
      </c>
      <c r="I691" t="s">
        <v>15</v>
      </c>
      <c r="J691" t="s">
        <v>12</v>
      </c>
      <c r="K691" t="str">
        <f>_xlfn.XLOOKUP(order[[#This Row],[customer_id]],customer[customer_id],customer[city])</f>
        <v>Delhi</v>
      </c>
      <c r="L691" t="str">
        <f>_xlfn.XLOOKUP(order[[#This Row],[customer_id]],customer[customer_id],customer[state])</f>
        <v>Delhi</v>
      </c>
      <c r="M691" t="str">
        <f>_xlfn.XLOOKUP(order[[#This Row],[product_id]],products!$A$2:$A$11,products!$B$2:$B$11)</f>
        <v>LG 43 Inch Smart TV</v>
      </c>
      <c r="N691" s="3" t="str">
        <f>_xlfn.XLOOKUP(order[[#This Row],[product_id]],products!$A$2:$A$11,products!$C$2:$C$11)</f>
        <v>Electronics</v>
      </c>
      <c r="O691" s="3">
        <f>_xlfn.XLOOKUP(order[[#This Row],[product_id]],Table4[product_id],Table4[cost_price])</f>
        <v>30000</v>
      </c>
      <c r="P691" s="11">
        <f>_xlfn.XLOOKUP(order[[#This Row],[order_id]],shipment[order_id],shipment[ship_date])</f>
        <v>45309</v>
      </c>
      <c r="Q691" s="11">
        <f>_xlfn.XLOOKUP(order[[#This Row],[order_id]],shipment[order_id],shipment[delivery_date])</f>
        <v>45313</v>
      </c>
      <c r="R691" s="3" t="str">
        <f>_xlfn.XLOOKUP(order[[#This Row],[order_id]],shipment[shipment_id],shipment[courier])</f>
        <v>Ekart</v>
      </c>
      <c r="S691" s="3">
        <f>order[[#This Row],[selling_price]]-order[[#This Row],[cost_price]]*order[[#This Row],[quantity]]-order[[#This Row],[discount]]</f>
        <v>-82395</v>
      </c>
      <c r="T691" s="3">
        <f>order[[#This Row],[quantity]]*order[[#This Row],[selling_price]]</f>
        <v>155696</v>
      </c>
    </row>
    <row r="692" spans="1:20" x14ac:dyDescent="0.3">
      <c r="A692">
        <v>862</v>
      </c>
      <c r="B692" s="11">
        <v>45397</v>
      </c>
      <c r="C692">
        <v>189</v>
      </c>
      <c r="D692" t="str">
        <f>_xlfn.XLOOKUP(order[[#This Row],[customer_id]],customer[customer_id],customer[customer_name])</f>
        <v>Karan Patel</v>
      </c>
      <c r="E692">
        <v>210</v>
      </c>
      <c r="F692">
        <v>3</v>
      </c>
      <c r="G692">
        <v>4427</v>
      </c>
      <c r="H692">
        <v>1304</v>
      </c>
      <c r="I692" t="s">
        <v>11</v>
      </c>
      <c r="J692" t="s">
        <v>10</v>
      </c>
      <c r="K692" t="str">
        <f>_xlfn.XLOOKUP(order[[#This Row],[customer_id]],customer[customer_id],customer[city])</f>
        <v>Bangalore</v>
      </c>
      <c r="L692" t="str">
        <f>_xlfn.XLOOKUP(order[[#This Row],[customer_id]],customer[customer_id],customer[state])</f>
        <v>Karnataka</v>
      </c>
      <c r="M692" t="str">
        <f>_xlfn.XLOOKUP(order[[#This Row],[product_id]],products!$A$2:$A$11,products!$B$2:$B$11)</f>
        <v>LG 43 Inch Smart TV</v>
      </c>
      <c r="N692" s="3" t="str">
        <f>_xlfn.XLOOKUP(order[[#This Row],[product_id]],products!$A$2:$A$11,products!$C$2:$C$11)</f>
        <v>Electronics</v>
      </c>
      <c r="O692" s="3">
        <f>_xlfn.XLOOKUP(order[[#This Row],[product_id]],Table4[product_id],Table4[cost_price])</f>
        <v>30000</v>
      </c>
      <c r="P692" s="11">
        <f>_xlfn.XLOOKUP(order[[#This Row],[order_id]],shipment[order_id],shipment[ship_date])</f>
        <v>45325</v>
      </c>
      <c r="Q692" s="11">
        <f>_xlfn.XLOOKUP(order[[#This Row],[order_id]],shipment[order_id],shipment[delivery_date])</f>
        <v>45335</v>
      </c>
      <c r="R692" s="3" t="str">
        <f>_xlfn.XLOOKUP(order[[#This Row],[order_id]],shipment[shipment_id],shipment[courier])</f>
        <v>Delhivery</v>
      </c>
      <c r="S692" s="3">
        <f>order[[#This Row],[selling_price]]-order[[#This Row],[cost_price]]*order[[#This Row],[quantity]]-order[[#This Row],[discount]]</f>
        <v>-86877</v>
      </c>
      <c r="T692" s="3">
        <f>order[[#This Row],[quantity]]*order[[#This Row],[selling_price]]</f>
        <v>13281</v>
      </c>
    </row>
    <row r="693" spans="1:20" x14ac:dyDescent="0.3">
      <c r="A693">
        <v>220</v>
      </c>
      <c r="B693" s="11">
        <v>45611</v>
      </c>
      <c r="C693">
        <v>148</v>
      </c>
      <c r="D693" t="str">
        <f>_xlfn.XLOOKUP(order[[#This Row],[customer_id]],customer[customer_id],customer[customer_name])</f>
        <v>Karan Patel</v>
      </c>
      <c r="E693">
        <v>210</v>
      </c>
      <c r="F693">
        <v>4</v>
      </c>
      <c r="G693">
        <v>23382</v>
      </c>
      <c r="H693">
        <v>1125</v>
      </c>
      <c r="I693" t="s">
        <v>9</v>
      </c>
      <c r="J693" t="s">
        <v>10</v>
      </c>
      <c r="K693" t="str">
        <f>_xlfn.XLOOKUP(order[[#This Row],[customer_id]],customer[customer_id],customer[city])</f>
        <v>Chennai</v>
      </c>
      <c r="L693" t="str">
        <f>_xlfn.XLOOKUP(order[[#This Row],[customer_id]],customer[customer_id],customer[state])</f>
        <v>Tamil Nadu</v>
      </c>
      <c r="M693" t="str">
        <f>_xlfn.XLOOKUP(order[[#This Row],[product_id]],products!$A$2:$A$11,products!$B$2:$B$11)</f>
        <v>LG 43 Inch Smart TV</v>
      </c>
      <c r="N693" s="3" t="str">
        <f>_xlfn.XLOOKUP(order[[#This Row],[product_id]],products!$A$2:$A$11,products!$C$2:$C$11)</f>
        <v>Electronics</v>
      </c>
      <c r="O693" s="3">
        <f>_xlfn.XLOOKUP(order[[#This Row],[product_id]],Table4[product_id],Table4[cost_price])</f>
        <v>30000</v>
      </c>
      <c r="P693" s="11">
        <f>_xlfn.XLOOKUP(order[[#This Row],[order_id]],shipment[order_id],shipment[ship_date])</f>
        <v>45416</v>
      </c>
      <c r="Q693" s="11">
        <f>_xlfn.XLOOKUP(order[[#This Row],[order_id]],shipment[order_id],shipment[delivery_date])</f>
        <v>45421</v>
      </c>
      <c r="R693" s="3" t="str">
        <f>_xlfn.XLOOKUP(order[[#This Row],[order_id]],shipment[shipment_id],shipment[courier])</f>
        <v>DTDC</v>
      </c>
      <c r="S693" s="3">
        <f>order[[#This Row],[selling_price]]-order[[#This Row],[cost_price]]*order[[#This Row],[quantity]]-order[[#This Row],[discount]]</f>
        <v>-97743</v>
      </c>
      <c r="T693" s="3">
        <f>order[[#This Row],[quantity]]*order[[#This Row],[selling_price]]</f>
        <v>93528</v>
      </c>
    </row>
    <row r="694" spans="1:20" x14ac:dyDescent="0.3">
      <c r="A694">
        <v>693</v>
      </c>
      <c r="B694" s="11">
        <v>45389</v>
      </c>
      <c r="C694">
        <v>119</v>
      </c>
      <c r="D694" t="str">
        <f>_xlfn.XLOOKUP(order[[#This Row],[customer_id]],customer[customer_id],customer[customer_name])</f>
        <v>Pooja Nair</v>
      </c>
      <c r="E694">
        <v>207</v>
      </c>
      <c r="F694">
        <v>3</v>
      </c>
      <c r="G694">
        <v>65113</v>
      </c>
      <c r="H694">
        <v>4632</v>
      </c>
      <c r="I694" t="s">
        <v>11</v>
      </c>
      <c r="J694" t="s">
        <v>14</v>
      </c>
      <c r="K694" t="str">
        <f>_xlfn.XLOOKUP(order[[#This Row],[customer_id]],customer[customer_id],customer[city])</f>
        <v>Bangalore</v>
      </c>
      <c r="L694" t="str">
        <f>_xlfn.XLOOKUP(order[[#This Row],[customer_id]],customer[customer_id],customer[state])</f>
        <v>Karnataka</v>
      </c>
      <c r="M694" t="str">
        <f>_xlfn.XLOOKUP(order[[#This Row],[product_id]],products!$A$2:$A$11,products!$B$2:$B$11)</f>
        <v>Sony WH-1000XM4 Headphones</v>
      </c>
      <c r="N694" s="3" t="str">
        <f>_xlfn.XLOOKUP(order[[#This Row],[product_id]],products!$A$2:$A$11,products!$C$2:$C$11)</f>
        <v>Electronics</v>
      </c>
      <c r="O694" s="3">
        <f>_xlfn.XLOOKUP(order[[#This Row],[product_id]],Table4[product_id],Table4[cost_price])</f>
        <v>20000</v>
      </c>
      <c r="P694" s="11">
        <f>_xlfn.XLOOKUP(order[[#This Row],[order_id]],shipment[order_id],shipment[ship_date])</f>
        <v>45325</v>
      </c>
      <c r="Q694" s="11">
        <f>_xlfn.XLOOKUP(order[[#This Row],[order_id]],shipment[order_id],shipment[delivery_date])</f>
        <v>45328</v>
      </c>
      <c r="R694" s="3" t="str">
        <f>_xlfn.XLOOKUP(order[[#This Row],[order_id]],shipment[shipment_id],shipment[courier])</f>
        <v>BlueDart</v>
      </c>
      <c r="S694" s="3">
        <f>order[[#This Row],[selling_price]]-order[[#This Row],[cost_price]]*order[[#This Row],[quantity]]-order[[#This Row],[discount]]</f>
        <v>481</v>
      </c>
      <c r="T694" s="3">
        <f>order[[#This Row],[quantity]]*order[[#This Row],[selling_price]]</f>
        <v>195339</v>
      </c>
    </row>
    <row r="695" spans="1:20" x14ac:dyDescent="0.3">
      <c r="A695">
        <v>694</v>
      </c>
      <c r="B695" s="11">
        <v>45404</v>
      </c>
      <c r="C695">
        <v>174</v>
      </c>
      <c r="D695" t="str">
        <f>_xlfn.XLOOKUP(order[[#This Row],[customer_id]],customer[customer_id],customer[customer_name])</f>
        <v>Rohit Verma</v>
      </c>
      <c r="E695">
        <v>209</v>
      </c>
      <c r="F695">
        <v>2</v>
      </c>
      <c r="G695">
        <v>7329</v>
      </c>
      <c r="H695">
        <v>1191</v>
      </c>
      <c r="I695" t="s">
        <v>13</v>
      </c>
      <c r="J695" t="s">
        <v>12</v>
      </c>
      <c r="K695" t="str">
        <f>_xlfn.XLOOKUP(order[[#This Row],[customer_id]],customer[customer_id],customer[city])</f>
        <v>Delhi</v>
      </c>
      <c r="L695" t="str">
        <f>_xlfn.XLOOKUP(order[[#This Row],[customer_id]],customer[customer_id],customer[state])</f>
        <v>Delhi</v>
      </c>
      <c r="M695" t="str">
        <f>_xlfn.XLOOKUP(order[[#This Row],[product_id]],products!$A$2:$A$11,products!$B$2:$B$11)</f>
        <v>Milton Thermosteel Bottle</v>
      </c>
      <c r="N695" s="3" t="str">
        <f>_xlfn.XLOOKUP(order[[#This Row],[product_id]],products!$A$2:$A$11,products!$C$2:$C$11)</f>
        <v>Home &amp; Kitchen</v>
      </c>
      <c r="O695" s="3">
        <f>_xlfn.XLOOKUP(order[[#This Row],[product_id]],Table4[product_id],Table4[cost_price])</f>
        <v>800</v>
      </c>
      <c r="P695" s="11">
        <f>_xlfn.XLOOKUP(order[[#This Row],[order_id]],shipment[order_id],shipment[ship_date])</f>
        <v>45558</v>
      </c>
      <c r="Q695" s="11">
        <f>_xlfn.XLOOKUP(order[[#This Row],[order_id]],shipment[order_id],shipment[delivery_date])</f>
        <v>45565</v>
      </c>
      <c r="R695" s="3" t="str">
        <f>_xlfn.XLOOKUP(order[[#This Row],[order_id]],shipment[shipment_id],shipment[courier])</f>
        <v>Delhivery</v>
      </c>
      <c r="S695" s="3">
        <f>order[[#This Row],[selling_price]]-order[[#This Row],[cost_price]]*order[[#This Row],[quantity]]-order[[#This Row],[discount]]</f>
        <v>4538</v>
      </c>
      <c r="T695" s="3">
        <f>order[[#This Row],[quantity]]*order[[#This Row],[selling_price]]</f>
        <v>14658</v>
      </c>
    </row>
    <row r="696" spans="1:20" x14ac:dyDescent="0.3">
      <c r="A696">
        <v>176</v>
      </c>
      <c r="B696" s="11">
        <v>45294</v>
      </c>
      <c r="C696">
        <v>174</v>
      </c>
      <c r="D696" t="str">
        <f>_xlfn.XLOOKUP(order[[#This Row],[customer_id]],customer[customer_id],customer[customer_name])</f>
        <v>Rohit Verma</v>
      </c>
      <c r="E696">
        <v>210</v>
      </c>
      <c r="F696">
        <v>2</v>
      </c>
      <c r="G696">
        <v>37960</v>
      </c>
      <c r="H696">
        <v>1027</v>
      </c>
      <c r="I696" t="s">
        <v>13</v>
      </c>
      <c r="J696" t="s">
        <v>10</v>
      </c>
      <c r="K696" t="str">
        <f>_xlfn.XLOOKUP(order[[#This Row],[customer_id]],customer[customer_id],customer[city])</f>
        <v>Delhi</v>
      </c>
      <c r="L696" t="str">
        <f>_xlfn.XLOOKUP(order[[#This Row],[customer_id]],customer[customer_id],customer[state])</f>
        <v>Delhi</v>
      </c>
      <c r="M696" t="str">
        <f>_xlfn.XLOOKUP(order[[#This Row],[product_id]],products!$A$2:$A$11,products!$B$2:$B$11)</f>
        <v>LG 43 Inch Smart TV</v>
      </c>
      <c r="N696" s="3" t="str">
        <f>_xlfn.XLOOKUP(order[[#This Row],[product_id]],products!$A$2:$A$11,products!$C$2:$C$11)</f>
        <v>Electronics</v>
      </c>
      <c r="O696" s="3">
        <f>_xlfn.XLOOKUP(order[[#This Row],[product_id]],Table4[product_id],Table4[cost_price])</f>
        <v>30000</v>
      </c>
      <c r="P696" s="11">
        <f>_xlfn.XLOOKUP(order[[#This Row],[order_id]],shipment[order_id],shipment[ship_date])</f>
        <v>45606</v>
      </c>
      <c r="Q696" s="11">
        <f>_xlfn.XLOOKUP(order[[#This Row],[order_id]],shipment[order_id],shipment[delivery_date])</f>
        <v>45610</v>
      </c>
      <c r="R696" s="3" t="str">
        <f>_xlfn.XLOOKUP(order[[#This Row],[order_id]],shipment[shipment_id],shipment[courier])</f>
        <v>Ekart</v>
      </c>
      <c r="S696" s="3">
        <f>order[[#This Row],[selling_price]]-order[[#This Row],[cost_price]]*order[[#This Row],[quantity]]-order[[#This Row],[discount]]</f>
        <v>-23067</v>
      </c>
      <c r="T696" s="3">
        <f>order[[#This Row],[quantity]]*order[[#This Row],[selling_price]]</f>
        <v>75920</v>
      </c>
    </row>
    <row r="697" spans="1:20" x14ac:dyDescent="0.3">
      <c r="A697">
        <v>696</v>
      </c>
      <c r="B697" s="11">
        <v>45452</v>
      </c>
      <c r="C697">
        <v>277</v>
      </c>
      <c r="D697" t="str">
        <f>_xlfn.XLOOKUP(order[[#This Row],[customer_id]],customer[customer_id],customer[customer_name])</f>
        <v>Ananya Gupta</v>
      </c>
      <c r="E697">
        <v>209</v>
      </c>
      <c r="F697">
        <v>3</v>
      </c>
      <c r="G697">
        <v>30231</v>
      </c>
      <c r="H697">
        <v>1938</v>
      </c>
      <c r="I697" t="s">
        <v>11</v>
      </c>
      <c r="J697" t="s">
        <v>14</v>
      </c>
      <c r="K697" t="str">
        <f>_xlfn.XLOOKUP(order[[#This Row],[customer_id]],customer[customer_id],customer[city])</f>
        <v>Bangalore</v>
      </c>
      <c r="L697" t="str">
        <f>_xlfn.XLOOKUP(order[[#This Row],[customer_id]],customer[customer_id],customer[state])</f>
        <v>Karnataka</v>
      </c>
      <c r="M697" t="str">
        <f>_xlfn.XLOOKUP(order[[#This Row],[product_id]],products!$A$2:$A$11,products!$B$2:$B$11)</f>
        <v>Milton Thermosteel Bottle</v>
      </c>
      <c r="N697" s="3" t="str">
        <f>_xlfn.XLOOKUP(order[[#This Row],[product_id]],products!$A$2:$A$11,products!$C$2:$C$11)</f>
        <v>Home &amp; Kitchen</v>
      </c>
      <c r="O697" s="3">
        <f>_xlfn.XLOOKUP(order[[#This Row],[product_id]],Table4[product_id],Table4[cost_price])</f>
        <v>800</v>
      </c>
      <c r="P697" s="11">
        <f>_xlfn.XLOOKUP(order[[#This Row],[order_id]],shipment[order_id],shipment[ship_date])</f>
        <v>45626</v>
      </c>
      <c r="Q697" s="11">
        <f>_xlfn.XLOOKUP(order[[#This Row],[order_id]],shipment[order_id],shipment[delivery_date])</f>
        <v>45628</v>
      </c>
      <c r="R697" s="3" t="str">
        <f>_xlfn.XLOOKUP(order[[#This Row],[order_id]],shipment[shipment_id],shipment[courier])</f>
        <v>Ekart</v>
      </c>
      <c r="S697" s="3">
        <f>order[[#This Row],[selling_price]]-order[[#This Row],[cost_price]]*order[[#This Row],[quantity]]-order[[#This Row],[discount]]</f>
        <v>25893</v>
      </c>
      <c r="T697" s="3">
        <f>order[[#This Row],[quantity]]*order[[#This Row],[selling_price]]</f>
        <v>90693</v>
      </c>
    </row>
    <row r="698" spans="1:20" x14ac:dyDescent="0.3">
      <c r="A698">
        <v>526</v>
      </c>
      <c r="B698" s="11">
        <v>45642</v>
      </c>
      <c r="C698">
        <v>218</v>
      </c>
      <c r="D698" t="str">
        <f>_xlfn.XLOOKUP(order[[#This Row],[customer_id]],customer[customer_id],customer[customer_name])</f>
        <v>Manish Yadav</v>
      </c>
      <c r="E698">
        <v>210</v>
      </c>
      <c r="F698">
        <v>2</v>
      </c>
      <c r="G698">
        <v>34146</v>
      </c>
      <c r="H698">
        <v>1001</v>
      </c>
      <c r="I698" t="s">
        <v>15</v>
      </c>
      <c r="J698" t="s">
        <v>10</v>
      </c>
      <c r="K698" t="str">
        <f>_xlfn.XLOOKUP(order[[#This Row],[customer_id]],customer[customer_id],customer[city])</f>
        <v>Delhi</v>
      </c>
      <c r="L698" t="str">
        <f>_xlfn.XLOOKUP(order[[#This Row],[customer_id]],customer[customer_id],customer[state])</f>
        <v>Delhi</v>
      </c>
      <c r="M698" t="str">
        <f>_xlfn.XLOOKUP(order[[#This Row],[product_id]],products!$A$2:$A$11,products!$B$2:$B$11)</f>
        <v>LG 43 Inch Smart TV</v>
      </c>
      <c r="N698" s="3" t="str">
        <f>_xlfn.XLOOKUP(order[[#This Row],[product_id]],products!$A$2:$A$11,products!$C$2:$C$11)</f>
        <v>Electronics</v>
      </c>
      <c r="O698" s="3">
        <f>_xlfn.XLOOKUP(order[[#This Row],[product_id]],Table4[product_id],Table4[cost_price])</f>
        <v>30000</v>
      </c>
      <c r="P698" s="11">
        <f>_xlfn.XLOOKUP(order[[#This Row],[order_id]],shipment[order_id],shipment[ship_date])</f>
        <v>45338</v>
      </c>
      <c r="Q698" s="11">
        <f>_xlfn.XLOOKUP(order[[#This Row],[order_id]],shipment[order_id],shipment[delivery_date])</f>
        <v>45341</v>
      </c>
      <c r="R698" s="3" t="str">
        <f>_xlfn.XLOOKUP(order[[#This Row],[order_id]],shipment[shipment_id],shipment[courier])</f>
        <v>BlueDart</v>
      </c>
      <c r="S698" s="3">
        <f>order[[#This Row],[selling_price]]-order[[#This Row],[cost_price]]*order[[#This Row],[quantity]]-order[[#This Row],[discount]]</f>
        <v>-26855</v>
      </c>
      <c r="T698" s="3">
        <f>order[[#This Row],[quantity]]*order[[#This Row],[selling_price]]</f>
        <v>68292</v>
      </c>
    </row>
    <row r="699" spans="1:20" x14ac:dyDescent="0.3">
      <c r="A699">
        <v>698</v>
      </c>
      <c r="B699" s="11">
        <v>45341</v>
      </c>
      <c r="C699">
        <v>168</v>
      </c>
      <c r="D699" t="str">
        <f>_xlfn.XLOOKUP(order[[#This Row],[customer_id]],customer[customer_id],customer[customer_name])</f>
        <v>Arjun Nair</v>
      </c>
      <c r="E699">
        <v>209</v>
      </c>
      <c r="F699">
        <v>3</v>
      </c>
      <c r="G699">
        <v>69604</v>
      </c>
      <c r="H699">
        <v>4387</v>
      </c>
      <c r="I699" t="s">
        <v>13</v>
      </c>
      <c r="J699" t="s">
        <v>12</v>
      </c>
      <c r="K699" t="str">
        <f>_xlfn.XLOOKUP(order[[#This Row],[customer_id]],customer[customer_id],customer[city])</f>
        <v>Mumbai</v>
      </c>
      <c r="L699" t="str">
        <f>_xlfn.XLOOKUP(order[[#This Row],[customer_id]],customer[customer_id],customer[state])</f>
        <v>Maharashtra</v>
      </c>
      <c r="M699" t="str">
        <f>_xlfn.XLOOKUP(order[[#This Row],[product_id]],products!$A$2:$A$11,products!$B$2:$B$11)</f>
        <v>Milton Thermosteel Bottle</v>
      </c>
      <c r="N699" s="3" t="str">
        <f>_xlfn.XLOOKUP(order[[#This Row],[product_id]],products!$A$2:$A$11,products!$C$2:$C$11)</f>
        <v>Home &amp; Kitchen</v>
      </c>
      <c r="O699" s="3">
        <f>_xlfn.XLOOKUP(order[[#This Row],[product_id]],Table4[product_id],Table4[cost_price])</f>
        <v>800</v>
      </c>
      <c r="P699" s="11">
        <f>_xlfn.XLOOKUP(order[[#This Row],[order_id]],shipment[order_id],shipment[ship_date])</f>
        <v>45623</v>
      </c>
      <c r="Q699" s="11">
        <f>_xlfn.XLOOKUP(order[[#This Row],[order_id]],shipment[order_id],shipment[delivery_date])</f>
        <v>45627</v>
      </c>
      <c r="R699" s="3" t="str">
        <f>_xlfn.XLOOKUP(order[[#This Row],[order_id]],shipment[shipment_id],shipment[courier])</f>
        <v>Delhivery</v>
      </c>
      <c r="S699" s="3">
        <f>order[[#This Row],[selling_price]]-order[[#This Row],[cost_price]]*order[[#This Row],[quantity]]-order[[#This Row],[discount]]</f>
        <v>62817</v>
      </c>
      <c r="T699" s="3">
        <f>order[[#This Row],[quantity]]*order[[#This Row],[selling_price]]</f>
        <v>208812</v>
      </c>
    </row>
    <row r="700" spans="1:20" x14ac:dyDescent="0.3">
      <c r="A700">
        <v>906</v>
      </c>
      <c r="B700" s="11">
        <v>45648</v>
      </c>
      <c r="C700">
        <v>275</v>
      </c>
      <c r="D700" t="str">
        <f>_xlfn.XLOOKUP(order[[#This Row],[customer_id]],customer[customer_id],customer[customer_name])</f>
        <v>Rohit Verma</v>
      </c>
      <c r="E700">
        <v>210</v>
      </c>
      <c r="F700">
        <v>3</v>
      </c>
      <c r="G700">
        <v>53974</v>
      </c>
      <c r="H700">
        <v>966</v>
      </c>
      <c r="I700" t="s">
        <v>15</v>
      </c>
      <c r="J700" t="s">
        <v>12</v>
      </c>
      <c r="K700" t="str">
        <f>_xlfn.XLOOKUP(order[[#This Row],[customer_id]],customer[customer_id],customer[city])</f>
        <v>Mumbai</v>
      </c>
      <c r="L700" t="str">
        <f>_xlfn.XLOOKUP(order[[#This Row],[customer_id]],customer[customer_id],customer[state])</f>
        <v>Maharashtra</v>
      </c>
      <c r="M700" t="str">
        <f>_xlfn.XLOOKUP(order[[#This Row],[product_id]],products!$A$2:$A$11,products!$B$2:$B$11)</f>
        <v>LG 43 Inch Smart TV</v>
      </c>
      <c r="N700" s="3" t="str">
        <f>_xlfn.XLOOKUP(order[[#This Row],[product_id]],products!$A$2:$A$11,products!$C$2:$C$11)</f>
        <v>Electronics</v>
      </c>
      <c r="O700" s="3">
        <f>_xlfn.XLOOKUP(order[[#This Row],[product_id]],Table4[product_id],Table4[cost_price])</f>
        <v>30000</v>
      </c>
      <c r="P700" s="11">
        <f>_xlfn.XLOOKUP(order[[#This Row],[order_id]],shipment[order_id],shipment[ship_date])</f>
        <v>45322</v>
      </c>
      <c r="Q700" s="11">
        <f>_xlfn.XLOOKUP(order[[#This Row],[order_id]],shipment[order_id],shipment[delivery_date])</f>
        <v>45328</v>
      </c>
      <c r="R700" s="3" t="str">
        <f>_xlfn.XLOOKUP(order[[#This Row],[order_id]],shipment[shipment_id],shipment[courier])</f>
        <v>DTDC</v>
      </c>
      <c r="S700" s="3">
        <f>order[[#This Row],[selling_price]]-order[[#This Row],[cost_price]]*order[[#This Row],[quantity]]-order[[#This Row],[discount]]</f>
        <v>-36992</v>
      </c>
      <c r="T700" s="3">
        <f>order[[#This Row],[quantity]]*order[[#This Row],[selling_price]]</f>
        <v>161922</v>
      </c>
    </row>
    <row r="701" spans="1:20" x14ac:dyDescent="0.3">
      <c r="A701">
        <v>700</v>
      </c>
      <c r="B701" s="11">
        <v>45464</v>
      </c>
      <c r="C701">
        <v>102</v>
      </c>
      <c r="D701" t="str">
        <f>_xlfn.XLOOKUP(order[[#This Row],[customer_id]],customer[customer_id],customer[customer_name])</f>
        <v>Aarav Sharma</v>
      </c>
      <c r="E701">
        <v>208</v>
      </c>
      <c r="F701">
        <v>3</v>
      </c>
      <c r="G701">
        <v>56667</v>
      </c>
      <c r="H701">
        <v>2945</v>
      </c>
      <c r="I701" t="s">
        <v>9</v>
      </c>
      <c r="J701" t="s">
        <v>14</v>
      </c>
      <c r="K701" t="str">
        <f>_xlfn.XLOOKUP(order[[#This Row],[customer_id]],customer[customer_id],customer[city])</f>
        <v>Delhi</v>
      </c>
      <c r="L701" t="str">
        <f>_xlfn.XLOOKUP(order[[#This Row],[customer_id]],customer[customer_id],customer[state])</f>
        <v>Delhi</v>
      </c>
      <c r="M701" t="str">
        <f>_xlfn.XLOOKUP(order[[#This Row],[product_id]],products!$A$2:$A$11,products!$B$2:$B$11)</f>
        <v>Adidas Ultraboost Shoes</v>
      </c>
      <c r="N701" s="3" t="str">
        <f>_xlfn.XLOOKUP(order[[#This Row],[product_id]],products!$A$2:$A$11,products!$C$2:$C$11)</f>
        <v>Fashion</v>
      </c>
      <c r="O701" s="3">
        <f>_xlfn.XLOOKUP(order[[#This Row],[product_id]],Table4[product_id],Table4[cost_price])</f>
        <v>9000</v>
      </c>
      <c r="P701" s="11">
        <f>_xlfn.XLOOKUP(order[[#This Row],[order_id]],shipment[order_id],shipment[ship_date])</f>
        <v>45423</v>
      </c>
      <c r="Q701" s="11">
        <f>_xlfn.XLOOKUP(order[[#This Row],[order_id]],shipment[order_id],shipment[delivery_date])</f>
        <v>45426</v>
      </c>
      <c r="R701" s="3" t="str">
        <f>_xlfn.XLOOKUP(order[[#This Row],[order_id]],shipment[shipment_id],shipment[courier])</f>
        <v>DTDC</v>
      </c>
      <c r="S701" s="3">
        <f>order[[#This Row],[selling_price]]-order[[#This Row],[cost_price]]*order[[#This Row],[quantity]]-order[[#This Row],[discount]]</f>
        <v>26722</v>
      </c>
      <c r="T701" s="3">
        <f>order[[#This Row],[quantity]]*order[[#This Row],[selling_price]]</f>
        <v>170001</v>
      </c>
    </row>
    <row r="702" spans="1:20" x14ac:dyDescent="0.3">
      <c r="A702">
        <v>701</v>
      </c>
      <c r="B702" s="11">
        <v>45637</v>
      </c>
      <c r="C702">
        <v>260</v>
      </c>
      <c r="D702" t="str">
        <f>_xlfn.XLOOKUP(order[[#This Row],[customer_id]],customer[customer_id],customer[customer_name])</f>
        <v>Neha Kapoor</v>
      </c>
      <c r="E702">
        <v>210</v>
      </c>
      <c r="F702">
        <v>1</v>
      </c>
      <c r="G702">
        <v>56380</v>
      </c>
      <c r="H702">
        <v>354</v>
      </c>
      <c r="I702" t="s">
        <v>11</v>
      </c>
      <c r="J702" t="s">
        <v>14</v>
      </c>
      <c r="K702" t="str">
        <f>_xlfn.XLOOKUP(order[[#This Row],[customer_id]],customer[customer_id],customer[city])</f>
        <v>Bangalore</v>
      </c>
      <c r="L702" t="str">
        <f>_xlfn.XLOOKUP(order[[#This Row],[customer_id]],customer[customer_id],customer[state])</f>
        <v>Karnataka</v>
      </c>
      <c r="M702" t="str">
        <f>_xlfn.XLOOKUP(order[[#This Row],[product_id]],products!$A$2:$A$11,products!$B$2:$B$11)</f>
        <v>LG 43 Inch Smart TV</v>
      </c>
      <c r="N702" s="3" t="str">
        <f>_xlfn.XLOOKUP(order[[#This Row],[product_id]],products!$A$2:$A$11,products!$C$2:$C$11)</f>
        <v>Electronics</v>
      </c>
      <c r="O702" s="3">
        <f>_xlfn.XLOOKUP(order[[#This Row],[product_id]],Table4[product_id],Table4[cost_price])</f>
        <v>30000</v>
      </c>
      <c r="P702" s="11">
        <f>_xlfn.XLOOKUP(order[[#This Row],[order_id]],shipment[order_id],shipment[ship_date])</f>
        <v>45304</v>
      </c>
      <c r="Q702" s="11">
        <f>_xlfn.XLOOKUP(order[[#This Row],[order_id]],shipment[order_id],shipment[delivery_date])</f>
        <v>45305</v>
      </c>
      <c r="R702" s="3" t="str">
        <f>_xlfn.XLOOKUP(order[[#This Row],[order_id]],shipment[shipment_id],shipment[courier])</f>
        <v>Delhivery</v>
      </c>
      <c r="S702" s="3">
        <f>order[[#This Row],[selling_price]]-order[[#This Row],[cost_price]]*order[[#This Row],[quantity]]-order[[#This Row],[discount]]</f>
        <v>26026</v>
      </c>
      <c r="T702" s="3">
        <f>order[[#This Row],[quantity]]*order[[#This Row],[selling_price]]</f>
        <v>56380</v>
      </c>
    </row>
    <row r="703" spans="1:20" x14ac:dyDescent="0.3">
      <c r="A703">
        <v>438</v>
      </c>
      <c r="B703" s="11">
        <v>45475</v>
      </c>
      <c r="C703">
        <v>222</v>
      </c>
      <c r="D703" t="str">
        <f>_xlfn.XLOOKUP(order[[#This Row],[customer_id]],customer[customer_id],customer[customer_name])</f>
        <v>Ananya Gupta</v>
      </c>
      <c r="E703">
        <v>210</v>
      </c>
      <c r="F703">
        <v>3</v>
      </c>
      <c r="G703">
        <v>6716</v>
      </c>
      <c r="H703">
        <v>943</v>
      </c>
      <c r="I703" t="s">
        <v>13</v>
      </c>
      <c r="J703" t="s">
        <v>12</v>
      </c>
      <c r="K703" t="str">
        <f>_xlfn.XLOOKUP(order[[#This Row],[customer_id]],customer[customer_id],customer[city])</f>
        <v>Chennai</v>
      </c>
      <c r="L703" t="str">
        <f>_xlfn.XLOOKUP(order[[#This Row],[customer_id]],customer[customer_id],customer[state])</f>
        <v>Tamil Nadu</v>
      </c>
      <c r="M703" t="str">
        <f>_xlfn.XLOOKUP(order[[#This Row],[product_id]],products!$A$2:$A$11,products!$B$2:$B$11)</f>
        <v>LG 43 Inch Smart TV</v>
      </c>
      <c r="N703" s="3" t="str">
        <f>_xlfn.XLOOKUP(order[[#This Row],[product_id]],products!$A$2:$A$11,products!$C$2:$C$11)</f>
        <v>Electronics</v>
      </c>
      <c r="O703" s="3">
        <f>_xlfn.XLOOKUP(order[[#This Row],[product_id]],Table4[product_id],Table4[cost_price])</f>
        <v>30000</v>
      </c>
      <c r="P703" s="11">
        <f>_xlfn.XLOOKUP(order[[#This Row],[order_id]],shipment[order_id],shipment[ship_date])</f>
        <v>45466</v>
      </c>
      <c r="Q703" s="11">
        <f>_xlfn.XLOOKUP(order[[#This Row],[order_id]],shipment[order_id],shipment[delivery_date])</f>
        <v>45472</v>
      </c>
      <c r="R703" s="3" t="str">
        <f>_xlfn.XLOOKUP(order[[#This Row],[order_id]],shipment[shipment_id],shipment[courier])</f>
        <v>BlueDart</v>
      </c>
      <c r="S703" s="3">
        <f>order[[#This Row],[selling_price]]-order[[#This Row],[cost_price]]*order[[#This Row],[quantity]]-order[[#This Row],[discount]]</f>
        <v>-84227</v>
      </c>
      <c r="T703" s="3">
        <f>order[[#This Row],[quantity]]*order[[#This Row],[selling_price]]</f>
        <v>20148</v>
      </c>
    </row>
    <row r="704" spans="1:20" x14ac:dyDescent="0.3">
      <c r="A704">
        <v>703</v>
      </c>
      <c r="B704" s="11">
        <v>45372</v>
      </c>
      <c r="C704">
        <v>295</v>
      </c>
      <c r="D704" t="str">
        <f>_xlfn.XLOOKUP(order[[#This Row],[customer_id]],customer[customer_id],customer[customer_name])</f>
        <v>Aarav Sharma</v>
      </c>
      <c r="E704">
        <v>209</v>
      </c>
      <c r="F704">
        <v>1</v>
      </c>
      <c r="G704">
        <v>50788</v>
      </c>
      <c r="H704">
        <v>3124</v>
      </c>
      <c r="I704" t="s">
        <v>13</v>
      </c>
      <c r="J704" t="s">
        <v>14</v>
      </c>
      <c r="K704" t="str">
        <f>_xlfn.XLOOKUP(order[[#This Row],[customer_id]],customer[customer_id],customer[city])</f>
        <v>Chennai</v>
      </c>
      <c r="L704" t="str">
        <f>_xlfn.XLOOKUP(order[[#This Row],[customer_id]],customer[customer_id],customer[state])</f>
        <v>Tamil Nadu</v>
      </c>
      <c r="M704" t="str">
        <f>_xlfn.XLOOKUP(order[[#This Row],[product_id]],products!$A$2:$A$11,products!$B$2:$B$11)</f>
        <v>Milton Thermosteel Bottle</v>
      </c>
      <c r="N704" s="3" t="str">
        <f>_xlfn.XLOOKUP(order[[#This Row],[product_id]],products!$A$2:$A$11,products!$C$2:$C$11)</f>
        <v>Home &amp; Kitchen</v>
      </c>
      <c r="O704" s="3">
        <f>_xlfn.XLOOKUP(order[[#This Row],[product_id]],Table4[product_id],Table4[cost_price])</f>
        <v>800</v>
      </c>
      <c r="P704" s="11">
        <f>_xlfn.XLOOKUP(order[[#This Row],[order_id]],shipment[order_id],shipment[ship_date])</f>
        <v>45632</v>
      </c>
      <c r="Q704" s="11">
        <f>_xlfn.XLOOKUP(order[[#This Row],[order_id]],shipment[order_id],shipment[delivery_date])</f>
        <v>45636</v>
      </c>
      <c r="R704" s="3" t="str">
        <f>_xlfn.XLOOKUP(order[[#This Row],[order_id]],shipment[shipment_id],shipment[courier])</f>
        <v>BlueDart</v>
      </c>
      <c r="S704" s="3">
        <f>order[[#This Row],[selling_price]]-order[[#This Row],[cost_price]]*order[[#This Row],[quantity]]-order[[#This Row],[discount]]</f>
        <v>46864</v>
      </c>
      <c r="T704" s="3">
        <f>order[[#This Row],[quantity]]*order[[#This Row],[selling_price]]</f>
        <v>50788</v>
      </c>
    </row>
    <row r="705" spans="1:20" x14ac:dyDescent="0.3">
      <c r="A705">
        <v>704</v>
      </c>
      <c r="B705" s="11">
        <v>45524</v>
      </c>
      <c r="C705">
        <v>284</v>
      </c>
      <c r="D705" t="str">
        <f>_xlfn.XLOOKUP(order[[#This Row],[customer_id]],customer[customer_id],customer[customer_name])</f>
        <v>Siddharth Jain</v>
      </c>
      <c r="E705">
        <v>205</v>
      </c>
      <c r="F705">
        <v>1</v>
      </c>
      <c r="G705">
        <v>11816</v>
      </c>
      <c r="H705">
        <v>2891</v>
      </c>
      <c r="I705" t="s">
        <v>15</v>
      </c>
      <c r="J705" t="s">
        <v>12</v>
      </c>
      <c r="K705" t="str">
        <f>_xlfn.XLOOKUP(order[[#This Row],[customer_id]],customer[customer_id],customer[city])</f>
        <v>Delhi</v>
      </c>
      <c r="L705" t="str">
        <f>_xlfn.XLOOKUP(order[[#This Row],[customer_id]],customer[customer_id],customer[state])</f>
        <v>Delhi</v>
      </c>
      <c r="M705" t="str">
        <f>_xlfn.XLOOKUP(order[[#This Row],[product_id]],products!$A$2:$A$11,products!$B$2:$B$11)</f>
        <v>Prestige Pressure Cooker 5L</v>
      </c>
      <c r="N705" s="3" t="str">
        <f>_xlfn.XLOOKUP(order[[#This Row],[product_id]],products!$A$2:$A$11,products!$C$2:$C$11)</f>
        <v>Home &amp; Kitchen</v>
      </c>
      <c r="O705" s="3">
        <f>_xlfn.XLOOKUP(order[[#This Row],[product_id]],Table4[product_id],Table4[cost_price])</f>
        <v>1200</v>
      </c>
      <c r="P705" s="11">
        <f>_xlfn.XLOOKUP(order[[#This Row],[order_id]],shipment[order_id],shipment[ship_date])</f>
        <v>45302</v>
      </c>
      <c r="Q705" s="11">
        <f>_xlfn.XLOOKUP(order[[#This Row],[order_id]],shipment[order_id],shipment[delivery_date])</f>
        <v>45308</v>
      </c>
      <c r="R705" s="3" t="str">
        <f>_xlfn.XLOOKUP(order[[#This Row],[order_id]],shipment[shipment_id],shipment[courier])</f>
        <v>DTDC</v>
      </c>
      <c r="S705" s="3">
        <f>order[[#This Row],[selling_price]]-order[[#This Row],[cost_price]]*order[[#This Row],[quantity]]-order[[#This Row],[discount]]</f>
        <v>7725</v>
      </c>
      <c r="T705" s="3">
        <f>order[[#This Row],[quantity]]*order[[#This Row],[selling_price]]</f>
        <v>11816</v>
      </c>
    </row>
    <row r="706" spans="1:20" x14ac:dyDescent="0.3">
      <c r="A706">
        <v>705</v>
      </c>
      <c r="B706" s="11">
        <v>45641</v>
      </c>
      <c r="C706">
        <v>291</v>
      </c>
      <c r="D706" t="str">
        <f>_xlfn.XLOOKUP(order[[#This Row],[customer_id]],customer[customer_id],customer[customer_name])</f>
        <v>Arjun Nair</v>
      </c>
      <c r="E706">
        <v>205</v>
      </c>
      <c r="F706">
        <v>4</v>
      </c>
      <c r="G706">
        <v>34160</v>
      </c>
      <c r="H706">
        <v>2910</v>
      </c>
      <c r="I706" t="s">
        <v>15</v>
      </c>
      <c r="J706" t="s">
        <v>14</v>
      </c>
      <c r="K706" t="str">
        <f>_xlfn.XLOOKUP(order[[#This Row],[customer_id]],customer[customer_id],customer[city])</f>
        <v>Mumbai</v>
      </c>
      <c r="L706" t="str">
        <f>_xlfn.XLOOKUP(order[[#This Row],[customer_id]],customer[customer_id],customer[state])</f>
        <v>Maharashtra</v>
      </c>
      <c r="M706" t="str">
        <f>_xlfn.XLOOKUP(order[[#This Row],[product_id]],products!$A$2:$A$11,products!$B$2:$B$11)</f>
        <v>Prestige Pressure Cooker 5L</v>
      </c>
      <c r="N706" s="3" t="str">
        <f>_xlfn.XLOOKUP(order[[#This Row],[product_id]],products!$A$2:$A$11,products!$C$2:$C$11)</f>
        <v>Home &amp; Kitchen</v>
      </c>
      <c r="O706" s="3">
        <f>_xlfn.XLOOKUP(order[[#This Row],[product_id]],Table4[product_id],Table4[cost_price])</f>
        <v>1200</v>
      </c>
      <c r="P706" s="11">
        <f>_xlfn.XLOOKUP(order[[#This Row],[order_id]],shipment[order_id],shipment[ship_date])</f>
        <v>45434</v>
      </c>
      <c r="Q706" s="11">
        <f>_xlfn.XLOOKUP(order[[#This Row],[order_id]],shipment[order_id],shipment[delivery_date])</f>
        <v>45435</v>
      </c>
      <c r="R706" s="3" t="str">
        <f>_xlfn.XLOOKUP(order[[#This Row],[order_id]],shipment[shipment_id],shipment[courier])</f>
        <v>Delhivery</v>
      </c>
      <c r="S706" s="3">
        <f>order[[#This Row],[selling_price]]-order[[#This Row],[cost_price]]*order[[#This Row],[quantity]]-order[[#This Row],[discount]]</f>
        <v>26450</v>
      </c>
      <c r="T706" s="3">
        <f>order[[#This Row],[quantity]]*order[[#This Row],[selling_price]]</f>
        <v>136640</v>
      </c>
    </row>
    <row r="707" spans="1:20" x14ac:dyDescent="0.3">
      <c r="A707">
        <v>706</v>
      </c>
      <c r="B707" s="11">
        <v>45364</v>
      </c>
      <c r="C707">
        <v>151</v>
      </c>
      <c r="D707" t="str">
        <f>_xlfn.XLOOKUP(order[[#This Row],[customer_id]],customer[customer_id],customer[customer_name])</f>
        <v>Neha Kapoor</v>
      </c>
      <c r="E707">
        <v>209</v>
      </c>
      <c r="F707">
        <v>4</v>
      </c>
      <c r="G707">
        <v>55525</v>
      </c>
      <c r="H707">
        <v>1602</v>
      </c>
      <c r="I707" t="s">
        <v>15</v>
      </c>
      <c r="J707" t="s">
        <v>10</v>
      </c>
      <c r="K707" t="str">
        <f>_xlfn.XLOOKUP(order[[#This Row],[customer_id]],customer[customer_id],customer[city])</f>
        <v>Pune</v>
      </c>
      <c r="L707" t="str">
        <f>_xlfn.XLOOKUP(order[[#This Row],[customer_id]],customer[customer_id],customer[state])</f>
        <v>Maharashtra</v>
      </c>
      <c r="M707" t="str">
        <f>_xlfn.XLOOKUP(order[[#This Row],[product_id]],products!$A$2:$A$11,products!$B$2:$B$11)</f>
        <v>Milton Thermosteel Bottle</v>
      </c>
      <c r="N707" s="3" t="str">
        <f>_xlfn.XLOOKUP(order[[#This Row],[product_id]],products!$A$2:$A$11,products!$C$2:$C$11)</f>
        <v>Home &amp; Kitchen</v>
      </c>
      <c r="O707" s="3">
        <f>_xlfn.XLOOKUP(order[[#This Row],[product_id]],Table4[product_id],Table4[cost_price])</f>
        <v>800</v>
      </c>
      <c r="P707" s="11">
        <f>_xlfn.XLOOKUP(order[[#This Row],[order_id]],shipment[order_id],shipment[ship_date])</f>
        <v>45297</v>
      </c>
      <c r="Q707" s="11">
        <f>_xlfn.XLOOKUP(order[[#This Row],[order_id]],shipment[order_id],shipment[delivery_date])</f>
        <v>45298</v>
      </c>
      <c r="R707" s="3" t="str">
        <f>_xlfn.XLOOKUP(order[[#This Row],[order_id]],shipment[shipment_id],shipment[courier])</f>
        <v>Ekart</v>
      </c>
      <c r="S707" s="3">
        <f>order[[#This Row],[selling_price]]-order[[#This Row],[cost_price]]*order[[#This Row],[quantity]]-order[[#This Row],[discount]]</f>
        <v>50723</v>
      </c>
      <c r="T707" s="3">
        <f>order[[#This Row],[quantity]]*order[[#This Row],[selling_price]]</f>
        <v>222100</v>
      </c>
    </row>
    <row r="708" spans="1:20" x14ac:dyDescent="0.3">
      <c r="A708">
        <v>29</v>
      </c>
      <c r="B708" s="11">
        <v>45471</v>
      </c>
      <c r="C708">
        <v>102</v>
      </c>
      <c r="D708" t="str">
        <f>_xlfn.XLOOKUP(order[[#This Row],[customer_id]],customer[customer_id],customer[customer_name])</f>
        <v>Aarav Sharma</v>
      </c>
      <c r="E708">
        <v>210</v>
      </c>
      <c r="F708">
        <v>4</v>
      </c>
      <c r="G708">
        <v>52182</v>
      </c>
      <c r="H708">
        <v>910</v>
      </c>
      <c r="I708" t="s">
        <v>9</v>
      </c>
      <c r="J708" t="s">
        <v>12</v>
      </c>
      <c r="K708" t="str">
        <f>_xlfn.XLOOKUP(order[[#This Row],[customer_id]],customer[customer_id],customer[city])</f>
        <v>Delhi</v>
      </c>
      <c r="L708" t="str">
        <f>_xlfn.XLOOKUP(order[[#This Row],[customer_id]],customer[customer_id],customer[state])</f>
        <v>Delhi</v>
      </c>
      <c r="M708" t="str">
        <f>_xlfn.XLOOKUP(order[[#This Row],[product_id]],products!$A$2:$A$11,products!$B$2:$B$11)</f>
        <v>LG 43 Inch Smart TV</v>
      </c>
      <c r="N708" s="3" t="str">
        <f>_xlfn.XLOOKUP(order[[#This Row],[product_id]],products!$A$2:$A$11,products!$C$2:$C$11)</f>
        <v>Electronics</v>
      </c>
      <c r="O708" s="3">
        <f>_xlfn.XLOOKUP(order[[#This Row],[product_id]],Table4[product_id],Table4[cost_price])</f>
        <v>30000</v>
      </c>
      <c r="P708" s="11">
        <f>_xlfn.XLOOKUP(order[[#This Row],[order_id]],shipment[order_id],shipment[ship_date])</f>
        <v>45464</v>
      </c>
      <c r="Q708" s="11">
        <f>_xlfn.XLOOKUP(order[[#This Row],[order_id]],shipment[order_id],shipment[delivery_date])</f>
        <v>45473</v>
      </c>
      <c r="R708" s="3" t="str">
        <f>_xlfn.XLOOKUP(order[[#This Row],[order_id]],shipment[shipment_id],shipment[courier])</f>
        <v>DTDC</v>
      </c>
      <c r="S708" s="3">
        <f>order[[#This Row],[selling_price]]-order[[#This Row],[cost_price]]*order[[#This Row],[quantity]]-order[[#This Row],[discount]]</f>
        <v>-68728</v>
      </c>
      <c r="T708" s="3">
        <f>order[[#This Row],[quantity]]*order[[#This Row],[selling_price]]</f>
        <v>208728</v>
      </c>
    </row>
    <row r="709" spans="1:20" x14ac:dyDescent="0.3">
      <c r="A709">
        <v>708</v>
      </c>
      <c r="B709" s="11">
        <v>45490</v>
      </c>
      <c r="C709">
        <v>176</v>
      </c>
      <c r="D709" t="str">
        <f>_xlfn.XLOOKUP(order[[#This Row],[customer_id]],customer[customer_id],customer[customer_name])</f>
        <v>Manish Yadav</v>
      </c>
      <c r="E709">
        <v>206</v>
      </c>
      <c r="F709">
        <v>3</v>
      </c>
      <c r="G709">
        <v>35472</v>
      </c>
      <c r="H709">
        <v>2811</v>
      </c>
      <c r="I709" t="s">
        <v>15</v>
      </c>
      <c r="J709" t="s">
        <v>10</v>
      </c>
      <c r="K709" t="str">
        <f>_xlfn.XLOOKUP(order[[#This Row],[customer_id]],customer[customer_id],customer[city])</f>
        <v>Pune</v>
      </c>
      <c r="L709" t="str">
        <f>_xlfn.XLOOKUP(order[[#This Row],[customer_id]],customer[customer_id],customer[state])</f>
        <v>Maharashtra</v>
      </c>
      <c r="M709" t="str">
        <f>_xlfn.XLOOKUP(order[[#This Row],[product_id]],products!$A$2:$A$11,products!$B$2:$B$11)</f>
        <v>Philips Air Fryer</v>
      </c>
      <c r="N709" s="3" t="str">
        <f>_xlfn.XLOOKUP(order[[#This Row],[product_id]],products!$A$2:$A$11,products!$C$2:$C$11)</f>
        <v>Home &amp; Kitchen</v>
      </c>
      <c r="O709" s="3">
        <f>_xlfn.XLOOKUP(order[[#This Row],[product_id]],Table4[product_id],Table4[cost_price])</f>
        <v>7000</v>
      </c>
      <c r="P709" s="11">
        <f>_xlfn.XLOOKUP(order[[#This Row],[order_id]],shipment[order_id],shipment[ship_date])</f>
        <v>45512</v>
      </c>
      <c r="Q709" s="11">
        <f>_xlfn.XLOOKUP(order[[#This Row],[order_id]],shipment[order_id],shipment[delivery_date])</f>
        <v>45517</v>
      </c>
      <c r="R709" s="3" t="str">
        <f>_xlfn.XLOOKUP(order[[#This Row],[order_id]],shipment[shipment_id],shipment[courier])</f>
        <v>Ekart</v>
      </c>
      <c r="S709" s="3">
        <f>order[[#This Row],[selling_price]]-order[[#This Row],[cost_price]]*order[[#This Row],[quantity]]-order[[#This Row],[discount]]</f>
        <v>11661</v>
      </c>
      <c r="T709" s="3">
        <f>order[[#This Row],[quantity]]*order[[#This Row],[selling_price]]</f>
        <v>106416</v>
      </c>
    </row>
    <row r="710" spans="1:20" x14ac:dyDescent="0.3">
      <c r="A710">
        <v>614</v>
      </c>
      <c r="B710" s="11">
        <v>45398</v>
      </c>
      <c r="C710">
        <v>278</v>
      </c>
      <c r="D710" t="str">
        <f>_xlfn.XLOOKUP(order[[#This Row],[customer_id]],customer[customer_id],customer[customer_name])</f>
        <v>Neha Kapoor</v>
      </c>
      <c r="E710">
        <v>210</v>
      </c>
      <c r="F710">
        <v>2</v>
      </c>
      <c r="G710">
        <v>8394</v>
      </c>
      <c r="H710">
        <v>842</v>
      </c>
      <c r="I710" t="s">
        <v>11</v>
      </c>
      <c r="J710" t="s">
        <v>12</v>
      </c>
      <c r="K710" t="str">
        <f>_xlfn.XLOOKUP(order[[#This Row],[customer_id]],customer[customer_id],customer[city])</f>
        <v>Hyderabad</v>
      </c>
      <c r="L710" t="str">
        <f>_xlfn.XLOOKUP(order[[#This Row],[customer_id]],customer[customer_id],customer[state])</f>
        <v>Telangana</v>
      </c>
      <c r="M710" t="str">
        <f>_xlfn.XLOOKUP(order[[#This Row],[product_id]],products!$A$2:$A$11,products!$B$2:$B$11)</f>
        <v>LG 43 Inch Smart TV</v>
      </c>
      <c r="N710" s="3" t="str">
        <f>_xlfn.XLOOKUP(order[[#This Row],[product_id]],products!$A$2:$A$11,products!$C$2:$C$11)</f>
        <v>Electronics</v>
      </c>
      <c r="O710" s="3">
        <f>_xlfn.XLOOKUP(order[[#This Row],[product_id]],Table4[product_id],Table4[cost_price])</f>
        <v>30000</v>
      </c>
      <c r="P710" s="11">
        <f>_xlfn.XLOOKUP(order[[#This Row],[order_id]],shipment[order_id],shipment[ship_date])</f>
        <v>45376</v>
      </c>
      <c r="Q710" s="11">
        <f>_xlfn.XLOOKUP(order[[#This Row],[order_id]],shipment[order_id],shipment[delivery_date])</f>
        <v>45377</v>
      </c>
      <c r="R710" s="3" t="str">
        <f>_xlfn.XLOOKUP(order[[#This Row],[order_id]],shipment[shipment_id],shipment[courier])</f>
        <v>DTDC</v>
      </c>
      <c r="S710" s="3">
        <f>order[[#This Row],[selling_price]]-order[[#This Row],[cost_price]]*order[[#This Row],[quantity]]-order[[#This Row],[discount]]</f>
        <v>-52448</v>
      </c>
      <c r="T710" s="3">
        <f>order[[#This Row],[quantity]]*order[[#This Row],[selling_price]]</f>
        <v>16788</v>
      </c>
    </row>
    <row r="711" spans="1:20" x14ac:dyDescent="0.3">
      <c r="A711">
        <v>82</v>
      </c>
      <c r="B711" s="11">
        <v>45332</v>
      </c>
      <c r="C711">
        <v>228</v>
      </c>
      <c r="D711" t="str">
        <f>_xlfn.XLOOKUP(order[[#This Row],[customer_id]],customer[customer_id],customer[customer_name])</f>
        <v>Priya Reddy</v>
      </c>
      <c r="E711">
        <v>210</v>
      </c>
      <c r="F711">
        <v>4</v>
      </c>
      <c r="G711">
        <v>49111</v>
      </c>
      <c r="H711">
        <v>735</v>
      </c>
      <c r="I711" t="s">
        <v>13</v>
      </c>
      <c r="J711" t="s">
        <v>14</v>
      </c>
      <c r="K711" t="str">
        <f>_xlfn.XLOOKUP(order[[#This Row],[customer_id]],customer[customer_id],customer[city])</f>
        <v>Chennai</v>
      </c>
      <c r="L711" t="str">
        <f>_xlfn.XLOOKUP(order[[#This Row],[customer_id]],customer[customer_id],customer[state])</f>
        <v>Tamil Nadu</v>
      </c>
      <c r="M711" t="str">
        <f>_xlfn.XLOOKUP(order[[#This Row],[product_id]],products!$A$2:$A$11,products!$B$2:$B$11)</f>
        <v>LG 43 Inch Smart TV</v>
      </c>
      <c r="N711" s="3" t="str">
        <f>_xlfn.XLOOKUP(order[[#This Row],[product_id]],products!$A$2:$A$11,products!$C$2:$C$11)</f>
        <v>Electronics</v>
      </c>
      <c r="O711" s="3">
        <f>_xlfn.XLOOKUP(order[[#This Row],[product_id]],Table4[product_id],Table4[cost_price])</f>
        <v>30000</v>
      </c>
      <c r="P711" s="11">
        <f>_xlfn.XLOOKUP(order[[#This Row],[order_id]],shipment[order_id],shipment[ship_date])</f>
        <v>45327</v>
      </c>
      <c r="Q711" s="11">
        <f>_xlfn.XLOOKUP(order[[#This Row],[order_id]],shipment[order_id],shipment[delivery_date])</f>
        <v>45329</v>
      </c>
      <c r="R711" s="3" t="str">
        <f>_xlfn.XLOOKUP(order[[#This Row],[order_id]],shipment[shipment_id],shipment[courier])</f>
        <v>BlueDart</v>
      </c>
      <c r="S711" s="3">
        <f>order[[#This Row],[selling_price]]-order[[#This Row],[cost_price]]*order[[#This Row],[quantity]]-order[[#This Row],[discount]]</f>
        <v>-71624</v>
      </c>
      <c r="T711" s="3">
        <f>order[[#This Row],[quantity]]*order[[#This Row],[selling_price]]</f>
        <v>196444</v>
      </c>
    </row>
    <row r="712" spans="1:20" x14ac:dyDescent="0.3">
      <c r="A712">
        <v>761</v>
      </c>
      <c r="B712" s="11">
        <v>45564</v>
      </c>
      <c r="C712">
        <v>217</v>
      </c>
      <c r="D712" t="str">
        <f>_xlfn.XLOOKUP(order[[#This Row],[customer_id]],customer[customer_id],customer[customer_name])</f>
        <v>Rahul Mehta</v>
      </c>
      <c r="E712">
        <v>210</v>
      </c>
      <c r="F712">
        <v>2</v>
      </c>
      <c r="G712">
        <v>16848</v>
      </c>
      <c r="H712">
        <v>553</v>
      </c>
      <c r="I712" t="s">
        <v>15</v>
      </c>
      <c r="J712" t="s">
        <v>14</v>
      </c>
      <c r="K712" t="str">
        <f>_xlfn.XLOOKUP(order[[#This Row],[customer_id]],customer[customer_id],customer[city])</f>
        <v>Delhi</v>
      </c>
      <c r="L712" t="str">
        <f>_xlfn.XLOOKUP(order[[#This Row],[customer_id]],customer[customer_id],customer[state])</f>
        <v>Delhi</v>
      </c>
      <c r="M712" t="str">
        <f>_xlfn.XLOOKUP(order[[#This Row],[product_id]],products!$A$2:$A$11,products!$B$2:$B$11)</f>
        <v>LG 43 Inch Smart TV</v>
      </c>
      <c r="N712" s="3" t="str">
        <f>_xlfn.XLOOKUP(order[[#This Row],[product_id]],products!$A$2:$A$11,products!$C$2:$C$11)</f>
        <v>Electronics</v>
      </c>
      <c r="O712" s="3">
        <f>_xlfn.XLOOKUP(order[[#This Row],[product_id]],Table4[product_id],Table4[cost_price])</f>
        <v>30000</v>
      </c>
      <c r="P712" s="11">
        <f>_xlfn.XLOOKUP(order[[#This Row],[order_id]],shipment[order_id],shipment[ship_date])</f>
        <v>45438</v>
      </c>
      <c r="Q712" s="11">
        <f>_xlfn.XLOOKUP(order[[#This Row],[order_id]],shipment[order_id],shipment[delivery_date])</f>
        <v>45446</v>
      </c>
      <c r="R712" s="3" t="str">
        <f>_xlfn.XLOOKUP(order[[#This Row],[order_id]],shipment[shipment_id],shipment[courier])</f>
        <v>BlueDart</v>
      </c>
      <c r="S712" s="3">
        <f>order[[#This Row],[selling_price]]-order[[#This Row],[cost_price]]*order[[#This Row],[quantity]]-order[[#This Row],[discount]]</f>
        <v>-43705</v>
      </c>
      <c r="T712" s="3">
        <f>order[[#This Row],[quantity]]*order[[#This Row],[selling_price]]</f>
        <v>33696</v>
      </c>
    </row>
    <row r="713" spans="1:20" x14ac:dyDescent="0.3">
      <c r="A713">
        <v>712</v>
      </c>
      <c r="B713" s="11">
        <v>45511</v>
      </c>
      <c r="C713">
        <v>254</v>
      </c>
      <c r="D713" t="str">
        <f>_xlfn.XLOOKUP(order[[#This Row],[customer_id]],customer[customer_id],customer[customer_name])</f>
        <v>Neha Kapoor</v>
      </c>
      <c r="E713">
        <v>204</v>
      </c>
      <c r="F713">
        <v>2</v>
      </c>
      <c r="G713">
        <v>60779</v>
      </c>
      <c r="H713">
        <v>2754</v>
      </c>
      <c r="I713" t="s">
        <v>13</v>
      </c>
      <c r="J713" t="s">
        <v>14</v>
      </c>
      <c r="K713" t="str">
        <f>_xlfn.XLOOKUP(order[[#This Row],[customer_id]],customer[customer_id],customer[city])</f>
        <v>Bangalore</v>
      </c>
      <c r="L713" t="str">
        <f>_xlfn.XLOOKUP(order[[#This Row],[customer_id]],customer[customer_id],customer[state])</f>
        <v>Karnataka</v>
      </c>
      <c r="M713" t="str">
        <f>_xlfn.XLOOKUP(order[[#This Row],[product_id]],products!$A$2:$A$11,products!$B$2:$B$11)</f>
        <v>Levi's Slim Fit Jeans</v>
      </c>
      <c r="N713" s="3" t="str">
        <f>_xlfn.XLOOKUP(order[[#This Row],[product_id]],products!$A$2:$A$11,products!$C$2:$C$11)</f>
        <v>Fashion</v>
      </c>
      <c r="O713" s="3">
        <f>_xlfn.XLOOKUP(order[[#This Row],[product_id]],Table4[product_id],Table4[cost_price])</f>
        <v>1800</v>
      </c>
      <c r="P713" s="11">
        <f>_xlfn.XLOOKUP(order[[#This Row],[order_id]],shipment[order_id],shipment[ship_date])</f>
        <v>45430</v>
      </c>
      <c r="Q713" s="11">
        <f>_xlfn.XLOOKUP(order[[#This Row],[order_id]],shipment[order_id],shipment[delivery_date])</f>
        <v>45436</v>
      </c>
      <c r="R713" s="3" t="str">
        <f>_xlfn.XLOOKUP(order[[#This Row],[order_id]],shipment[shipment_id],shipment[courier])</f>
        <v>Delhivery</v>
      </c>
      <c r="S713" s="3">
        <f>order[[#This Row],[selling_price]]-order[[#This Row],[cost_price]]*order[[#This Row],[quantity]]-order[[#This Row],[discount]]</f>
        <v>54425</v>
      </c>
      <c r="T713" s="3">
        <f>order[[#This Row],[quantity]]*order[[#This Row],[selling_price]]</f>
        <v>121558</v>
      </c>
    </row>
    <row r="714" spans="1:20" x14ac:dyDescent="0.3">
      <c r="A714">
        <v>1072</v>
      </c>
      <c r="B714" s="11">
        <v>45393</v>
      </c>
      <c r="C714">
        <v>240</v>
      </c>
      <c r="D714" t="str">
        <f>_xlfn.XLOOKUP(order[[#This Row],[customer_id]],customer[customer_id],customer[customer_name])</f>
        <v>Ananya Gupta</v>
      </c>
      <c r="E714">
        <v>210</v>
      </c>
      <c r="F714">
        <v>3</v>
      </c>
      <c r="G714">
        <v>38420</v>
      </c>
      <c r="H714">
        <v>538</v>
      </c>
      <c r="I714" t="s">
        <v>13</v>
      </c>
      <c r="J714" t="s">
        <v>10</v>
      </c>
      <c r="K714" t="str">
        <f>_xlfn.XLOOKUP(order[[#This Row],[customer_id]],customer[customer_id],customer[city])</f>
        <v>Ahmedabad</v>
      </c>
      <c r="L714" t="str">
        <f>_xlfn.XLOOKUP(order[[#This Row],[customer_id]],customer[customer_id],customer[state])</f>
        <v>Gujarat</v>
      </c>
      <c r="M714" t="str">
        <f>_xlfn.XLOOKUP(order[[#This Row],[product_id]],products!$A$2:$A$11,products!$B$2:$B$11)</f>
        <v>LG 43 Inch Smart TV</v>
      </c>
      <c r="N714" s="3" t="str">
        <f>_xlfn.XLOOKUP(order[[#This Row],[product_id]],products!$A$2:$A$11,products!$C$2:$C$11)</f>
        <v>Electronics</v>
      </c>
      <c r="O714" s="3">
        <f>_xlfn.XLOOKUP(order[[#This Row],[product_id]],Table4[product_id],Table4[cost_price])</f>
        <v>30000</v>
      </c>
      <c r="P714" s="11">
        <f>_xlfn.XLOOKUP(order[[#This Row],[order_id]],shipment[order_id],shipment[ship_date])</f>
        <v>45522</v>
      </c>
      <c r="Q714" s="11">
        <f>_xlfn.XLOOKUP(order[[#This Row],[order_id]],shipment[order_id],shipment[delivery_date])</f>
        <v>45528</v>
      </c>
      <c r="R714" s="3" t="str">
        <f>_xlfn.XLOOKUP(order[[#This Row],[order_id]],shipment[shipment_id],shipment[courier])</f>
        <v>BlueDart</v>
      </c>
      <c r="S714" s="3">
        <f>order[[#This Row],[selling_price]]-order[[#This Row],[cost_price]]*order[[#This Row],[quantity]]-order[[#This Row],[discount]]</f>
        <v>-52118</v>
      </c>
      <c r="T714" s="3">
        <f>order[[#This Row],[quantity]]*order[[#This Row],[selling_price]]</f>
        <v>115260</v>
      </c>
    </row>
    <row r="715" spans="1:20" x14ac:dyDescent="0.3">
      <c r="A715">
        <v>714</v>
      </c>
      <c r="B715" s="11">
        <v>45480</v>
      </c>
      <c r="C715">
        <v>185</v>
      </c>
      <c r="D715" t="str">
        <f>_xlfn.XLOOKUP(order[[#This Row],[customer_id]],customer[customer_id],customer[customer_name])</f>
        <v>Karan Patel</v>
      </c>
      <c r="E715">
        <v>208</v>
      </c>
      <c r="F715">
        <v>1</v>
      </c>
      <c r="G715">
        <v>26019</v>
      </c>
      <c r="H715">
        <v>3643</v>
      </c>
      <c r="I715" t="s">
        <v>9</v>
      </c>
      <c r="J715" t="s">
        <v>12</v>
      </c>
      <c r="K715" t="str">
        <f>_xlfn.XLOOKUP(order[[#This Row],[customer_id]],customer[customer_id],customer[city])</f>
        <v>Pune</v>
      </c>
      <c r="L715" t="str">
        <f>_xlfn.XLOOKUP(order[[#This Row],[customer_id]],customer[customer_id],customer[state])</f>
        <v>Maharashtra</v>
      </c>
      <c r="M715" t="str">
        <f>_xlfn.XLOOKUP(order[[#This Row],[product_id]],products!$A$2:$A$11,products!$B$2:$B$11)</f>
        <v>Adidas Ultraboost Shoes</v>
      </c>
      <c r="N715" s="3" t="str">
        <f>_xlfn.XLOOKUP(order[[#This Row],[product_id]],products!$A$2:$A$11,products!$C$2:$C$11)</f>
        <v>Fashion</v>
      </c>
      <c r="O715" s="3">
        <f>_xlfn.XLOOKUP(order[[#This Row],[product_id]],Table4[product_id],Table4[cost_price])</f>
        <v>9000</v>
      </c>
      <c r="P715" s="11">
        <f>_xlfn.XLOOKUP(order[[#This Row],[order_id]],shipment[order_id],shipment[ship_date])</f>
        <v>45364</v>
      </c>
      <c r="Q715" s="11">
        <f>_xlfn.XLOOKUP(order[[#This Row],[order_id]],shipment[order_id],shipment[delivery_date])</f>
        <v>45368</v>
      </c>
      <c r="R715" s="3" t="str">
        <f>_xlfn.XLOOKUP(order[[#This Row],[order_id]],shipment[shipment_id],shipment[courier])</f>
        <v>DTDC</v>
      </c>
      <c r="S715" s="3">
        <f>order[[#This Row],[selling_price]]-order[[#This Row],[cost_price]]*order[[#This Row],[quantity]]-order[[#This Row],[discount]]</f>
        <v>13376</v>
      </c>
      <c r="T715" s="3">
        <f>order[[#This Row],[quantity]]*order[[#This Row],[selling_price]]</f>
        <v>26019</v>
      </c>
    </row>
    <row r="716" spans="1:20" x14ac:dyDescent="0.3">
      <c r="A716">
        <v>715</v>
      </c>
      <c r="B716" s="11">
        <v>45394</v>
      </c>
      <c r="C716">
        <v>184</v>
      </c>
      <c r="D716" t="str">
        <f>_xlfn.XLOOKUP(order[[#This Row],[customer_id]],customer[customer_id],customer[customer_name])</f>
        <v>Arjun Nair</v>
      </c>
      <c r="E716">
        <v>205</v>
      </c>
      <c r="F716">
        <v>2</v>
      </c>
      <c r="G716">
        <v>64658</v>
      </c>
      <c r="H716">
        <v>3798</v>
      </c>
      <c r="I716" t="s">
        <v>9</v>
      </c>
      <c r="J716" t="s">
        <v>12</v>
      </c>
      <c r="K716" t="str">
        <f>_xlfn.XLOOKUP(order[[#This Row],[customer_id]],customer[customer_id],customer[city])</f>
        <v>Delhi</v>
      </c>
      <c r="L716" t="str">
        <f>_xlfn.XLOOKUP(order[[#This Row],[customer_id]],customer[customer_id],customer[state])</f>
        <v>Delhi</v>
      </c>
      <c r="M716" t="str">
        <f>_xlfn.XLOOKUP(order[[#This Row],[product_id]],products!$A$2:$A$11,products!$B$2:$B$11)</f>
        <v>Prestige Pressure Cooker 5L</v>
      </c>
      <c r="N716" s="3" t="str">
        <f>_xlfn.XLOOKUP(order[[#This Row],[product_id]],products!$A$2:$A$11,products!$C$2:$C$11)</f>
        <v>Home &amp; Kitchen</v>
      </c>
      <c r="O716" s="3">
        <f>_xlfn.XLOOKUP(order[[#This Row],[product_id]],Table4[product_id],Table4[cost_price])</f>
        <v>1200</v>
      </c>
      <c r="P716" s="11">
        <f>_xlfn.XLOOKUP(order[[#This Row],[order_id]],shipment[order_id],shipment[ship_date])</f>
        <v>45375</v>
      </c>
      <c r="Q716" s="11">
        <f>_xlfn.XLOOKUP(order[[#This Row],[order_id]],shipment[order_id],shipment[delivery_date])</f>
        <v>45377</v>
      </c>
      <c r="R716" s="3" t="str">
        <f>_xlfn.XLOOKUP(order[[#This Row],[order_id]],shipment[shipment_id],shipment[courier])</f>
        <v>Delhivery</v>
      </c>
      <c r="S716" s="3">
        <f>order[[#This Row],[selling_price]]-order[[#This Row],[cost_price]]*order[[#This Row],[quantity]]-order[[#This Row],[discount]]</f>
        <v>58460</v>
      </c>
      <c r="T716" s="3">
        <f>order[[#This Row],[quantity]]*order[[#This Row],[selling_price]]</f>
        <v>129316</v>
      </c>
    </row>
    <row r="717" spans="1:20" x14ac:dyDescent="0.3">
      <c r="A717">
        <v>716</v>
      </c>
      <c r="B717" s="11">
        <v>45536</v>
      </c>
      <c r="C717">
        <v>110</v>
      </c>
      <c r="D717" t="str">
        <f>_xlfn.XLOOKUP(order[[#This Row],[customer_id]],customer[customer_id],customer[customer_name])</f>
        <v>Rahul Mehta</v>
      </c>
      <c r="E717">
        <v>206</v>
      </c>
      <c r="F717">
        <v>4</v>
      </c>
      <c r="G717">
        <v>33730</v>
      </c>
      <c r="H717">
        <v>1509</v>
      </c>
      <c r="I717" t="s">
        <v>11</v>
      </c>
      <c r="J717" t="s">
        <v>12</v>
      </c>
      <c r="K717" t="str">
        <f>_xlfn.XLOOKUP(order[[#This Row],[customer_id]],customer[customer_id],customer[city])</f>
        <v>Delhi</v>
      </c>
      <c r="L717" t="str">
        <f>_xlfn.XLOOKUP(order[[#This Row],[customer_id]],customer[customer_id],customer[state])</f>
        <v>Delhi</v>
      </c>
      <c r="M717" t="str">
        <f>_xlfn.XLOOKUP(order[[#This Row],[product_id]],products!$A$2:$A$11,products!$B$2:$B$11)</f>
        <v>Philips Air Fryer</v>
      </c>
      <c r="N717" s="3" t="str">
        <f>_xlfn.XLOOKUP(order[[#This Row],[product_id]],products!$A$2:$A$11,products!$C$2:$C$11)</f>
        <v>Home &amp; Kitchen</v>
      </c>
      <c r="O717" s="3">
        <f>_xlfn.XLOOKUP(order[[#This Row],[product_id]],Table4[product_id],Table4[cost_price])</f>
        <v>7000</v>
      </c>
      <c r="P717" s="11">
        <f>_xlfn.XLOOKUP(order[[#This Row],[order_id]],shipment[order_id],shipment[ship_date])</f>
        <v>45623</v>
      </c>
      <c r="Q717" s="11">
        <f>_xlfn.XLOOKUP(order[[#This Row],[order_id]],shipment[order_id],shipment[delivery_date])</f>
        <v>45628</v>
      </c>
      <c r="R717" s="3" t="str">
        <f>_xlfn.XLOOKUP(order[[#This Row],[order_id]],shipment[shipment_id],shipment[courier])</f>
        <v>Ekart</v>
      </c>
      <c r="S717" s="3">
        <f>order[[#This Row],[selling_price]]-order[[#This Row],[cost_price]]*order[[#This Row],[quantity]]-order[[#This Row],[discount]]</f>
        <v>4221</v>
      </c>
      <c r="T717" s="3">
        <f>order[[#This Row],[quantity]]*order[[#This Row],[selling_price]]</f>
        <v>134920</v>
      </c>
    </row>
    <row r="718" spans="1:20" x14ac:dyDescent="0.3">
      <c r="A718">
        <v>717</v>
      </c>
      <c r="B718" s="11">
        <v>45340</v>
      </c>
      <c r="C718">
        <v>294</v>
      </c>
      <c r="D718" t="str">
        <f>_xlfn.XLOOKUP(order[[#This Row],[customer_id]],customer[customer_id],customer[customer_name])</f>
        <v>Sneha Iyer</v>
      </c>
      <c r="E718">
        <v>209</v>
      </c>
      <c r="F718">
        <v>2</v>
      </c>
      <c r="G718">
        <v>16111</v>
      </c>
      <c r="H718">
        <v>1839</v>
      </c>
      <c r="I718" t="s">
        <v>11</v>
      </c>
      <c r="J718" t="s">
        <v>10</v>
      </c>
      <c r="K718" t="str">
        <f>_xlfn.XLOOKUP(order[[#This Row],[customer_id]],customer[customer_id],customer[city])</f>
        <v>Hyderabad</v>
      </c>
      <c r="L718" t="str">
        <f>_xlfn.XLOOKUP(order[[#This Row],[customer_id]],customer[customer_id],customer[state])</f>
        <v>Telangana</v>
      </c>
      <c r="M718" t="str">
        <f>_xlfn.XLOOKUP(order[[#This Row],[product_id]],products!$A$2:$A$11,products!$B$2:$B$11)</f>
        <v>Milton Thermosteel Bottle</v>
      </c>
      <c r="N718" s="3" t="str">
        <f>_xlfn.XLOOKUP(order[[#This Row],[product_id]],products!$A$2:$A$11,products!$C$2:$C$11)</f>
        <v>Home &amp; Kitchen</v>
      </c>
      <c r="O718" s="3">
        <f>_xlfn.XLOOKUP(order[[#This Row],[product_id]],Table4[product_id],Table4[cost_price])</f>
        <v>800</v>
      </c>
      <c r="P718" s="11">
        <f>_xlfn.XLOOKUP(order[[#This Row],[order_id]],shipment[order_id],shipment[ship_date])</f>
        <v>45361</v>
      </c>
      <c r="Q718" s="11">
        <f>_xlfn.XLOOKUP(order[[#This Row],[order_id]],shipment[order_id],shipment[delivery_date])</f>
        <v>45363</v>
      </c>
      <c r="R718" s="3" t="str">
        <f>_xlfn.XLOOKUP(order[[#This Row],[order_id]],shipment[shipment_id],shipment[courier])</f>
        <v>BlueDart</v>
      </c>
      <c r="S718" s="3">
        <f>order[[#This Row],[selling_price]]-order[[#This Row],[cost_price]]*order[[#This Row],[quantity]]-order[[#This Row],[discount]]</f>
        <v>12672</v>
      </c>
      <c r="T718" s="3">
        <f>order[[#This Row],[quantity]]*order[[#This Row],[selling_price]]</f>
        <v>32222</v>
      </c>
    </row>
    <row r="719" spans="1:20" x14ac:dyDescent="0.3">
      <c r="A719">
        <v>150</v>
      </c>
      <c r="B719" s="11">
        <v>45413</v>
      </c>
      <c r="C719">
        <v>280</v>
      </c>
      <c r="D719" t="str">
        <f>_xlfn.XLOOKUP(order[[#This Row],[customer_id]],customer[customer_id],customer[customer_name])</f>
        <v>Aarav Sharma</v>
      </c>
      <c r="E719">
        <v>210</v>
      </c>
      <c r="F719">
        <v>2</v>
      </c>
      <c r="G719">
        <v>6990</v>
      </c>
      <c r="H719">
        <v>523</v>
      </c>
      <c r="I719" t="s">
        <v>9</v>
      </c>
      <c r="J719" t="s">
        <v>10</v>
      </c>
      <c r="K719" t="str">
        <f>_xlfn.XLOOKUP(order[[#This Row],[customer_id]],customer[customer_id],customer[city])</f>
        <v>Hyderabad</v>
      </c>
      <c r="L719" t="str">
        <f>_xlfn.XLOOKUP(order[[#This Row],[customer_id]],customer[customer_id],customer[state])</f>
        <v>Telangana</v>
      </c>
      <c r="M719" t="str">
        <f>_xlfn.XLOOKUP(order[[#This Row],[product_id]],products!$A$2:$A$11,products!$B$2:$B$11)</f>
        <v>LG 43 Inch Smart TV</v>
      </c>
      <c r="N719" s="3" t="str">
        <f>_xlfn.XLOOKUP(order[[#This Row],[product_id]],products!$A$2:$A$11,products!$C$2:$C$11)</f>
        <v>Electronics</v>
      </c>
      <c r="O719" s="3">
        <f>_xlfn.XLOOKUP(order[[#This Row],[product_id]],Table4[product_id],Table4[cost_price])</f>
        <v>30000</v>
      </c>
      <c r="P719" s="11">
        <f>_xlfn.XLOOKUP(order[[#This Row],[order_id]],shipment[order_id],shipment[ship_date])</f>
        <v>45330</v>
      </c>
      <c r="Q719" s="11">
        <f>_xlfn.XLOOKUP(order[[#This Row],[order_id]],shipment[order_id],shipment[delivery_date])</f>
        <v>45332</v>
      </c>
      <c r="R719" s="3" t="str">
        <f>_xlfn.XLOOKUP(order[[#This Row],[order_id]],shipment[shipment_id],shipment[courier])</f>
        <v>Ekart</v>
      </c>
      <c r="S719" s="3">
        <f>order[[#This Row],[selling_price]]-order[[#This Row],[cost_price]]*order[[#This Row],[quantity]]-order[[#This Row],[discount]]</f>
        <v>-53533</v>
      </c>
      <c r="T719" s="3">
        <f>order[[#This Row],[quantity]]*order[[#This Row],[selling_price]]</f>
        <v>13980</v>
      </c>
    </row>
    <row r="720" spans="1:20" x14ac:dyDescent="0.3">
      <c r="A720">
        <v>719</v>
      </c>
      <c r="B720" s="11">
        <v>45297</v>
      </c>
      <c r="C720">
        <v>258</v>
      </c>
      <c r="D720" t="str">
        <f>_xlfn.XLOOKUP(order[[#This Row],[customer_id]],customer[customer_id],customer[customer_name])</f>
        <v>Manish Yadav</v>
      </c>
      <c r="E720">
        <v>203</v>
      </c>
      <c r="F720">
        <v>1</v>
      </c>
      <c r="G720">
        <v>9447</v>
      </c>
      <c r="H720">
        <v>2452</v>
      </c>
      <c r="I720" t="s">
        <v>9</v>
      </c>
      <c r="J720" t="s">
        <v>10</v>
      </c>
      <c r="K720" t="str">
        <f>_xlfn.XLOOKUP(order[[#This Row],[customer_id]],customer[customer_id],customer[city])</f>
        <v>Delhi</v>
      </c>
      <c r="L720" t="str">
        <f>_xlfn.XLOOKUP(order[[#This Row],[customer_id]],customer[customer_id],customer[state])</f>
        <v>Delhi</v>
      </c>
      <c r="M720" t="str">
        <f>_xlfn.XLOOKUP(order[[#This Row],[product_id]],products!$A$2:$A$11,products!$B$2:$B$11)</f>
        <v>Nike Air Max Shoes</v>
      </c>
      <c r="N720" s="3" t="str">
        <f>_xlfn.XLOOKUP(order[[#This Row],[product_id]],products!$A$2:$A$11,products!$C$2:$C$11)</f>
        <v>Fashion</v>
      </c>
      <c r="O720" s="3">
        <f>_xlfn.XLOOKUP(order[[#This Row],[product_id]],Table4[product_id],Table4[cost_price])</f>
        <v>4000</v>
      </c>
      <c r="P720" s="11">
        <f>_xlfn.XLOOKUP(order[[#This Row],[order_id]],shipment[order_id],shipment[ship_date])</f>
        <v>45450</v>
      </c>
      <c r="Q720" s="11">
        <f>_xlfn.XLOOKUP(order[[#This Row],[order_id]],shipment[order_id],shipment[delivery_date])</f>
        <v>45456</v>
      </c>
      <c r="R720" s="3" t="str">
        <f>_xlfn.XLOOKUP(order[[#This Row],[order_id]],shipment[shipment_id],shipment[courier])</f>
        <v>BlueDart</v>
      </c>
      <c r="S720" s="3">
        <f>order[[#This Row],[selling_price]]-order[[#This Row],[cost_price]]*order[[#This Row],[quantity]]-order[[#This Row],[discount]]</f>
        <v>2995</v>
      </c>
      <c r="T720" s="3">
        <f>order[[#This Row],[quantity]]*order[[#This Row],[selling_price]]</f>
        <v>9447</v>
      </c>
    </row>
    <row r="721" spans="1:20" x14ac:dyDescent="0.3">
      <c r="A721">
        <v>720</v>
      </c>
      <c r="B721" s="11">
        <v>45501</v>
      </c>
      <c r="C721">
        <v>226</v>
      </c>
      <c r="D721" t="str">
        <f>_xlfn.XLOOKUP(order[[#This Row],[customer_id]],customer[customer_id],customer[customer_name])</f>
        <v>Rahul Mehta</v>
      </c>
      <c r="E721">
        <v>208</v>
      </c>
      <c r="F721">
        <v>2</v>
      </c>
      <c r="G721">
        <v>26267</v>
      </c>
      <c r="H721">
        <v>3299</v>
      </c>
      <c r="I721" t="s">
        <v>15</v>
      </c>
      <c r="J721" t="s">
        <v>12</v>
      </c>
      <c r="K721" t="str">
        <f>_xlfn.XLOOKUP(order[[#This Row],[customer_id]],customer[customer_id],customer[city])</f>
        <v>Bangalore</v>
      </c>
      <c r="L721" t="str">
        <f>_xlfn.XLOOKUP(order[[#This Row],[customer_id]],customer[customer_id],customer[state])</f>
        <v>Karnataka</v>
      </c>
      <c r="M721" t="str">
        <f>_xlfn.XLOOKUP(order[[#This Row],[product_id]],products!$A$2:$A$11,products!$B$2:$B$11)</f>
        <v>Adidas Ultraboost Shoes</v>
      </c>
      <c r="N721" s="3" t="str">
        <f>_xlfn.XLOOKUP(order[[#This Row],[product_id]],products!$A$2:$A$11,products!$C$2:$C$11)</f>
        <v>Fashion</v>
      </c>
      <c r="O721" s="3">
        <f>_xlfn.XLOOKUP(order[[#This Row],[product_id]],Table4[product_id],Table4[cost_price])</f>
        <v>9000</v>
      </c>
      <c r="P721" s="11">
        <f>_xlfn.XLOOKUP(order[[#This Row],[order_id]],shipment[order_id],shipment[ship_date])</f>
        <v>45367</v>
      </c>
      <c r="Q721" s="11">
        <f>_xlfn.XLOOKUP(order[[#This Row],[order_id]],shipment[order_id],shipment[delivery_date])</f>
        <v>45371</v>
      </c>
      <c r="R721" s="3" t="str">
        <f>_xlfn.XLOOKUP(order[[#This Row],[order_id]],shipment[shipment_id],shipment[courier])</f>
        <v>Ekart</v>
      </c>
      <c r="S721" s="3">
        <f>order[[#This Row],[selling_price]]-order[[#This Row],[cost_price]]*order[[#This Row],[quantity]]-order[[#This Row],[discount]]</f>
        <v>4968</v>
      </c>
      <c r="T721" s="3">
        <f>order[[#This Row],[quantity]]*order[[#This Row],[selling_price]]</f>
        <v>52534</v>
      </c>
    </row>
    <row r="722" spans="1:20" x14ac:dyDescent="0.3">
      <c r="A722">
        <v>721</v>
      </c>
      <c r="B722" s="11">
        <v>45624</v>
      </c>
      <c r="C722">
        <v>124</v>
      </c>
      <c r="D722" t="str">
        <f>_xlfn.XLOOKUP(order[[#This Row],[customer_id]],customer[customer_id],customer[customer_name])</f>
        <v>Neha Kapoor</v>
      </c>
      <c r="E722">
        <v>207</v>
      </c>
      <c r="F722">
        <v>1</v>
      </c>
      <c r="G722">
        <v>60049</v>
      </c>
      <c r="H722">
        <v>346</v>
      </c>
      <c r="I722" t="s">
        <v>13</v>
      </c>
      <c r="J722" t="s">
        <v>14</v>
      </c>
      <c r="K722" t="str">
        <f>_xlfn.XLOOKUP(order[[#This Row],[customer_id]],customer[customer_id],customer[city])</f>
        <v>Mumbai</v>
      </c>
      <c r="L722" t="str">
        <f>_xlfn.XLOOKUP(order[[#This Row],[customer_id]],customer[customer_id],customer[state])</f>
        <v>Maharashtra</v>
      </c>
      <c r="M722" t="str">
        <f>_xlfn.XLOOKUP(order[[#This Row],[product_id]],products!$A$2:$A$11,products!$B$2:$B$11)</f>
        <v>Sony WH-1000XM4 Headphones</v>
      </c>
      <c r="N722" s="3" t="str">
        <f>_xlfn.XLOOKUP(order[[#This Row],[product_id]],products!$A$2:$A$11,products!$C$2:$C$11)</f>
        <v>Electronics</v>
      </c>
      <c r="O722" s="3">
        <f>_xlfn.XLOOKUP(order[[#This Row],[product_id]],Table4[product_id],Table4[cost_price])</f>
        <v>20000</v>
      </c>
      <c r="P722" s="11">
        <f>_xlfn.XLOOKUP(order[[#This Row],[order_id]],shipment[order_id],shipment[ship_date])</f>
        <v>45466</v>
      </c>
      <c r="Q722" s="11">
        <f>_xlfn.XLOOKUP(order[[#This Row],[order_id]],shipment[order_id],shipment[delivery_date])</f>
        <v>45473</v>
      </c>
      <c r="R722" s="3" t="str">
        <f>_xlfn.XLOOKUP(order[[#This Row],[order_id]],shipment[shipment_id],shipment[courier])</f>
        <v>BlueDart</v>
      </c>
      <c r="S722" s="3">
        <f>order[[#This Row],[selling_price]]-order[[#This Row],[cost_price]]*order[[#This Row],[quantity]]-order[[#This Row],[discount]]</f>
        <v>39703</v>
      </c>
      <c r="T722" s="3">
        <f>order[[#This Row],[quantity]]*order[[#This Row],[selling_price]]</f>
        <v>60049</v>
      </c>
    </row>
    <row r="723" spans="1:20" x14ac:dyDescent="0.3">
      <c r="A723">
        <v>322</v>
      </c>
      <c r="B723" s="11">
        <v>45551</v>
      </c>
      <c r="C723">
        <v>181</v>
      </c>
      <c r="D723" t="str">
        <f>_xlfn.XLOOKUP(order[[#This Row],[customer_id]],customer[customer_id],customer[customer_name])</f>
        <v>Manish Yadav</v>
      </c>
      <c r="E723">
        <v>210</v>
      </c>
      <c r="F723">
        <v>3</v>
      </c>
      <c r="G723">
        <v>55908</v>
      </c>
      <c r="H723">
        <v>466</v>
      </c>
      <c r="I723" t="s">
        <v>15</v>
      </c>
      <c r="J723" t="s">
        <v>10</v>
      </c>
      <c r="K723" t="str">
        <f>_xlfn.XLOOKUP(order[[#This Row],[customer_id]],customer[customer_id],customer[city])</f>
        <v>Delhi</v>
      </c>
      <c r="L723" t="str">
        <f>_xlfn.XLOOKUP(order[[#This Row],[customer_id]],customer[customer_id],customer[state])</f>
        <v>Delhi</v>
      </c>
      <c r="M723" t="str">
        <f>_xlfn.XLOOKUP(order[[#This Row],[product_id]],products!$A$2:$A$11,products!$B$2:$B$11)</f>
        <v>LG 43 Inch Smart TV</v>
      </c>
      <c r="N723" s="3" t="str">
        <f>_xlfn.XLOOKUP(order[[#This Row],[product_id]],products!$A$2:$A$11,products!$C$2:$C$11)</f>
        <v>Electronics</v>
      </c>
      <c r="O723" s="3">
        <f>_xlfn.XLOOKUP(order[[#This Row],[product_id]],Table4[product_id],Table4[cost_price])</f>
        <v>30000</v>
      </c>
      <c r="P723" s="11">
        <f>_xlfn.XLOOKUP(order[[#This Row],[order_id]],shipment[order_id],shipment[ship_date])</f>
        <v>45540</v>
      </c>
      <c r="Q723" s="11">
        <f>_xlfn.XLOOKUP(order[[#This Row],[order_id]],shipment[order_id],shipment[delivery_date])</f>
        <v>45548</v>
      </c>
      <c r="R723" s="3" t="str">
        <f>_xlfn.XLOOKUP(order[[#This Row],[order_id]],shipment[shipment_id],shipment[courier])</f>
        <v>DTDC</v>
      </c>
      <c r="S723" s="3">
        <f>order[[#This Row],[selling_price]]-order[[#This Row],[cost_price]]*order[[#This Row],[quantity]]-order[[#This Row],[discount]]</f>
        <v>-34558</v>
      </c>
      <c r="T723" s="3">
        <f>order[[#This Row],[quantity]]*order[[#This Row],[selling_price]]</f>
        <v>167724</v>
      </c>
    </row>
    <row r="724" spans="1:20" x14ac:dyDescent="0.3">
      <c r="A724">
        <v>723</v>
      </c>
      <c r="B724" s="11">
        <v>45448</v>
      </c>
      <c r="C724">
        <v>195</v>
      </c>
      <c r="D724" t="str">
        <f>_xlfn.XLOOKUP(order[[#This Row],[customer_id]],customer[customer_id],customer[customer_name])</f>
        <v>Rahul Mehta</v>
      </c>
      <c r="E724">
        <v>205</v>
      </c>
      <c r="F724">
        <v>1</v>
      </c>
      <c r="G724">
        <v>47520</v>
      </c>
      <c r="H724">
        <v>1792</v>
      </c>
      <c r="I724" t="s">
        <v>9</v>
      </c>
      <c r="J724" t="s">
        <v>12</v>
      </c>
      <c r="K724" t="str">
        <f>_xlfn.XLOOKUP(order[[#This Row],[customer_id]],customer[customer_id],customer[city])</f>
        <v>Bangalore</v>
      </c>
      <c r="L724" t="str">
        <f>_xlfn.XLOOKUP(order[[#This Row],[customer_id]],customer[customer_id],customer[state])</f>
        <v>Karnataka</v>
      </c>
      <c r="M724" t="str">
        <f>_xlfn.XLOOKUP(order[[#This Row],[product_id]],products!$A$2:$A$11,products!$B$2:$B$11)</f>
        <v>Prestige Pressure Cooker 5L</v>
      </c>
      <c r="N724" s="3" t="str">
        <f>_xlfn.XLOOKUP(order[[#This Row],[product_id]],products!$A$2:$A$11,products!$C$2:$C$11)</f>
        <v>Home &amp; Kitchen</v>
      </c>
      <c r="O724" s="3">
        <f>_xlfn.XLOOKUP(order[[#This Row],[product_id]],Table4[product_id],Table4[cost_price])</f>
        <v>1200</v>
      </c>
      <c r="P724" s="11">
        <f>_xlfn.XLOOKUP(order[[#This Row],[order_id]],shipment[order_id],shipment[ship_date])</f>
        <v>45642</v>
      </c>
      <c r="Q724" s="11">
        <f>_xlfn.XLOOKUP(order[[#This Row],[order_id]],shipment[order_id],shipment[delivery_date])</f>
        <v>45650</v>
      </c>
      <c r="R724" s="3" t="str">
        <f>_xlfn.XLOOKUP(order[[#This Row],[order_id]],shipment[shipment_id],shipment[courier])</f>
        <v>Delhivery</v>
      </c>
      <c r="S724" s="3">
        <f>order[[#This Row],[selling_price]]-order[[#This Row],[cost_price]]*order[[#This Row],[quantity]]-order[[#This Row],[discount]]</f>
        <v>44528</v>
      </c>
      <c r="T724" s="3">
        <f>order[[#This Row],[quantity]]*order[[#This Row],[selling_price]]</f>
        <v>47520</v>
      </c>
    </row>
    <row r="725" spans="1:20" x14ac:dyDescent="0.3">
      <c r="A725">
        <v>339</v>
      </c>
      <c r="B725" s="11">
        <v>45649</v>
      </c>
      <c r="C725">
        <v>113</v>
      </c>
      <c r="D725" t="str">
        <f>_xlfn.XLOOKUP(order[[#This Row],[customer_id]],customer[customer_id],customer[customer_name])</f>
        <v>Meera Joshi</v>
      </c>
      <c r="E725">
        <v>210</v>
      </c>
      <c r="F725">
        <v>4</v>
      </c>
      <c r="G725">
        <v>60190</v>
      </c>
      <c r="H725">
        <v>381</v>
      </c>
      <c r="I725" t="s">
        <v>11</v>
      </c>
      <c r="J725" t="s">
        <v>14</v>
      </c>
      <c r="K725" t="str">
        <f>_xlfn.XLOOKUP(order[[#This Row],[customer_id]],customer[customer_id],customer[city])</f>
        <v>Hyderabad</v>
      </c>
      <c r="L725" t="str">
        <f>_xlfn.XLOOKUP(order[[#This Row],[customer_id]],customer[customer_id],customer[state])</f>
        <v>Telangana</v>
      </c>
      <c r="M725" t="str">
        <f>_xlfn.XLOOKUP(order[[#This Row],[product_id]],products!$A$2:$A$11,products!$B$2:$B$11)</f>
        <v>LG 43 Inch Smart TV</v>
      </c>
      <c r="N725" s="3" t="str">
        <f>_xlfn.XLOOKUP(order[[#This Row],[product_id]],products!$A$2:$A$11,products!$C$2:$C$11)</f>
        <v>Electronics</v>
      </c>
      <c r="O725" s="3">
        <f>_xlfn.XLOOKUP(order[[#This Row],[product_id]],Table4[product_id],Table4[cost_price])</f>
        <v>30000</v>
      </c>
      <c r="P725" s="11">
        <f>_xlfn.XLOOKUP(order[[#This Row],[order_id]],shipment[order_id],shipment[ship_date])</f>
        <v>45537</v>
      </c>
      <c r="Q725" s="11">
        <f>_xlfn.XLOOKUP(order[[#This Row],[order_id]],shipment[order_id],shipment[delivery_date])</f>
        <v>45542</v>
      </c>
      <c r="R725" s="3" t="str">
        <f>_xlfn.XLOOKUP(order[[#This Row],[order_id]],shipment[shipment_id],shipment[courier])</f>
        <v>Ekart</v>
      </c>
      <c r="S725" s="3">
        <f>order[[#This Row],[selling_price]]-order[[#This Row],[cost_price]]*order[[#This Row],[quantity]]-order[[#This Row],[discount]]</f>
        <v>-60191</v>
      </c>
      <c r="T725" s="3">
        <f>order[[#This Row],[quantity]]*order[[#This Row],[selling_price]]</f>
        <v>240760</v>
      </c>
    </row>
    <row r="726" spans="1:20" x14ac:dyDescent="0.3">
      <c r="A726">
        <v>1188</v>
      </c>
      <c r="B726" s="11">
        <v>45292</v>
      </c>
      <c r="C726">
        <v>215</v>
      </c>
      <c r="D726" t="str">
        <f>_xlfn.XLOOKUP(order[[#This Row],[customer_id]],customer[customer_id],customer[customer_name])</f>
        <v>Priya Reddy</v>
      </c>
      <c r="E726">
        <v>210</v>
      </c>
      <c r="F726">
        <v>2</v>
      </c>
      <c r="G726">
        <v>14481</v>
      </c>
      <c r="H726">
        <v>376</v>
      </c>
      <c r="I726" t="s">
        <v>9</v>
      </c>
      <c r="J726" t="s">
        <v>10</v>
      </c>
      <c r="K726" t="str">
        <f>_xlfn.XLOOKUP(order[[#This Row],[customer_id]],customer[customer_id],customer[city])</f>
        <v>Chennai</v>
      </c>
      <c r="L726" t="str">
        <f>_xlfn.XLOOKUP(order[[#This Row],[customer_id]],customer[customer_id],customer[state])</f>
        <v>Tamil Nadu</v>
      </c>
      <c r="M726" t="str">
        <f>_xlfn.XLOOKUP(order[[#This Row],[product_id]],products!$A$2:$A$11,products!$B$2:$B$11)</f>
        <v>LG 43 Inch Smart TV</v>
      </c>
      <c r="N726" s="3" t="str">
        <f>_xlfn.XLOOKUP(order[[#This Row],[product_id]],products!$A$2:$A$11,products!$C$2:$C$11)</f>
        <v>Electronics</v>
      </c>
      <c r="O726" s="3">
        <f>_xlfn.XLOOKUP(order[[#This Row],[product_id]],Table4[product_id],Table4[cost_price])</f>
        <v>30000</v>
      </c>
      <c r="P726" s="11">
        <f>_xlfn.XLOOKUP(order[[#This Row],[order_id]],shipment[order_id],shipment[ship_date])</f>
        <v>45332</v>
      </c>
      <c r="Q726" s="11">
        <f>_xlfn.XLOOKUP(order[[#This Row],[order_id]],shipment[order_id],shipment[delivery_date])</f>
        <v>45337</v>
      </c>
      <c r="R726" s="3" t="str">
        <f>_xlfn.XLOOKUP(order[[#This Row],[order_id]],shipment[shipment_id],shipment[courier])</f>
        <v>DTDC</v>
      </c>
      <c r="S726" s="3">
        <f>order[[#This Row],[selling_price]]-order[[#This Row],[cost_price]]*order[[#This Row],[quantity]]-order[[#This Row],[discount]]</f>
        <v>-45895</v>
      </c>
      <c r="T726" s="3">
        <f>order[[#This Row],[quantity]]*order[[#This Row],[selling_price]]</f>
        <v>28962</v>
      </c>
    </row>
    <row r="727" spans="1:20" x14ac:dyDescent="0.3">
      <c r="A727">
        <v>269</v>
      </c>
      <c r="B727" s="11">
        <v>45578</v>
      </c>
      <c r="C727">
        <v>130</v>
      </c>
      <c r="D727" t="str">
        <f>_xlfn.XLOOKUP(order[[#This Row],[customer_id]],customer[customer_id],customer[customer_name])</f>
        <v>Siddharth Jain</v>
      </c>
      <c r="E727">
        <v>210</v>
      </c>
      <c r="F727">
        <v>3</v>
      </c>
      <c r="G727">
        <v>19637</v>
      </c>
      <c r="H727">
        <v>282</v>
      </c>
      <c r="I727" t="s">
        <v>9</v>
      </c>
      <c r="J727" t="s">
        <v>14</v>
      </c>
      <c r="K727" t="str">
        <f>_xlfn.XLOOKUP(order[[#This Row],[customer_id]],customer[customer_id],customer[city])</f>
        <v>Mumbai</v>
      </c>
      <c r="L727" t="str">
        <f>_xlfn.XLOOKUP(order[[#This Row],[customer_id]],customer[customer_id],customer[state])</f>
        <v>Maharashtra</v>
      </c>
      <c r="M727" t="str">
        <f>_xlfn.XLOOKUP(order[[#This Row],[product_id]],products!$A$2:$A$11,products!$B$2:$B$11)</f>
        <v>LG 43 Inch Smart TV</v>
      </c>
      <c r="N727" s="3" t="str">
        <f>_xlfn.XLOOKUP(order[[#This Row],[product_id]],products!$A$2:$A$11,products!$C$2:$C$11)</f>
        <v>Electronics</v>
      </c>
      <c r="O727" s="3">
        <f>_xlfn.XLOOKUP(order[[#This Row],[product_id]],Table4[product_id],Table4[cost_price])</f>
        <v>30000</v>
      </c>
      <c r="P727" s="11">
        <f>_xlfn.XLOOKUP(order[[#This Row],[order_id]],shipment[order_id],shipment[ship_date])</f>
        <v>45534</v>
      </c>
      <c r="Q727" s="11">
        <f>_xlfn.XLOOKUP(order[[#This Row],[order_id]],shipment[order_id],shipment[delivery_date])</f>
        <v>45537</v>
      </c>
      <c r="R727" s="3" t="str">
        <f>_xlfn.XLOOKUP(order[[#This Row],[order_id]],shipment[shipment_id],shipment[courier])</f>
        <v>Delhivery</v>
      </c>
      <c r="S727" s="3">
        <f>order[[#This Row],[selling_price]]-order[[#This Row],[cost_price]]*order[[#This Row],[quantity]]-order[[#This Row],[discount]]</f>
        <v>-70645</v>
      </c>
      <c r="T727" s="3">
        <f>order[[#This Row],[quantity]]*order[[#This Row],[selling_price]]</f>
        <v>58911</v>
      </c>
    </row>
    <row r="728" spans="1:20" x14ac:dyDescent="0.3">
      <c r="A728">
        <v>598</v>
      </c>
      <c r="B728" s="11">
        <v>45467</v>
      </c>
      <c r="C728">
        <v>278</v>
      </c>
      <c r="D728" t="str">
        <f>_xlfn.XLOOKUP(order[[#This Row],[customer_id]],customer[customer_id],customer[customer_name])</f>
        <v>Neha Kapoor</v>
      </c>
      <c r="E728">
        <v>210</v>
      </c>
      <c r="F728">
        <v>3</v>
      </c>
      <c r="G728">
        <v>24723</v>
      </c>
      <c r="H728">
        <v>243</v>
      </c>
      <c r="I728" t="s">
        <v>9</v>
      </c>
      <c r="J728" t="s">
        <v>10</v>
      </c>
      <c r="K728" t="str">
        <f>_xlfn.XLOOKUP(order[[#This Row],[customer_id]],customer[customer_id],customer[city])</f>
        <v>Hyderabad</v>
      </c>
      <c r="L728" t="str">
        <f>_xlfn.XLOOKUP(order[[#This Row],[customer_id]],customer[customer_id],customer[state])</f>
        <v>Telangana</v>
      </c>
      <c r="M728" t="str">
        <f>_xlfn.XLOOKUP(order[[#This Row],[product_id]],products!$A$2:$A$11,products!$B$2:$B$11)</f>
        <v>LG 43 Inch Smart TV</v>
      </c>
      <c r="N728" s="3" t="str">
        <f>_xlfn.XLOOKUP(order[[#This Row],[product_id]],products!$A$2:$A$11,products!$C$2:$C$11)</f>
        <v>Electronics</v>
      </c>
      <c r="O728" s="3">
        <f>_xlfn.XLOOKUP(order[[#This Row],[product_id]],Table4[product_id],Table4[cost_price])</f>
        <v>30000</v>
      </c>
      <c r="P728" s="11">
        <f>_xlfn.XLOOKUP(order[[#This Row],[order_id]],shipment[order_id],shipment[ship_date])</f>
        <v>45526</v>
      </c>
      <c r="Q728" s="11">
        <f>_xlfn.XLOOKUP(order[[#This Row],[order_id]],shipment[order_id],shipment[delivery_date])</f>
        <v>45531</v>
      </c>
      <c r="R728" s="3" t="str">
        <f>_xlfn.XLOOKUP(order[[#This Row],[order_id]],shipment[shipment_id],shipment[courier])</f>
        <v>Delhivery</v>
      </c>
      <c r="S728" s="3">
        <f>order[[#This Row],[selling_price]]-order[[#This Row],[cost_price]]*order[[#This Row],[quantity]]-order[[#This Row],[discount]]</f>
        <v>-65520</v>
      </c>
      <c r="T728" s="3">
        <f>order[[#This Row],[quantity]]*order[[#This Row],[selling_price]]</f>
        <v>74169</v>
      </c>
    </row>
    <row r="729" spans="1:20" x14ac:dyDescent="0.3">
      <c r="A729">
        <v>728</v>
      </c>
      <c r="B729" s="11">
        <v>45637</v>
      </c>
      <c r="C729">
        <v>150</v>
      </c>
      <c r="D729" t="str">
        <f>_xlfn.XLOOKUP(order[[#This Row],[customer_id]],customer[customer_id],customer[customer_name])</f>
        <v>Vikram Singh</v>
      </c>
      <c r="E729">
        <v>206</v>
      </c>
      <c r="F729">
        <v>2</v>
      </c>
      <c r="G729">
        <v>46296</v>
      </c>
      <c r="H729">
        <v>2758</v>
      </c>
      <c r="I729" t="s">
        <v>11</v>
      </c>
      <c r="J729" t="s">
        <v>12</v>
      </c>
      <c r="K729" t="str">
        <f>_xlfn.XLOOKUP(order[[#This Row],[customer_id]],customer[customer_id],customer[city])</f>
        <v>Mumbai</v>
      </c>
      <c r="L729" t="str">
        <f>_xlfn.XLOOKUP(order[[#This Row],[customer_id]],customer[customer_id],customer[state])</f>
        <v>Maharashtra</v>
      </c>
      <c r="M729" t="str">
        <f>_xlfn.XLOOKUP(order[[#This Row],[product_id]],products!$A$2:$A$11,products!$B$2:$B$11)</f>
        <v>Philips Air Fryer</v>
      </c>
      <c r="N729" s="3" t="str">
        <f>_xlfn.XLOOKUP(order[[#This Row],[product_id]],products!$A$2:$A$11,products!$C$2:$C$11)</f>
        <v>Home &amp; Kitchen</v>
      </c>
      <c r="O729" s="3">
        <f>_xlfn.XLOOKUP(order[[#This Row],[product_id]],Table4[product_id],Table4[cost_price])</f>
        <v>7000</v>
      </c>
      <c r="P729" s="11">
        <f>_xlfn.XLOOKUP(order[[#This Row],[order_id]],shipment[order_id],shipment[ship_date])</f>
        <v>45419</v>
      </c>
      <c r="Q729" s="11">
        <f>_xlfn.XLOOKUP(order[[#This Row],[order_id]],shipment[order_id],shipment[delivery_date])</f>
        <v>45425</v>
      </c>
      <c r="R729" s="3" t="str">
        <f>_xlfn.XLOOKUP(order[[#This Row],[order_id]],shipment[shipment_id],shipment[courier])</f>
        <v>DTDC</v>
      </c>
      <c r="S729" s="3">
        <f>order[[#This Row],[selling_price]]-order[[#This Row],[cost_price]]*order[[#This Row],[quantity]]-order[[#This Row],[discount]]</f>
        <v>29538</v>
      </c>
      <c r="T729" s="3">
        <f>order[[#This Row],[quantity]]*order[[#This Row],[selling_price]]</f>
        <v>92592</v>
      </c>
    </row>
    <row r="730" spans="1:20" x14ac:dyDescent="0.3">
      <c r="A730">
        <v>729</v>
      </c>
      <c r="B730" s="11">
        <v>45644</v>
      </c>
      <c r="C730">
        <v>184</v>
      </c>
      <c r="D730" t="str">
        <f>_xlfn.XLOOKUP(order[[#This Row],[customer_id]],customer[customer_id],customer[customer_name])</f>
        <v>Arjun Nair</v>
      </c>
      <c r="E730">
        <v>208</v>
      </c>
      <c r="F730">
        <v>2</v>
      </c>
      <c r="G730">
        <v>24976</v>
      </c>
      <c r="H730">
        <v>4486</v>
      </c>
      <c r="I730" t="s">
        <v>9</v>
      </c>
      <c r="J730" t="s">
        <v>12</v>
      </c>
      <c r="K730" t="str">
        <f>_xlfn.XLOOKUP(order[[#This Row],[customer_id]],customer[customer_id],customer[city])</f>
        <v>Delhi</v>
      </c>
      <c r="L730" t="str">
        <f>_xlfn.XLOOKUP(order[[#This Row],[customer_id]],customer[customer_id],customer[state])</f>
        <v>Delhi</v>
      </c>
      <c r="M730" t="str">
        <f>_xlfn.XLOOKUP(order[[#This Row],[product_id]],products!$A$2:$A$11,products!$B$2:$B$11)</f>
        <v>Adidas Ultraboost Shoes</v>
      </c>
      <c r="N730" s="3" t="str">
        <f>_xlfn.XLOOKUP(order[[#This Row],[product_id]],products!$A$2:$A$11,products!$C$2:$C$11)</f>
        <v>Fashion</v>
      </c>
      <c r="O730" s="3">
        <f>_xlfn.XLOOKUP(order[[#This Row],[product_id]],Table4[product_id],Table4[cost_price])</f>
        <v>9000</v>
      </c>
      <c r="P730" s="11">
        <f>_xlfn.XLOOKUP(order[[#This Row],[order_id]],shipment[order_id],shipment[ship_date])</f>
        <v>45412</v>
      </c>
      <c r="Q730" s="11">
        <f>_xlfn.XLOOKUP(order[[#This Row],[order_id]],shipment[order_id],shipment[delivery_date])</f>
        <v>45418</v>
      </c>
      <c r="R730" s="3" t="str">
        <f>_xlfn.XLOOKUP(order[[#This Row],[order_id]],shipment[shipment_id],shipment[courier])</f>
        <v>Delhivery</v>
      </c>
      <c r="S730" s="3">
        <f>order[[#This Row],[selling_price]]-order[[#This Row],[cost_price]]*order[[#This Row],[quantity]]-order[[#This Row],[discount]]</f>
        <v>2490</v>
      </c>
      <c r="T730" s="3">
        <f>order[[#This Row],[quantity]]*order[[#This Row],[selling_price]]</f>
        <v>49952</v>
      </c>
    </row>
    <row r="731" spans="1:20" x14ac:dyDescent="0.3">
      <c r="A731">
        <v>730</v>
      </c>
      <c r="B731" s="11">
        <v>45565</v>
      </c>
      <c r="C731">
        <v>217</v>
      </c>
      <c r="D731" t="str">
        <f>_xlfn.XLOOKUP(order[[#This Row],[customer_id]],customer[customer_id],customer[customer_name])</f>
        <v>Rahul Mehta</v>
      </c>
      <c r="E731">
        <v>206</v>
      </c>
      <c r="F731">
        <v>4</v>
      </c>
      <c r="G731">
        <v>63832</v>
      </c>
      <c r="H731">
        <v>1064</v>
      </c>
      <c r="I731" t="s">
        <v>13</v>
      </c>
      <c r="J731" t="s">
        <v>12</v>
      </c>
      <c r="K731" t="str">
        <f>_xlfn.XLOOKUP(order[[#This Row],[customer_id]],customer[customer_id],customer[city])</f>
        <v>Delhi</v>
      </c>
      <c r="L731" t="str">
        <f>_xlfn.XLOOKUP(order[[#This Row],[customer_id]],customer[customer_id],customer[state])</f>
        <v>Delhi</v>
      </c>
      <c r="M731" t="str">
        <f>_xlfn.XLOOKUP(order[[#This Row],[product_id]],products!$A$2:$A$11,products!$B$2:$B$11)</f>
        <v>Philips Air Fryer</v>
      </c>
      <c r="N731" s="3" t="str">
        <f>_xlfn.XLOOKUP(order[[#This Row],[product_id]],products!$A$2:$A$11,products!$C$2:$C$11)</f>
        <v>Home &amp; Kitchen</v>
      </c>
      <c r="O731" s="3">
        <f>_xlfn.XLOOKUP(order[[#This Row],[product_id]],Table4[product_id],Table4[cost_price])</f>
        <v>7000</v>
      </c>
      <c r="P731" s="11">
        <f>_xlfn.XLOOKUP(order[[#This Row],[order_id]],shipment[order_id],shipment[ship_date])</f>
        <v>45612</v>
      </c>
      <c r="Q731" s="11">
        <f>_xlfn.XLOOKUP(order[[#This Row],[order_id]],shipment[order_id],shipment[delivery_date])</f>
        <v>45617</v>
      </c>
      <c r="R731" s="3" t="str">
        <f>_xlfn.XLOOKUP(order[[#This Row],[order_id]],shipment[shipment_id],shipment[courier])</f>
        <v>Delhivery</v>
      </c>
      <c r="S731" s="3">
        <f>order[[#This Row],[selling_price]]-order[[#This Row],[cost_price]]*order[[#This Row],[quantity]]-order[[#This Row],[discount]]</f>
        <v>34768</v>
      </c>
      <c r="T731" s="3">
        <f>order[[#This Row],[quantity]]*order[[#This Row],[selling_price]]</f>
        <v>255328</v>
      </c>
    </row>
    <row r="732" spans="1:20" x14ac:dyDescent="0.3">
      <c r="A732">
        <v>731</v>
      </c>
      <c r="B732" s="11">
        <v>45466</v>
      </c>
      <c r="C732">
        <v>117</v>
      </c>
      <c r="D732" t="str">
        <f>_xlfn.XLOOKUP(order[[#This Row],[customer_id]],customer[customer_id],customer[customer_name])</f>
        <v>Rohit Verma</v>
      </c>
      <c r="E732">
        <v>203</v>
      </c>
      <c r="F732">
        <v>1</v>
      </c>
      <c r="G732">
        <v>42587</v>
      </c>
      <c r="H732">
        <v>4802</v>
      </c>
      <c r="I732" t="s">
        <v>13</v>
      </c>
      <c r="J732" t="s">
        <v>12</v>
      </c>
      <c r="K732" t="str">
        <f>_xlfn.XLOOKUP(order[[#This Row],[customer_id]],customer[customer_id],customer[city])</f>
        <v>Bangalore</v>
      </c>
      <c r="L732" t="str">
        <f>_xlfn.XLOOKUP(order[[#This Row],[customer_id]],customer[customer_id],customer[state])</f>
        <v>Karnataka</v>
      </c>
      <c r="M732" t="str">
        <f>_xlfn.XLOOKUP(order[[#This Row],[product_id]],products!$A$2:$A$11,products!$B$2:$B$11)</f>
        <v>Nike Air Max Shoes</v>
      </c>
      <c r="N732" s="3" t="str">
        <f>_xlfn.XLOOKUP(order[[#This Row],[product_id]],products!$A$2:$A$11,products!$C$2:$C$11)</f>
        <v>Fashion</v>
      </c>
      <c r="O732" s="3">
        <f>_xlfn.XLOOKUP(order[[#This Row],[product_id]],Table4[product_id],Table4[cost_price])</f>
        <v>4000</v>
      </c>
      <c r="P732" s="11">
        <f>_xlfn.XLOOKUP(order[[#This Row],[order_id]],shipment[order_id],shipment[ship_date])</f>
        <v>45422</v>
      </c>
      <c r="Q732" s="11">
        <f>_xlfn.XLOOKUP(order[[#This Row],[order_id]],shipment[order_id],shipment[delivery_date])</f>
        <v>45431</v>
      </c>
      <c r="R732" s="3" t="str">
        <f>_xlfn.XLOOKUP(order[[#This Row],[order_id]],shipment[shipment_id],shipment[courier])</f>
        <v>Delhivery</v>
      </c>
      <c r="S732" s="3">
        <f>order[[#This Row],[selling_price]]-order[[#This Row],[cost_price]]*order[[#This Row],[quantity]]-order[[#This Row],[discount]]</f>
        <v>33785</v>
      </c>
      <c r="T732" s="3">
        <f>order[[#This Row],[quantity]]*order[[#This Row],[selling_price]]</f>
        <v>42587</v>
      </c>
    </row>
    <row r="733" spans="1:20" x14ac:dyDescent="0.3">
      <c r="A733">
        <v>474</v>
      </c>
      <c r="B733" s="11">
        <v>45593</v>
      </c>
      <c r="C733">
        <v>164</v>
      </c>
      <c r="D733" t="str">
        <f>_xlfn.XLOOKUP(order[[#This Row],[customer_id]],customer[customer_id],customer[customer_name])</f>
        <v>Pooja Nair</v>
      </c>
      <c r="E733">
        <v>210</v>
      </c>
      <c r="F733">
        <v>1</v>
      </c>
      <c r="G733">
        <v>1831</v>
      </c>
      <c r="H733">
        <v>163</v>
      </c>
      <c r="I733" t="s">
        <v>11</v>
      </c>
      <c r="J733" t="s">
        <v>14</v>
      </c>
      <c r="K733" t="str">
        <f>_xlfn.XLOOKUP(order[[#This Row],[customer_id]],customer[customer_id],customer[city])</f>
        <v>Ahmedabad</v>
      </c>
      <c r="L733" t="str">
        <f>_xlfn.XLOOKUP(order[[#This Row],[customer_id]],customer[customer_id],customer[state])</f>
        <v>Gujarat</v>
      </c>
      <c r="M733" t="str">
        <f>_xlfn.XLOOKUP(order[[#This Row],[product_id]],products!$A$2:$A$11,products!$B$2:$B$11)</f>
        <v>LG 43 Inch Smart TV</v>
      </c>
      <c r="N733" s="3" t="str">
        <f>_xlfn.XLOOKUP(order[[#This Row],[product_id]],products!$A$2:$A$11,products!$C$2:$C$11)</f>
        <v>Electronics</v>
      </c>
      <c r="O733" s="3">
        <f>_xlfn.XLOOKUP(order[[#This Row],[product_id]],Table4[product_id],Table4[cost_price])</f>
        <v>30000</v>
      </c>
      <c r="P733" s="11">
        <f>_xlfn.XLOOKUP(order[[#This Row],[order_id]],shipment[order_id],shipment[ship_date])</f>
        <v>45445</v>
      </c>
      <c r="Q733" s="11">
        <f>_xlfn.XLOOKUP(order[[#This Row],[order_id]],shipment[order_id],shipment[delivery_date])</f>
        <v>45447</v>
      </c>
      <c r="R733" s="3" t="str">
        <f>_xlfn.XLOOKUP(order[[#This Row],[order_id]],shipment[shipment_id],shipment[courier])</f>
        <v>BlueDart</v>
      </c>
      <c r="S733" s="3">
        <f>order[[#This Row],[selling_price]]-order[[#This Row],[cost_price]]*order[[#This Row],[quantity]]-order[[#This Row],[discount]]</f>
        <v>-28332</v>
      </c>
      <c r="T733" s="3">
        <f>order[[#This Row],[quantity]]*order[[#This Row],[selling_price]]</f>
        <v>1831</v>
      </c>
    </row>
    <row r="734" spans="1:20" x14ac:dyDescent="0.3">
      <c r="A734">
        <v>733</v>
      </c>
      <c r="B734" s="11">
        <v>45566</v>
      </c>
      <c r="C734">
        <v>269</v>
      </c>
      <c r="D734" t="str">
        <f>_xlfn.XLOOKUP(order[[#This Row],[customer_id]],customer[customer_id],customer[customer_name])</f>
        <v>Sneha Iyer</v>
      </c>
      <c r="E734">
        <v>206</v>
      </c>
      <c r="F734">
        <v>2</v>
      </c>
      <c r="G734">
        <v>45966</v>
      </c>
      <c r="H734">
        <v>1219</v>
      </c>
      <c r="I734" t="s">
        <v>11</v>
      </c>
      <c r="J734" t="s">
        <v>12</v>
      </c>
      <c r="K734" t="str">
        <f>_xlfn.XLOOKUP(order[[#This Row],[customer_id]],customer[customer_id],customer[city])</f>
        <v>Pune</v>
      </c>
      <c r="L734" t="str">
        <f>_xlfn.XLOOKUP(order[[#This Row],[customer_id]],customer[customer_id],customer[state])</f>
        <v>Maharashtra</v>
      </c>
      <c r="M734" t="str">
        <f>_xlfn.XLOOKUP(order[[#This Row],[product_id]],products!$A$2:$A$11,products!$B$2:$B$11)</f>
        <v>Philips Air Fryer</v>
      </c>
      <c r="N734" s="3" t="str">
        <f>_xlfn.XLOOKUP(order[[#This Row],[product_id]],products!$A$2:$A$11,products!$C$2:$C$11)</f>
        <v>Home &amp; Kitchen</v>
      </c>
      <c r="O734" s="3">
        <f>_xlfn.XLOOKUP(order[[#This Row],[product_id]],Table4[product_id],Table4[cost_price])</f>
        <v>7000</v>
      </c>
      <c r="P734" s="11">
        <f>_xlfn.XLOOKUP(order[[#This Row],[order_id]],shipment[order_id],shipment[ship_date])</f>
        <v>45370</v>
      </c>
      <c r="Q734" s="11">
        <f>_xlfn.XLOOKUP(order[[#This Row],[order_id]],shipment[order_id],shipment[delivery_date])</f>
        <v>45371</v>
      </c>
      <c r="R734" s="3" t="str">
        <f>_xlfn.XLOOKUP(order[[#This Row],[order_id]],shipment[shipment_id],shipment[courier])</f>
        <v>Delhivery</v>
      </c>
      <c r="S734" s="3">
        <f>order[[#This Row],[selling_price]]-order[[#This Row],[cost_price]]*order[[#This Row],[quantity]]-order[[#This Row],[discount]]</f>
        <v>30747</v>
      </c>
      <c r="T734" s="3">
        <f>order[[#This Row],[quantity]]*order[[#This Row],[selling_price]]</f>
        <v>91932</v>
      </c>
    </row>
    <row r="735" spans="1:20" x14ac:dyDescent="0.3">
      <c r="A735">
        <v>857</v>
      </c>
      <c r="B735" s="11">
        <v>45442</v>
      </c>
      <c r="C735">
        <v>212</v>
      </c>
      <c r="D735" t="str">
        <f>_xlfn.XLOOKUP(order[[#This Row],[customer_id]],customer[customer_id],customer[customer_name])</f>
        <v>Vikram Singh</v>
      </c>
      <c r="E735">
        <v>210</v>
      </c>
      <c r="F735">
        <v>2</v>
      </c>
      <c r="G735">
        <v>40490</v>
      </c>
      <c r="H735">
        <v>20</v>
      </c>
      <c r="I735" t="s">
        <v>15</v>
      </c>
      <c r="J735" t="s">
        <v>12</v>
      </c>
      <c r="K735" t="str">
        <f>_xlfn.XLOOKUP(order[[#This Row],[customer_id]],customer[customer_id],customer[city])</f>
        <v>Ahmedabad</v>
      </c>
      <c r="L735" t="str">
        <f>_xlfn.XLOOKUP(order[[#This Row],[customer_id]],customer[customer_id],customer[state])</f>
        <v>Gujarat</v>
      </c>
      <c r="M735" t="str">
        <f>_xlfn.XLOOKUP(order[[#This Row],[product_id]],products!$A$2:$A$11,products!$B$2:$B$11)</f>
        <v>LG 43 Inch Smart TV</v>
      </c>
      <c r="N735" s="3" t="str">
        <f>_xlfn.XLOOKUP(order[[#This Row],[product_id]],products!$A$2:$A$11,products!$C$2:$C$11)</f>
        <v>Electronics</v>
      </c>
      <c r="O735" s="3">
        <f>_xlfn.XLOOKUP(order[[#This Row],[product_id]],Table4[product_id],Table4[cost_price])</f>
        <v>30000</v>
      </c>
      <c r="P735" s="11">
        <f>_xlfn.XLOOKUP(order[[#This Row],[order_id]],shipment[order_id],shipment[ship_date])</f>
        <v>45513</v>
      </c>
      <c r="Q735" s="11">
        <f>_xlfn.XLOOKUP(order[[#This Row],[order_id]],shipment[order_id],shipment[delivery_date])</f>
        <v>45519</v>
      </c>
      <c r="R735" s="3" t="str">
        <f>_xlfn.XLOOKUP(order[[#This Row],[order_id]],shipment[shipment_id],shipment[courier])</f>
        <v>BlueDart</v>
      </c>
      <c r="S735" s="3">
        <f>order[[#This Row],[selling_price]]-order[[#This Row],[cost_price]]*order[[#This Row],[quantity]]-order[[#This Row],[discount]]</f>
        <v>-19530</v>
      </c>
      <c r="T735" s="3">
        <f>order[[#This Row],[quantity]]*order[[#This Row],[selling_price]]</f>
        <v>80980</v>
      </c>
    </row>
    <row r="736" spans="1:20" x14ac:dyDescent="0.3">
      <c r="A736">
        <v>735</v>
      </c>
      <c r="B736" s="11">
        <v>45585</v>
      </c>
      <c r="C736">
        <v>180</v>
      </c>
      <c r="D736" t="str">
        <f>_xlfn.XLOOKUP(order[[#This Row],[customer_id]],customer[customer_id],customer[customer_name])</f>
        <v>Siddharth Jain</v>
      </c>
      <c r="E736">
        <v>204</v>
      </c>
      <c r="F736">
        <v>4</v>
      </c>
      <c r="G736">
        <v>43301</v>
      </c>
      <c r="H736">
        <v>1757</v>
      </c>
      <c r="I736" t="s">
        <v>13</v>
      </c>
      <c r="J736" t="s">
        <v>10</v>
      </c>
      <c r="K736" t="str">
        <f>_xlfn.XLOOKUP(order[[#This Row],[customer_id]],customer[customer_id],customer[city])</f>
        <v>Hyderabad</v>
      </c>
      <c r="L736" t="str">
        <f>_xlfn.XLOOKUP(order[[#This Row],[customer_id]],customer[customer_id],customer[state])</f>
        <v>Telangana</v>
      </c>
      <c r="M736" t="str">
        <f>_xlfn.XLOOKUP(order[[#This Row],[product_id]],products!$A$2:$A$11,products!$B$2:$B$11)</f>
        <v>Levi's Slim Fit Jeans</v>
      </c>
      <c r="N736" s="3" t="str">
        <f>_xlfn.XLOOKUP(order[[#This Row],[product_id]],products!$A$2:$A$11,products!$C$2:$C$11)</f>
        <v>Fashion</v>
      </c>
      <c r="O736" s="3">
        <f>_xlfn.XLOOKUP(order[[#This Row],[product_id]],Table4[product_id],Table4[cost_price])</f>
        <v>1800</v>
      </c>
      <c r="P736" s="11">
        <f>_xlfn.XLOOKUP(order[[#This Row],[order_id]],shipment[order_id],shipment[ship_date])</f>
        <v>45480</v>
      </c>
      <c r="Q736" s="11">
        <f>_xlfn.XLOOKUP(order[[#This Row],[order_id]],shipment[order_id],shipment[delivery_date])</f>
        <v>45484</v>
      </c>
      <c r="R736" s="3" t="str">
        <f>_xlfn.XLOOKUP(order[[#This Row],[order_id]],shipment[shipment_id],shipment[courier])</f>
        <v>Ekart</v>
      </c>
      <c r="S736" s="3">
        <f>order[[#This Row],[selling_price]]-order[[#This Row],[cost_price]]*order[[#This Row],[quantity]]-order[[#This Row],[discount]]</f>
        <v>34344</v>
      </c>
      <c r="T736" s="3">
        <f>order[[#This Row],[quantity]]*order[[#This Row],[selling_price]]</f>
        <v>173204</v>
      </c>
    </row>
    <row r="737" spans="1:20" x14ac:dyDescent="0.3">
      <c r="A737">
        <v>736</v>
      </c>
      <c r="B737" s="11">
        <v>45435</v>
      </c>
      <c r="C737">
        <v>111</v>
      </c>
      <c r="D737" t="str">
        <f>_xlfn.XLOOKUP(order[[#This Row],[customer_id]],customer[customer_id],customer[customer_name])</f>
        <v>Ishita Bose</v>
      </c>
      <c r="E737">
        <v>203</v>
      </c>
      <c r="F737">
        <v>2</v>
      </c>
      <c r="G737">
        <v>26515</v>
      </c>
      <c r="H737">
        <v>4297</v>
      </c>
      <c r="I737" t="s">
        <v>15</v>
      </c>
      <c r="J737" t="s">
        <v>14</v>
      </c>
      <c r="K737" t="str">
        <f>_xlfn.XLOOKUP(order[[#This Row],[customer_id]],customer[customer_id],customer[city])</f>
        <v>Ahmedabad</v>
      </c>
      <c r="L737" t="str">
        <f>_xlfn.XLOOKUP(order[[#This Row],[customer_id]],customer[customer_id],customer[state])</f>
        <v>Gujarat</v>
      </c>
      <c r="M737" t="str">
        <f>_xlfn.XLOOKUP(order[[#This Row],[product_id]],products!$A$2:$A$11,products!$B$2:$B$11)</f>
        <v>Nike Air Max Shoes</v>
      </c>
      <c r="N737" s="3" t="str">
        <f>_xlfn.XLOOKUP(order[[#This Row],[product_id]],products!$A$2:$A$11,products!$C$2:$C$11)</f>
        <v>Fashion</v>
      </c>
      <c r="O737" s="3">
        <f>_xlfn.XLOOKUP(order[[#This Row],[product_id]],Table4[product_id],Table4[cost_price])</f>
        <v>4000</v>
      </c>
      <c r="P737" s="11">
        <f>_xlfn.XLOOKUP(order[[#This Row],[order_id]],shipment[order_id],shipment[ship_date])</f>
        <v>45424</v>
      </c>
      <c r="Q737" s="11">
        <f>_xlfn.XLOOKUP(order[[#This Row],[order_id]],shipment[order_id],shipment[delivery_date])</f>
        <v>45425</v>
      </c>
      <c r="R737" s="3" t="str">
        <f>_xlfn.XLOOKUP(order[[#This Row],[order_id]],shipment[shipment_id],shipment[courier])</f>
        <v>DTDC</v>
      </c>
      <c r="S737" s="3">
        <f>order[[#This Row],[selling_price]]-order[[#This Row],[cost_price]]*order[[#This Row],[quantity]]-order[[#This Row],[discount]]</f>
        <v>14218</v>
      </c>
      <c r="T737" s="3">
        <f>order[[#This Row],[quantity]]*order[[#This Row],[selling_price]]</f>
        <v>53030</v>
      </c>
    </row>
    <row r="738" spans="1:20" x14ac:dyDescent="0.3">
      <c r="A738">
        <v>928</v>
      </c>
      <c r="B738" s="11">
        <v>45478</v>
      </c>
      <c r="C738">
        <v>254</v>
      </c>
      <c r="D738" t="str">
        <f>_xlfn.XLOOKUP(order[[#This Row],[customer_id]],customer[customer_id],customer[customer_name])</f>
        <v>Neha Kapoor</v>
      </c>
      <c r="E738">
        <v>210</v>
      </c>
      <c r="F738">
        <v>2</v>
      </c>
      <c r="G738">
        <v>12896</v>
      </c>
      <c r="H738">
        <v>4</v>
      </c>
      <c r="I738" t="s">
        <v>13</v>
      </c>
      <c r="J738" t="s">
        <v>14</v>
      </c>
      <c r="K738" t="str">
        <f>_xlfn.XLOOKUP(order[[#This Row],[customer_id]],customer[customer_id],customer[city])</f>
        <v>Bangalore</v>
      </c>
      <c r="L738" t="str">
        <f>_xlfn.XLOOKUP(order[[#This Row],[customer_id]],customer[customer_id],customer[state])</f>
        <v>Karnataka</v>
      </c>
      <c r="M738" t="str">
        <f>_xlfn.XLOOKUP(order[[#This Row],[product_id]],products!$A$2:$A$11,products!$B$2:$B$11)</f>
        <v>LG 43 Inch Smart TV</v>
      </c>
      <c r="N738" s="3" t="str">
        <f>_xlfn.XLOOKUP(order[[#This Row],[product_id]],products!$A$2:$A$11,products!$C$2:$C$11)</f>
        <v>Electronics</v>
      </c>
      <c r="O738" s="3">
        <f>_xlfn.XLOOKUP(order[[#This Row],[product_id]],Table4[product_id],Table4[cost_price])</f>
        <v>30000</v>
      </c>
      <c r="P738" s="11">
        <f>_xlfn.XLOOKUP(order[[#This Row],[order_id]],shipment[order_id],shipment[ship_date])</f>
        <v>45510</v>
      </c>
      <c r="Q738" s="11">
        <f>_xlfn.XLOOKUP(order[[#This Row],[order_id]],shipment[order_id],shipment[delivery_date])</f>
        <v>45516</v>
      </c>
      <c r="R738" s="3" t="str">
        <f>_xlfn.XLOOKUP(order[[#This Row],[order_id]],shipment[shipment_id],shipment[courier])</f>
        <v>BlueDart</v>
      </c>
      <c r="S738" s="3">
        <f>order[[#This Row],[selling_price]]-order[[#This Row],[cost_price]]*order[[#This Row],[quantity]]-order[[#This Row],[discount]]</f>
        <v>-47108</v>
      </c>
      <c r="T738" s="3">
        <f>order[[#This Row],[quantity]]*order[[#This Row],[selling_price]]</f>
        <v>25792</v>
      </c>
    </row>
    <row r="739" spans="1:20" x14ac:dyDescent="0.3">
      <c r="A739">
        <v>40</v>
      </c>
      <c r="B739" s="11">
        <v>45392</v>
      </c>
      <c r="C739">
        <v>145</v>
      </c>
      <c r="D739" t="str">
        <f>_xlfn.XLOOKUP(order[[#This Row],[customer_id]],customer[customer_id],customer[customer_name])</f>
        <v>Meera Joshi</v>
      </c>
      <c r="E739">
        <v>207</v>
      </c>
      <c r="F739">
        <v>4</v>
      </c>
      <c r="G739">
        <v>55812</v>
      </c>
      <c r="H739">
        <v>4990</v>
      </c>
      <c r="I739" t="s">
        <v>11</v>
      </c>
      <c r="J739" t="s">
        <v>12</v>
      </c>
      <c r="K739" t="str">
        <f>_xlfn.XLOOKUP(order[[#This Row],[customer_id]],customer[customer_id],customer[city])</f>
        <v>Ahmedabad</v>
      </c>
      <c r="L739" t="str">
        <f>_xlfn.XLOOKUP(order[[#This Row],[customer_id]],customer[customer_id],customer[state])</f>
        <v>Gujarat</v>
      </c>
      <c r="M739" t="str">
        <f>_xlfn.XLOOKUP(order[[#This Row],[product_id]],products!$A$2:$A$11,products!$B$2:$B$11)</f>
        <v>Sony WH-1000XM4 Headphones</v>
      </c>
      <c r="N739" s="3" t="str">
        <f>_xlfn.XLOOKUP(order[[#This Row],[product_id]],products!$A$2:$A$11,products!$C$2:$C$11)</f>
        <v>Electronics</v>
      </c>
      <c r="O739" s="3">
        <f>_xlfn.XLOOKUP(order[[#This Row],[product_id]],Table4[product_id],Table4[cost_price])</f>
        <v>20000</v>
      </c>
      <c r="P739" s="11">
        <f>_xlfn.XLOOKUP(order[[#This Row],[order_id]],shipment[order_id],shipment[ship_date])</f>
        <v>45621</v>
      </c>
      <c r="Q739" s="11">
        <f>_xlfn.XLOOKUP(order[[#This Row],[order_id]],shipment[order_id],shipment[delivery_date])</f>
        <v>45625</v>
      </c>
      <c r="R739" s="3" t="str">
        <f>_xlfn.XLOOKUP(order[[#This Row],[order_id]],shipment[shipment_id],shipment[courier])</f>
        <v>DTDC</v>
      </c>
      <c r="S739" s="3">
        <f>order[[#This Row],[selling_price]]-order[[#This Row],[cost_price]]*order[[#This Row],[quantity]]-order[[#This Row],[discount]]</f>
        <v>-29178</v>
      </c>
      <c r="T739" s="3">
        <f>order[[#This Row],[quantity]]*order[[#This Row],[selling_price]]</f>
        <v>223248</v>
      </c>
    </row>
    <row r="740" spans="1:20" x14ac:dyDescent="0.3">
      <c r="A740">
        <v>861</v>
      </c>
      <c r="B740" s="11">
        <v>45392</v>
      </c>
      <c r="C740">
        <v>170</v>
      </c>
      <c r="D740" t="str">
        <f>_xlfn.XLOOKUP(order[[#This Row],[customer_id]],customer[customer_id],customer[customer_name])</f>
        <v>Siddharth Jain</v>
      </c>
      <c r="E740">
        <v>207</v>
      </c>
      <c r="F740">
        <v>4</v>
      </c>
      <c r="G740">
        <v>44315</v>
      </c>
      <c r="H740">
        <v>4856</v>
      </c>
      <c r="I740" t="s">
        <v>11</v>
      </c>
      <c r="J740" t="s">
        <v>10</v>
      </c>
      <c r="K740" t="str">
        <f>_xlfn.XLOOKUP(order[[#This Row],[customer_id]],customer[customer_id],customer[city])</f>
        <v>Pune</v>
      </c>
      <c r="L740" t="str">
        <f>_xlfn.XLOOKUP(order[[#This Row],[customer_id]],customer[customer_id],customer[state])</f>
        <v>Maharashtra</v>
      </c>
      <c r="M740" t="str">
        <f>_xlfn.XLOOKUP(order[[#This Row],[product_id]],products!$A$2:$A$11,products!$B$2:$B$11)</f>
        <v>Sony WH-1000XM4 Headphones</v>
      </c>
      <c r="N740" s="3" t="str">
        <f>_xlfn.XLOOKUP(order[[#This Row],[product_id]],products!$A$2:$A$11,products!$C$2:$C$11)</f>
        <v>Electronics</v>
      </c>
      <c r="O740" s="3">
        <f>_xlfn.XLOOKUP(order[[#This Row],[product_id]],Table4[product_id],Table4[cost_price])</f>
        <v>20000</v>
      </c>
      <c r="P740" s="11">
        <f>_xlfn.XLOOKUP(order[[#This Row],[order_id]],shipment[order_id],shipment[ship_date])</f>
        <v>45399</v>
      </c>
      <c r="Q740" s="11">
        <f>_xlfn.XLOOKUP(order[[#This Row],[order_id]],shipment[order_id],shipment[delivery_date])</f>
        <v>45408</v>
      </c>
      <c r="R740" s="3" t="str">
        <f>_xlfn.XLOOKUP(order[[#This Row],[order_id]],shipment[shipment_id],shipment[courier])</f>
        <v>DTDC</v>
      </c>
      <c r="S740" s="3">
        <f>order[[#This Row],[selling_price]]-order[[#This Row],[cost_price]]*order[[#This Row],[quantity]]-order[[#This Row],[discount]]</f>
        <v>-40541</v>
      </c>
      <c r="T740" s="3">
        <f>order[[#This Row],[quantity]]*order[[#This Row],[selling_price]]</f>
        <v>177260</v>
      </c>
    </row>
    <row r="741" spans="1:20" x14ac:dyDescent="0.3">
      <c r="A741">
        <v>740</v>
      </c>
      <c r="B741" s="11">
        <v>45324</v>
      </c>
      <c r="C741">
        <v>185</v>
      </c>
      <c r="D741" t="str">
        <f>_xlfn.XLOOKUP(order[[#This Row],[customer_id]],customer[customer_id],customer[customer_name])</f>
        <v>Karan Patel</v>
      </c>
      <c r="E741">
        <v>204</v>
      </c>
      <c r="F741">
        <v>3</v>
      </c>
      <c r="G741">
        <v>9569</v>
      </c>
      <c r="H741">
        <v>2655</v>
      </c>
      <c r="I741" t="s">
        <v>13</v>
      </c>
      <c r="J741" t="s">
        <v>10</v>
      </c>
      <c r="K741" t="str">
        <f>_xlfn.XLOOKUP(order[[#This Row],[customer_id]],customer[customer_id],customer[city])</f>
        <v>Pune</v>
      </c>
      <c r="L741" t="str">
        <f>_xlfn.XLOOKUP(order[[#This Row],[customer_id]],customer[customer_id],customer[state])</f>
        <v>Maharashtra</v>
      </c>
      <c r="M741" t="str">
        <f>_xlfn.XLOOKUP(order[[#This Row],[product_id]],products!$A$2:$A$11,products!$B$2:$B$11)</f>
        <v>Levi's Slim Fit Jeans</v>
      </c>
      <c r="N741" s="3" t="str">
        <f>_xlfn.XLOOKUP(order[[#This Row],[product_id]],products!$A$2:$A$11,products!$C$2:$C$11)</f>
        <v>Fashion</v>
      </c>
      <c r="O741" s="3">
        <f>_xlfn.XLOOKUP(order[[#This Row],[product_id]],Table4[product_id],Table4[cost_price])</f>
        <v>1800</v>
      </c>
      <c r="P741" s="11">
        <f>_xlfn.XLOOKUP(order[[#This Row],[order_id]],shipment[order_id],shipment[ship_date])</f>
        <v>45589</v>
      </c>
      <c r="Q741" s="11">
        <f>_xlfn.XLOOKUP(order[[#This Row],[order_id]],shipment[order_id],shipment[delivery_date])</f>
        <v>45599</v>
      </c>
      <c r="R741" s="3" t="str">
        <f>_xlfn.XLOOKUP(order[[#This Row],[order_id]],shipment[shipment_id],shipment[courier])</f>
        <v>BlueDart</v>
      </c>
      <c r="S741" s="3">
        <f>order[[#This Row],[selling_price]]-order[[#This Row],[cost_price]]*order[[#This Row],[quantity]]-order[[#This Row],[discount]]</f>
        <v>1514</v>
      </c>
      <c r="T741" s="3">
        <f>order[[#This Row],[quantity]]*order[[#This Row],[selling_price]]</f>
        <v>28707</v>
      </c>
    </row>
    <row r="742" spans="1:20" x14ac:dyDescent="0.3">
      <c r="A742">
        <v>741</v>
      </c>
      <c r="B742" s="11">
        <v>45471</v>
      </c>
      <c r="C742">
        <v>113</v>
      </c>
      <c r="D742" t="str">
        <f>_xlfn.XLOOKUP(order[[#This Row],[customer_id]],customer[customer_id],customer[customer_name])</f>
        <v>Meera Joshi</v>
      </c>
      <c r="E742">
        <v>210</v>
      </c>
      <c r="F742">
        <v>1</v>
      </c>
      <c r="G742">
        <v>67234</v>
      </c>
      <c r="H742">
        <v>4555</v>
      </c>
      <c r="I742" t="s">
        <v>13</v>
      </c>
      <c r="J742" t="s">
        <v>10</v>
      </c>
      <c r="K742" t="str">
        <f>_xlfn.XLOOKUP(order[[#This Row],[customer_id]],customer[customer_id],customer[city])</f>
        <v>Hyderabad</v>
      </c>
      <c r="L742" t="str">
        <f>_xlfn.XLOOKUP(order[[#This Row],[customer_id]],customer[customer_id],customer[state])</f>
        <v>Telangana</v>
      </c>
      <c r="M742" t="str">
        <f>_xlfn.XLOOKUP(order[[#This Row],[product_id]],products!$A$2:$A$11,products!$B$2:$B$11)</f>
        <v>LG 43 Inch Smart TV</v>
      </c>
      <c r="N742" s="3" t="str">
        <f>_xlfn.XLOOKUP(order[[#This Row],[product_id]],products!$A$2:$A$11,products!$C$2:$C$11)</f>
        <v>Electronics</v>
      </c>
      <c r="O742" s="3">
        <f>_xlfn.XLOOKUP(order[[#This Row],[product_id]],Table4[product_id],Table4[cost_price])</f>
        <v>30000</v>
      </c>
      <c r="P742" s="11">
        <f>_xlfn.XLOOKUP(order[[#This Row],[order_id]],shipment[order_id],shipment[ship_date])</f>
        <v>45458</v>
      </c>
      <c r="Q742" s="11">
        <f>_xlfn.XLOOKUP(order[[#This Row],[order_id]],shipment[order_id],shipment[delivery_date])</f>
        <v>45463</v>
      </c>
      <c r="R742" s="3" t="str">
        <f>_xlfn.XLOOKUP(order[[#This Row],[order_id]],shipment[shipment_id],shipment[courier])</f>
        <v>Delhivery</v>
      </c>
      <c r="S742" s="3">
        <f>order[[#This Row],[selling_price]]-order[[#This Row],[cost_price]]*order[[#This Row],[quantity]]-order[[#This Row],[discount]]</f>
        <v>32679</v>
      </c>
      <c r="T742" s="3">
        <f>order[[#This Row],[quantity]]*order[[#This Row],[selling_price]]</f>
        <v>67234</v>
      </c>
    </row>
    <row r="743" spans="1:20" x14ac:dyDescent="0.3">
      <c r="A743">
        <v>742</v>
      </c>
      <c r="B743" s="11">
        <v>45429</v>
      </c>
      <c r="C743">
        <v>142</v>
      </c>
      <c r="D743" t="str">
        <f>_xlfn.XLOOKUP(order[[#This Row],[customer_id]],customer[customer_id],customer[customer_name])</f>
        <v>Rahul Mehta</v>
      </c>
      <c r="E743">
        <v>208</v>
      </c>
      <c r="F743">
        <v>2</v>
      </c>
      <c r="G743">
        <v>64801</v>
      </c>
      <c r="H743">
        <v>2287</v>
      </c>
      <c r="I743" t="s">
        <v>11</v>
      </c>
      <c r="J743" t="s">
        <v>12</v>
      </c>
      <c r="K743" t="str">
        <f>_xlfn.XLOOKUP(order[[#This Row],[customer_id]],customer[customer_id],customer[city])</f>
        <v>Pune</v>
      </c>
      <c r="L743" t="str">
        <f>_xlfn.XLOOKUP(order[[#This Row],[customer_id]],customer[customer_id],customer[state])</f>
        <v>Maharashtra</v>
      </c>
      <c r="M743" t="str">
        <f>_xlfn.XLOOKUP(order[[#This Row],[product_id]],products!$A$2:$A$11,products!$B$2:$B$11)</f>
        <v>Adidas Ultraboost Shoes</v>
      </c>
      <c r="N743" s="3" t="str">
        <f>_xlfn.XLOOKUP(order[[#This Row],[product_id]],products!$A$2:$A$11,products!$C$2:$C$11)</f>
        <v>Fashion</v>
      </c>
      <c r="O743" s="3">
        <f>_xlfn.XLOOKUP(order[[#This Row],[product_id]],Table4[product_id],Table4[cost_price])</f>
        <v>9000</v>
      </c>
      <c r="P743" s="11">
        <f>_xlfn.XLOOKUP(order[[#This Row],[order_id]],shipment[order_id],shipment[ship_date])</f>
        <v>45618</v>
      </c>
      <c r="Q743" s="11">
        <f>_xlfn.XLOOKUP(order[[#This Row],[order_id]],shipment[order_id],shipment[delivery_date])</f>
        <v>45624</v>
      </c>
      <c r="R743" s="3" t="str">
        <f>_xlfn.XLOOKUP(order[[#This Row],[order_id]],shipment[shipment_id],shipment[courier])</f>
        <v>Ekart</v>
      </c>
      <c r="S743" s="3">
        <f>order[[#This Row],[selling_price]]-order[[#This Row],[cost_price]]*order[[#This Row],[quantity]]-order[[#This Row],[discount]]</f>
        <v>44514</v>
      </c>
      <c r="T743" s="3">
        <f>order[[#This Row],[quantity]]*order[[#This Row],[selling_price]]</f>
        <v>129602</v>
      </c>
    </row>
    <row r="744" spans="1:20" x14ac:dyDescent="0.3">
      <c r="A744">
        <v>743</v>
      </c>
      <c r="B744" s="11">
        <v>45523</v>
      </c>
      <c r="C744">
        <v>140</v>
      </c>
      <c r="D744" t="str">
        <f>_xlfn.XLOOKUP(order[[#This Row],[customer_id]],customer[customer_id],customer[customer_name])</f>
        <v>Neha Kapoor</v>
      </c>
      <c r="E744">
        <v>202</v>
      </c>
      <c r="F744">
        <v>1</v>
      </c>
      <c r="G744">
        <v>67955</v>
      </c>
      <c r="H744">
        <v>2437</v>
      </c>
      <c r="I744" t="s">
        <v>11</v>
      </c>
      <c r="J744" t="s">
        <v>10</v>
      </c>
      <c r="K744" t="str">
        <f>_xlfn.XLOOKUP(order[[#This Row],[customer_id]],customer[customer_id],customer[city])</f>
        <v>Chennai</v>
      </c>
      <c r="L744" t="str">
        <f>_xlfn.XLOOKUP(order[[#This Row],[customer_id]],customer[customer_id],customer[state])</f>
        <v>Tamil Nadu</v>
      </c>
      <c r="M744" t="str">
        <f>_xlfn.XLOOKUP(order[[#This Row],[product_id]],products!$A$2:$A$11,products!$B$2:$B$11)</f>
        <v>Samsung Galaxy S21</v>
      </c>
      <c r="N744" s="3" t="str">
        <f>_xlfn.XLOOKUP(order[[#This Row],[product_id]],products!$A$2:$A$11,products!$C$2:$C$11)</f>
        <v>Electronics</v>
      </c>
      <c r="O744" s="3">
        <f>_xlfn.XLOOKUP(order[[#This Row],[product_id]],Table4[product_id],Table4[cost_price])</f>
        <v>45000</v>
      </c>
      <c r="P744" s="11">
        <f>_xlfn.XLOOKUP(order[[#This Row],[order_id]],shipment[order_id],shipment[ship_date])</f>
        <v>45362</v>
      </c>
      <c r="Q744" s="11">
        <f>_xlfn.XLOOKUP(order[[#This Row],[order_id]],shipment[order_id],shipment[delivery_date])</f>
        <v>45369</v>
      </c>
      <c r="R744" s="3" t="str">
        <f>_xlfn.XLOOKUP(order[[#This Row],[order_id]],shipment[shipment_id],shipment[courier])</f>
        <v>BlueDart</v>
      </c>
      <c r="S744" s="3">
        <f>order[[#This Row],[selling_price]]-order[[#This Row],[cost_price]]*order[[#This Row],[quantity]]-order[[#This Row],[discount]]</f>
        <v>20518</v>
      </c>
      <c r="T744" s="3">
        <f>order[[#This Row],[quantity]]*order[[#This Row],[selling_price]]</f>
        <v>67955</v>
      </c>
    </row>
    <row r="745" spans="1:20" x14ac:dyDescent="0.3">
      <c r="A745">
        <v>10</v>
      </c>
      <c r="B745" s="11">
        <v>45561</v>
      </c>
      <c r="C745">
        <v>254</v>
      </c>
      <c r="D745" t="str">
        <f>_xlfn.XLOOKUP(order[[#This Row],[customer_id]],customer[customer_id],customer[customer_name])</f>
        <v>Neha Kapoor</v>
      </c>
      <c r="E745">
        <v>207</v>
      </c>
      <c r="F745">
        <v>2</v>
      </c>
      <c r="G745">
        <v>10543</v>
      </c>
      <c r="H745">
        <v>4828</v>
      </c>
      <c r="I745" t="s">
        <v>11</v>
      </c>
      <c r="J745" t="s">
        <v>12</v>
      </c>
      <c r="K745" t="str">
        <f>_xlfn.XLOOKUP(order[[#This Row],[customer_id]],customer[customer_id],customer[city])</f>
        <v>Bangalore</v>
      </c>
      <c r="L745" t="str">
        <f>_xlfn.XLOOKUP(order[[#This Row],[customer_id]],customer[customer_id],customer[state])</f>
        <v>Karnataka</v>
      </c>
      <c r="M745" t="str">
        <f>_xlfn.XLOOKUP(order[[#This Row],[product_id]],products!$A$2:$A$11,products!$B$2:$B$11)</f>
        <v>Sony WH-1000XM4 Headphones</v>
      </c>
      <c r="N745" s="3" t="str">
        <f>_xlfn.XLOOKUP(order[[#This Row],[product_id]],products!$A$2:$A$11,products!$C$2:$C$11)</f>
        <v>Electronics</v>
      </c>
      <c r="O745" s="3">
        <f>_xlfn.XLOOKUP(order[[#This Row],[product_id]],Table4[product_id],Table4[cost_price])</f>
        <v>20000</v>
      </c>
      <c r="P745" s="11">
        <f>_xlfn.XLOOKUP(order[[#This Row],[order_id]],shipment[order_id],shipment[ship_date])</f>
        <v>45389</v>
      </c>
      <c r="Q745" s="11">
        <f>_xlfn.XLOOKUP(order[[#This Row],[order_id]],shipment[order_id],shipment[delivery_date])</f>
        <v>45394</v>
      </c>
      <c r="R745" s="3" t="str">
        <f>_xlfn.XLOOKUP(order[[#This Row],[order_id]],shipment[shipment_id],shipment[courier])</f>
        <v>DTDC</v>
      </c>
      <c r="S745" s="3">
        <f>order[[#This Row],[selling_price]]-order[[#This Row],[cost_price]]*order[[#This Row],[quantity]]-order[[#This Row],[discount]]</f>
        <v>-34285</v>
      </c>
      <c r="T745" s="3">
        <f>order[[#This Row],[quantity]]*order[[#This Row],[selling_price]]</f>
        <v>21086</v>
      </c>
    </row>
    <row r="746" spans="1:20" x14ac:dyDescent="0.3">
      <c r="A746">
        <v>699</v>
      </c>
      <c r="B746" s="11">
        <v>45404</v>
      </c>
      <c r="C746">
        <v>296</v>
      </c>
      <c r="D746" t="str">
        <f>_xlfn.XLOOKUP(order[[#This Row],[customer_id]],customer[customer_id],customer[customer_name])</f>
        <v>Rohit Verma</v>
      </c>
      <c r="E746">
        <v>207</v>
      </c>
      <c r="F746">
        <v>4</v>
      </c>
      <c r="G746">
        <v>3192</v>
      </c>
      <c r="H746">
        <v>4823</v>
      </c>
      <c r="I746" t="s">
        <v>11</v>
      </c>
      <c r="J746" t="s">
        <v>14</v>
      </c>
      <c r="K746" t="str">
        <f>_xlfn.XLOOKUP(order[[#This Row],[customer_id]],customer[customer_id],customer[city])</f>
        <v>Pune</v>
      </c>
      <c r="L746" t="str">
        <f>_xlfn.XLOOKUP(order[[#This Row],[customer_id]],customer[customer_id],customer[state])</f>
        <v>Maharashtra</v>
      </c>
      <c r="M746" t="str">
        <f>_xlfn.XLOOKUP(order[[#This Row],[product_id]],products!$A$2:$A$11,products!$B$2:$B$11)</f>
        <v>Sony WH-1000XM4 Headphones</v>
      </c>
      <c r="N746" s="3" t="str">
        <f>_xlfn.XLOOKUP(order[[#This Row],[product_id]],products!$A$2:$A$11,products!$C$2:$C$11)</f>
        <v>Electronics</v>
      </c>
      <c r="O746" s="3">
        <f>_xlfn.XLOOKUP(order[[#This Row],[product_id]],Table4[product_id],Table4[cost_price])</f>
        <v>20000</v>
      </c>
      <c r="P746" s="11">
        <f>_xlfn.XLOOKUP(order[[#This Row],[order_id]],shipment[order_id],shipment[ship_date])</f>
        <v>45654</v>
      </c>
      <c r="Q746" s="11">
        <f>_xlfn.XLOOKUP(order[[#This Row],[order_id]],shipment[order_id],shipment[delivery_date])</f>
        <v>45664</v>
      </c>
      <c r="R746" s="3" t="str">
        <f>_xlfn.XLOOKUP(order[[#This Row],[order_id]],shipment[shipment_id],shipment[courier])</f>
        <v>DTDC</v>
      </c>
      <c r="S746" s="3">
        <f>order[[#This Row],[selling_price]]-order[[#This Row],[cost_price]]*order[[#This Row],[quantity]]-order[[#This Row],[discount]]</f>
        <v>-81631</v>
      </c>
      <c r="T746" s="3">
        <f>order[[#This Row],[quantity]]*order[[#This Row],[selling_price]]</f>
        <v>12768</v>
      </c>
    </row>
    <row r="747" spans="1:20" x14ac:dyDescent="0.3">
      <c r="A747">
        <v>734</v>
      </c>
      <c r="B747" s="11">
        <v>45353</v>
      </c>
      <c r="C747">
        <v>276</v>
      </c>
      <c r="D747" t="str">
        <f>_xlfn.XLOOKUP(order[[#This Row],[customer_id]],customer[customer_id],customer[customer_name])</f>
        <v>Sneha Iyer</v>
      </c>
      <c r="E747">
        <v>207</v>
      </c>
      <c r="F747">
        <v>4</v>
      </c>
      <c r="G747">
        <v>3688</v>
      </c>
      <c r="H747">
        <v>4804</v>
      </c>
      <c r="I747" t="s">
        <v>11</v>
      </c>
      <c r="J747" t="s">
        <v>14</v>
      </c>
      <c r="K747" t="str">
        <f>_xlfn.XLOOKUP(order[[#This Row],[customer_id]],customer[customer_id],customer[city])</f>
        <v>Chennai</v>
      </c>
      <c r="L747" t="str">
        <f>_xlfn.XLOOKUP(order[[#This Row],[customer_id]],customer[customer_id],customer[state])</f>
        <v>Tamil Nadu</v>
      </c>
      <c r="M747" t="str">
        <f>_xlfn.XLOOKUP(order[[#This Row],[product_id]],products!$A$2:$A$11,products!$B$2:$B$11)</f>
        <v>Sony WH-1000XM4 Headphones</v>
      </c>
      <c r="N747" s="3" t="str">
        <f>_xlfn.XLOOKUP(order[[#This Row],[product_id]],products!$A$2:$A$11,products!$C$2:$C$11)</f>
        <v>Electronics</v>
      </c>
      <c r="O747" s="3">
        <f>_xlfn.XLOOKUP(order[[#This Row],[product_id]],Table4[product_id],Table4[cost_price])</f>
        <v>20000</v>
      </c>
      <c r="P747" s="11">
        <f>_xlfn.XLOOKUP(order[[#This Row],[order_id]],shipment[order_id],shipment[ship_date])</f>
        <v>45514</v>
      </c>
      <c r="Q747" s="11">
        <f>_xlfn.XLOOKUP(order[[#This Row],[order_id]],shipment[order_id],shipment[delivery_date])</f>
        <v>45519</v>
      </c>
      <c r="R747" s="3" t="str">
        <f>_xlfn.XLOOKUP(order[[#This Row],[order_id]],shipment[shipment_id],shipment[courier])</f>
        <v>Ekart</v>
      </c>
      <c r="S747" s="3">
        <f>order[[#This Row],[selling_price]]-order[[#This Row],[cost_price]]*order[[#This Row],[quantity]]-order[[#This Row],[discount]]</f>
        <v>-81116</v>
      </c>
      <c r="T747" s="3">
        <f>order[[#This Row],[quantity]]*order[[#This Row],[selling_price]]</f>
        <v>14752</v>
      </c>
    </row>
    <row r="748" spans="1:20" x14ac:dyDescent="0.3">
      <c r="A748">
        <v>747</v>
      </c>
      <c r="B748" s="11">
        <v>45423</v>
      </c>
      <c r="C748">
        <v>130</v>
      </c>
      <c r="D748" t="str">
        <f>_xlfn.XLOOKUP(order[[#This Row],[customer_id]],customer[customer_id],customer[customer_name])</f>
        <v>Siddharth Jain</v>
      </c>
      <c r="E748">
        <v>202</v>
      </c>
      <c r="F748">
        <v>1</v>
      </c>
      <c r="G748">
        <v>56347</v>
      </c>
      <c r="H748">
        <v>4769</v>
      </c>
      <c r="I748" t="s">
        <v>9</v>
      </c>
      <c r="J748" t="s">
        <v>14</v>
      </c>
      <c r="K748" t="str">
        <f>_xlfn.XLOOKUP(order[[#This Row],[customer_id]],customer[customer_id],customer[city])</f>
        <v>Mumbai</v>
      </c>
      <c r="L748" t="str">
        <f>_xlfn.XLOOKUP(order[[#This Row],[customer_id]],customer[customer_id],customer[state])</f>
        <v>Maharashtra</v>
      </c>
      <c r="M748" t="str">
        <f>_xlfn.XLOOKUP(order[[#This Row],[product_id]],products!$A$2:$A$11,products!$B$2:$B$11)</f>
        <v>Samsung Galaxy S21</v>
      </c>
      <c r="N748" s="3" t="str">
        <f>_xlfn.XLOOKUP(order[[#This Row],[product_id]],products!$A$2:$A$11,products!$C$2:$C$11)</f>
        <v>Electronics</v>
      </c>
      <c r="O748" s="3">
        <f>_xlfn.XLOOKUP(order[[#This Row],[product_id]],Table4[product_id],Table4[cost_price])</f>
        <v>45000</v>
      </c>
      <c r="P748" s="11">
        <f>_xlfn.XLOOKUP(order[[#This Row],[order_id]],shipment[order_id],shipment[ship_date])</f>
        <v>45389</v>
      </c>
      <c r="Q748" s="11">
        <f>_xlfn.XLOOKUP(order[[#This Row],[order_id]],shipment[order_id],shipment[delivery_date])</f>
        <v>45391</v>
      </c>
      <c r="R748" s="3" t="str">
        <f>_xlfn.XLOOKUP(order[[#This Row],[order_id]],shipment[shipment_id],shipment[courier])</f>
        <v>BlueDart</v>
      </c>
      <c r="S748" s="3">
        <f>order[[#This Row],[selling_price]]-order[[#This Row],[cost_price]]*order[[#This Row],[quantity]]-order[[#This Row],[discount]]</f>
        <v>6578</v>
      </c>
      <c r="T748" s="3">
        <f>order[[#This Row],[quantity]]*order[[#This Row],[selling_price]]</f>
        <v>56347</v>
      </c>
    </row>
    <row r="749" spans="1:20" x14ac:dyDescent="0.3">
      <c r="A749">
        <v>1043</v>
      </c>
      <c r="B749" s="11">
        <v>45294</v>
      </c>
      <c r="C749">
        <v>292</v>
      </c>
      <c r="D749" t="str">
        <f>_xlfn.XLOOKUP(order[[#This Row],[customer_id]],customer[customer_id],customer[customer_name])</f>
        <v>Vikram Singh</v>
      </c>
      <c r="E749">
        <v>207</v>
      </c>
      <c r="F749">
        <v>3</v>
      </c>
      <c r="G749">
        <v>45010</v>
      </c>
      <c r="H749">
        <v>4766</v>
      </c>
      <c r="I749" t="s">
        <v>13</v>
      </c>
      <c r="J749" t="s">
        <v>12</v>
      </c>
      <c r="K749" t="str">
        <f>_xlfn.XLOOKUP(order[[#This Row],[customer_id]],customer[customer_id],customer[city])</f>
        <v>Ahmedabad</v>
      </c>
      <c r="L749" t="str">
        <f>_xlfn.XLOOKUP(order[[#This Row],[customer_id]],customer[customer_id],customer[state])</f>
        <v>Gujarat</v>
      </c>
      <c r="M749" t="str">
        <f>_xlfn.XLOOKUP(order[[#This Row],[product_id]],products!$A$2:$A$11,products!$B$2:$B$11)</f>
        <v>Sony WH-1000XM4 Headphones</v>
      </c>
      <c r="N749" s="3" t="str">
        <f>_xlfn.XLOOKUP(order[[#This Row],[product_id]],products!$A$2:$A$11,products!$C$2:$C$11)</f>
        <v>Electronics</v>
      </c>
      <c r="O749" s="3">
        <f>_xlfn.XLOOKUP(order[[#This Row],[product_id]],Table4[product_id],Table4[cost_price])</f>
        <v>20000</v>
      </c>
      <c r="P749" s="11">
        <f>_xlfn.XLOOKUP(order[[#This Row],[order_id]],shipment[order_id],shipment[ship_date])</f>
        <v>45432</v>
      </c>
      <c r="Q749" s="11">
        <f>_xlfn.XLOOKUP(order[[#This Row],[order_id]],shipment[order_id],shipment[delivery_date])</f>
        <v>45433</v>
      </c>
      <c r="R749" s="3" t="str">
        <f>_xlfn.XLOOKUP(order[[#This Row],[order_id]],shipment[shipment_id],shipment[courier])</f>
        <v>Delhivery</v>
      </c>
      <c r="S749" s="3">
        <f>order[[#This Row],[selling_price]]-order[[#This Row],[cost_price]]*order[[#This Row],[quantity]]-order[[#This Row],[discount]]</f>
        <v>-19756</v>
      </c>
      <c r="T749" s="3">
        <f>order[[#This Row],[quantity]]*order[[#This Row],[selling_price]]</f>
        <v>135030</v>
      </c>
    </row>
    <row r="750" spans="1:20" x14ac:dyDescent="0.3">
      <c r="A750">
        <v>931</v>
      </c>
      <c r="B750" s="11">
        <v>45608</v>
      </c>
      <c r="C750">
        <v>104</v>
      </c>
      <c r="D750" t="str">
        <f>_xlfn.XLOOKUP(order[[#This Row],[customer_id]],customer[customer_id],customer[customer_name])</f>
        <v>Aarav Sharma</v>
      </c>
      <c r="E750">
        <v>207</v>
      </c>
      <c r="F750">
        <v>2</v>
      </c>
      <c r="G750">
        <v>29605</v>
      </c>
      <c r="H750">
        <v>4704</v>
      </c>
      <c r="I750" t="s">
        <v>15</v>
      </c>
      <c r="J750" t="s">
        <v>10</v>
      </c>
      <c r="K750" t="str">
        <f>_xlfn.XLOOKUP(order[[#This Row],[customer_id]],customer[customer_id],customer[city])</f>
        <v>Bangalore</v>
      </c>
      <c r="L750" t="str">
        <f>_xlfn.XLOOKUP(order[[#This Row],[customer_id]],customer[customer_id],customer[state])</f>
        <v>Karnataka</v>
      </c>
      <c r="M750" t="str">
        <f>_xlfn.XLOOKUP(order[[#This Row],[product_id]],products!$A$2:$A$11,products!$B$2:$B$11)</f>
        <v>Sony WH-1000XM4 Headphones</v>
      </c>
      <c r="N750" s="3" t="str">
        <f>_xlfn.XLOOKUP(order[[#This Row],[product_id]],products!$A$2:$A$11,products!$C$2:$C$11)</f>
        <v>Electronics</v>
      </c>
      <c r="O750" s="3">
        <f>_xlfn.XLOOKUP(order[[#This Row],[product_id]],Table4[product_id],Table4[cost_price])</f>
        <v>20000</v>
      </c>
      <c r="P750" s="11">
        <f>_xlfn.XLOOKUP(order[[#This Row],[order_id]],shipment[order_id],shipment[ship_date])</f>
        <v>45390</v>
      </c>
      <c r="Q750" s="11">
        <f>_xlfn.XLOOKUP(order[[#This Row],[order_id]],shipment[order_id],shipment[delivery_date])</f>
        <v>45392</v>
      </c>
      <c r="R750" s="3" t="str">
        <f>_xlfn.XLOOKUP(order[[#This Row],[order_id]],shipment[shipment_id],shipment[courier])</f>
        <v>BlueDart</v>
      </c>
      <c r="S750" s="3">
        <f>order[[#This Row],[selling_price]]-order[[#This Row],[cost_price]]*order[[#This Row],[quantity]]-order[[#This Row],[discount]]</f>
        <v>-15099</v>
      </c>
      <c r="T750" s="3">
        <f>order[[#This Row],[quantity]]*order[[#This Row],[selling_price]]</f>
        <v>59210</v>
      </c>
    </row>
    <row r="751" spans="1:20" x14ac:dyDescent="0.3">
      <c r="A751">
        <v>725</v>
      </c>
      <c r="B751" s="11">
        <v>45537</v>
      </c>
      <c r="C751">
        <v>168</v>
      </c>
      <c r="D751" t="str">
        <f>_xlfn.XLOOKUP(order[[#This Row],[customer_id]],customer[customer_id],customer[customer_name])</f>
        <v>Arjun Nair</v>
      </c>
      <c r="E751">
        <v>207</v>
      </c>
      <c r="F751">
        <v>3</v>
      </c>
      <c r="G751">
        <v>22310</v>
      </c>
      <c r="H751">
        <v>4684</v>
      </c>
      <c r="I751" t="s">
        <v>11</v>
      </c>
      <c r="J751" t="s">
        <v>14</v>
      </c>
      <c r="K751" t="str">
        <f>_xlfn.XLOOKUP(order[[#This Row],[customer_id]],customer[customer_id],customer[city])</f>
        <v>Mumbai</v>
      </c>
      <c r="L751" t="str">
        <f>_xlfn.XLOOKUP(order[[#This Row],[customer_id]],customer[customer_id],customer[state])</f>
        <v>Maharashtra</v>
      </c>
      <c r="M751" t="str">
        <f>_xlfn.XLOOKUP(order[[#This Row],[product_id]],products!$A$2:$A$11,products!$B$2:$B$11)</f>
        <v>Sony WH-1000XM4 Headphones</v>
      </c>
      <c r="N751" s="3" t="str">
        <f>_xlfn.XLOOKUP(order[[#This Row],[product_id]],products!$A$2:$A$11,products!$C$2:$C$11)</f>
        <v>Electronics</v>
      </c>
      <c r="O751" s="3">
        <f>_xlfn.XLOOKUP(order[[#This Row],[product_id]],Table4[product_id],Table4[cost_price])</f>
        <v>20000</v>
      </c>
      <c r="P751" s="11">
        <f>_xlfn.XLOOKUP(order[[#This Row],[order_id]],shipment[order_id],shipment[ship_date])</f>
        <v>45461</v>
      </c>
      <c r="Q751" s="11">
        <f>_xlfn.XLOOKUP(order[[#This Row],[order_id]],shipment[order_id],shipment[delivery_date])</f>
        <v>45471</v>
      </c>
      <c r="R751" s="3" t="str">
        <f>_xlfn.XLOOKUP(order[[#This Row],[order_id]],shipment[shipment_id],shipment[courier])</f>
        <v>Ekart</v>
      </c>
      <c r="S751" s="3">
        <f>order[[#This Row],[selling_price]]-order[[#This Row],[cost_price]]*order[[#This Row],[quantity]]-order[[#This Row],[discount]]</f>
        <v>-42374</v>
      </c>
      <c r="T751" s="3">
        <f>order[[#This Row],[quantity]]*order[[#This Row],[selling_price]]</f>
        <v>66930</v>
      </c>
    </row>
    <row r="752" spans="1:20" x14ac:dyDescent="0.3">
      <c r="A752">
        <v>751</v>
      </c>
      <c r="B752" s="11">
        <v>45487</v>
      </c>
      <c r="C752">
        <v>168</v>
      </c>
      <c r="D752" t="str">
        <f>_xlfn.XLOOKUP(order[[#This Row],[customer_id]],customer[customer_id],customer[customer_name])</f>
        <v>Arjun Nair</v>
      </c>
      <c r="E752">
        <v>208</v>
      </c>
      <c r="F752">
        <v>3</v>
      </c>
      <c r="G752">
        <v>54080</v>
      </c>
      <c r="H752">
        <v>1714</v>
      </c>
      <c r="I752" t="s">
        <v>11</v>
      </c>
      <c r="J752" t="s">
        <v>14</v>
      </c>
      <c r="K752" t="str">
        <f>_xlfn.XLOOKUP(order[[#This Row],[customer_id]],customer[customer_id],customer[city])</f>
        <v>Mumbai</v>
      </c>
      <c r="L752" t="str">
        <f>_xlfn.XLOOKUP(order[[#This Row],[customer_id]],customer[customer_id],customer[state])</f>
        <v>Maharashtra</v>
      </c>
      <c r="M752" t="str">
        <f>_xlfn.XLOOKUP(order[[#This Row],[product_id]],products!$A$2:$A$11,products!$B$2:$B$11)</f>
        <v>Adidas Ultraboost Shoes</v>
      </c>
      <c r="N752" s="3" t="str">
        <f>_xlfn.XLOOKUP(order[[#This Row],[product_id]],products!$A$2:$A$11,products!$C$2:$C$11)</f>
        <v>Fashion</v>
      </c>
      <c r="O752" s="3">
        <f>_xlfn.XLOOKUP(order[[#This Row],[product_id]],Table4[product_id],Table4[cost_price])</f>
        <v>9000</v>
      </c>
      <c r="P752" s="11">
        <f>_xlfn.XLOOKUP(order[[#This Row],[order_id]],shipment[order_id],shipment[ship_date])</f>
        <v>45569</v>
      </c>
      <c r="Q752" s="11">
        <f>_xlfn.XLOOKUP(order[[#This Row],[order_id]],shipment[order_id],shipment[delivery_date])</f>
        <v>45579</v>
      </c>
      <c r="R752" s="3" t="str">
        <f>_xlfn.XLOOKUP(order[[#This Row],[order_id]],shipment[shipment_id],shipment[courier])</f>
        <v>Ekart</v>
      </c>
      <c r="S752" s="3">
        <f>order[[#This Row],[selling_price]]-order[[#This Row],[cost_price]]*order[[#This Row],[quantity]]-order[[#This Row],[discount]]</f>
        <v>25366</v>
      </c>
      <c r="T752" s="3">
        <f>order[[#This Row],[quantity]]*order[[#This Row],[selling_price]]</f>
        <v>162240</v>
      </c>
    </row>
    <row r="753" spans="1:20" x14ac:dyDescent="0.3">
      <c r="A753">
        <v>752</v>
      </c>
      <c r="B753" s="11">
        <v>45314</v>
      </c>
      <c r="C753">
        <v>241</v>
      </c>
      <c r="D753" t="str">
        <f>_xlfn.XLOOKUP(order[[#This Row],[customer_id]],customer[customer_id],customer[customer_name])</f>
        <v>Rohit Verma</v>
      </c>
      <c r="E753">
        <v>206</v>
      </c>
      <c r="F753">
        <v>3</v>
      </c>
      <c r="G753">
        <v>44726</v>
      </c>
      <c r="H753">
        <v>3627</v>
      </c>
      <c r="I753" t="s">
        <v>9</v>
      </c>
      <c r="J753" t="s">
        <v>14</v>
      </c>
      <c r="K753" t="str">
        <f>_xlfn.XLOOKUP(order[[#This Row],[customer_id]],customer[customer_id],customer[city])</f>
        <v>Chennai</v>
      </c>
      <c r="L753" t="str">
        <f>_xlfn.XLOOKUP(order[[#This Row],[customer_id]],customer[customer_id],customer[state])</f>
        <v>Tamil Nadu</v>
      </c>
      <c r="M753" t="str">
        <f>_xlfn.XLOOKUP(order[[#This Row],[product_id]],products!$A$2:$A$11,products!$B$2:$B$11)</f>
        <v>Philips Air Fryer</v>
      </c>
      <c r="N753" s="3" t="str">
        <f>_xlfn.XLOOKUP(order[[#This Row],[product_id]],products!$A$2:$A$11,products!$C$2:$C$11)</f>
        <v>Home &amp; Kitchen</v>
      </c>
      <c r="O753" s="3">
        <f>_xlfn.XLOOKUP(order[[#This Row],[product_id]],Table4[product_id],Table4[cost_price])</f>
        <v>7000</v>
      </c>
      <c r="P753" s="11">
        <f>_xlfn.XLOOKUP(order[[#This Row],[order_id]],shipment[order_id],shipment[ship_date])</f>
        <v>45640</v>
      </c>
      <c r="Q753" s="11">
        <f>_xlfn.XLOOKUP(order[[#This Row],[order_id]],shipment[order_id],shipment[delivery_date])</f>
        <v>45650</v>
      </c>
      <c r="R753" s="3" t="str">
        <f>_xlfn.XLOOKUP(order[[#This Row],[order_id]],shipment[shipment_id],shipment[courier])</f>
        <v>DTDC</v>
      </c>
      <c r="S753" s="3">
        <f>order[[#This Row],[selling_price]]-order[[#This Row],[cost_price]]*order[[#This Row],[quantity]]-order[[#This Row],[discount]]</f>
        <v>20099</v>
      </c>
      <c r="T753" s="3">
        <f>order[[#This Row],[quantity]]*order[[#This Row],[selling_price]]</f>
        <v>134178</v>
      </c>
    </row>
    <row r="754" spans="1:20" x14ac:dyDescent="0.3">
      <c r="A754">
        <v>280</v>
      </c>
      <c r="B754" s="11">
        <v>45638</v>
      </c>
      <c r="C754">
        <v>118</v>
      </c>
      <c r="D754" t="str">
        <f>_xlfn.XLOOKUP(order[[#This Row],[customer_id]],customer[customer_id],customer[customer_name])</f>
        <v>Ananya Gupta</v>
      </c>
      <c r="E754">
        <v>207</v>
      </c>
      <c r="F754">
        <v>1</v>
      </c>
      <c r="G754">
        <v>15059</v>
      </c>
      <c r="H754">
        <v>4610</v>
      </c>
      <c r="I754" t="s">
        <v>9</v>
      </c>
      <c r="J754" t="s">
        <v>12</v>
      </c>
      <c r="K754" t="str">
        <f>_xlfn.XLOOKUP(order[[#This Row],[customer_id]],customer[customer_id],customer[city])</f>
        <v>Pune</v>
      </c>
      <c r="L754" t="str">
        <f>_xlfn.XLOOKUP(order[[#This Row],[customer_id]],customer[customer_id],customer[state])</f>
        <v>Maharashtra</v>
      </c>
      <c r="M754" t="str">
        <f>_xlfn.XLOOKUP(order[[#This Row],[product_id]],products!$A$2:$A$11,products!$B$2:$B$11)</f>
        <v>Sony WH-1000XM4 Headphones</v>
      </c>
      <c r="N754" s="3" t="str">
        <f>_xlfn.XLOOKUP(order[[#This Row],[product_id]],products!$A$2:$A$11,products!$C$2:$C$11)</f>
        <v>Electronics</v>
      </c>
      <c r="O754" s="3">
        <f>_xlfn.XLOOKUP(order[[#This Row],[product_id]],Table4[product_id],Table4[cost_price])</f>
        <v>20000</v>
      </c>
      <c r="P754" s="11">
        <f>_xlfn.XLOOKUP(order[[#This Row],[order_id]],shipment[order_id],shipment[ship_date])</f>
        <v>45434</v>
      </c>
      <c r="Q754" s="11">
        <f>_xlfn.XLOOKUP(order[[#This Row],[order_id]],shipment[order_id],shipment[delivery_date])</f>
        <v>45442</v>
      </c>
      <c r="R754" s="3" t="str">
        <f>_xlfn.XLOOKUP(order[[#This Row],[order_id]],shipment[shipment_id],shipment[courier])</f>
        <v>BlueDart</v>
      </c>
      <c r="S754" s="3">
        <f>order[[#This Row],[selling_price]]-order[[#This Row],[cost_price]]*order[[#This Row],[quantity]]-order[[#This Row],[discount]]</f>
        <v>-9551</v>
      </c>
      <c r="T754" s="3">
        <f>order[[#This Row],[quantity]]*order[[#This Row],[selling_price]]</f>
        <v>15059</v>
      </c>
    </row>
    <row r="755" spans="1:20" x14ac:dyDescent="0.3">
      <c r="A755">
        <v>754</v>
      </c>
      <c r="B755" s="11">
        <v>45404</v>
      </c>
      <c r="C755">
        <v>235</v>
      </c>
      <c r="D755" t="str">
        <f>_xlfn.XLOOKUP(order[[#This Row],[customer_id]],customer[customer_id],customer[customer_name])</f>
        <v>Neha Kapoor</v>
      </c>
      <c r="E755">
        <v>205</v>
      </c>
      <c r="F755">
        <v>3</v>
      </c>
      <c r="G755">
        <v>63094</v>
      </c>
      <c r="H755">
        <v>15</v>
      </c>
      <c r="I755" t="s">
        <v>13</v>
      </c>
      <c r="J755" t="s">
        <v>10</v>
      </c>
      <c r="K755" t="str">
        <f>_xlfn.XLOOKUP(order[[#This Row],[customer_id]],customer[customer_id],customer[city])</f>
        <v>Pune</v>
      </c>
      <c r="L755" t="str">
        <f>_xlfn.XLOOKUP(order[[#This Row],[customer_id]],customer[customer_id],customer[state])</f>
        <v>Maharashtra</v>
      </c>
      <c r="M755" t="str">
        <f>_xlfn.XLOOKUP(order[[#This Row],[product_id]],products!$A$2:$A$11,products!$B$2:$B$11)</f>
        <v>Prestige Pressure Cooker 5L</v>
      </c>
      <c r="N755" s="3" t="str">
        <f>_xlfn.XLOOKUP(order[[#This Row],[product_id]],products!$A$2:$A$11,products!$C$2:$C$11)</f>
        <v>Home &amp; Kitchen</v>
      </c>
      <c r="O755" s="3">
        <f>_xlfn.XLOOKUP(order[[#This Row],[product_id]],Table4[product_id],Table4[cost_price])</f>
        <v>1200</v>
      </c>
      <c r="P755" s="11">
        <f>_xlfn.XLOOKUP(order[[#This Row],[order_id]],shipment[order_id],shipment[ship_date])</f>
        <v>45609</v>
      </c>
      <c r="Q755" s="11">
        <f>_xlfn.XLOOKUP(order[[#This Row],[order_id]],shipment[order_id],shipment[delivery_date])</f>
        <v>45611</v>
      </c>
      <c r="R755" s="3" t="str">
        <f>_xlfn.XLOOKUP(order[[#This Row],[order_id]],shipment[shipment_id],shipment[courier])</f>
        <v>BlueDart</v>
      </c>
      <c r="S755" s="3">
        <f>order[[#This Row],[selling_price]]-order[[#This Row],[cost_price]]*order[[#This Row],[quantity]]-order[[#This Row],[discount]]</f>
        <v>59479</v>
      </c>
      <c r="T755" s="3">
        <f>order[[#This Row],[quantity]]*order[[#This Row],[selling_price]]</f>
        <v>189282</v>
      </c>
    </row>
    <row r="756" spans="1:20" x14ac:dyDescent="0.3">
      <c r="A756">
        <v>846</v>
      </c>
      <c r="B756" s="11">
        <v>45609</v>
      </c>
      <c r="C756">
        <v>200</v>
      </c>
      <c r="D756" t="str">
        <f>_xlfn.XLOOKUP(order[[#This Row],[customer_id]],customer[customer_id],customer[customer_name])</f>
        <v>Sneha Iyer</v>
      </c>
      <c r="E756">
        <v>207</v>
      </c>
      <c r="F756">
        <v>3</v>
      </c>
      <c r="G756">
        <v>26521</v>
      </c>
      <c r="H756">
        <v>4607</v>
      </c>
      <c r="I756" t="s">
        <v>13</v>
      </c>
      <c r="J756" t="s">
        <v>14</v>
      </c>
      <c r="K756" t="str">
        <f>_xlfn.XLOOKUP(order[[#This Row],[customer_id]],customer[customer_id],customer[city])</f>
        <v>Hyderabad</v>
      </c>
      <c r="L756" t="str">
        <f>_xlfn.XLOOKUP(order[[#This Row],[customer_id]],customer[customer_id],customer[state])</f>
        <v>Telangana</v>
      </c>
      <c r="M756" t="str">
        <f>_xlfn.XLOOKUP(order[[#This Row],[product_id]],products!$A$2:$A$11,products!$B$2:$B$11)</f>
        <v>Sony WH-1000XM4 Headphones</v>
      </c>
      <c r="N756" s="3" t="str">
        <f>_xlfn.XLOOKUP(order[[#This Row],[product_id]],products!$A$2:$A$11,products!$C$2:$C$11)</f>
        <v>Electronics</v>
      </c>
      <c r="O756" s="3">
        <f>_xlfn.XLOOKUP(order[[#This Row],[product_id]],Table4[product_id],Table4[cost_price])</f>
        <v>20000</v>
      </c>
      <c r="P756" s="11">
        <f>_xlfn.XLOOKUP(order[[#This Row],[order_id]],shipment[order_id],shipment[ship_date])</f>
        <v>45321</v>
      </c>
      <c r="Q756" s="11">
        <f>_xlfn.XLOOKUP(order[[#This Row],[order_id]],shipment[order_id],shipment[delivery_date])</f>
        <v>45328</v>
      </c>
      <c r="R756" s="3" t="str">
        <f>_xlfn.XLOOKUP(order[[#This Row],[order_id]],shipment[shipment_id],shipment[courier])</f>
        <v>Ekart</v>
      </c>
      <c r="S756" s="3">
        <f>order[[#This Row],[selling_price]]-order[[#This Row],[cost_price]]*order[[#This Row],[quantity]]-order[[#This Row],[discount]]</f>
        <v>-38086</v>
      </c>
      <c r="T756" s="3">
        <f>order[[#This Row],[quantity]]*order[[#This Row],[selling_price]]</f>
        <v>79563</v>
      </c>
    </row>
    <row r="757" spans="1:20" x14ac:dyDescent="0.3">
      <c r="A757">
        <v>756</v>
      </c>
      <c r="B757" s="11">
        <v>45640</v>
      </c>
      <c r="C757">
        <v>132</v>
      </c>
      <c r="D757" t="str">
        <f>_xlfn.XLOOKUP(order[[#This Row],[customer_id]],customer[customer_id],customer[customer_name])</f>
        <v>Sneha Iyer</v>
      </c>
      <c r="E757">
        <v>210</v>
      </c>
      <c r="F757">
        <v>1</v>
      </c>
      <c r="G757">
        <v>45612</v>
      </c>
      <c r="H757">
        <v>4096</v>
      </c>
      <c r="I757" t="s">
        <v>15</v>
      </c>
      <c r="J757" t="s">
        <v>10</v>
      </c>
      <c r="K757" t="str">
        <f>_xlfn.XLOOKUP(order[[#This Row],[customer_id]],customer[customer_id],customer[city])</f>
        <v>Hyderabad</v>
      </c>
      <c r="L757" t="str">
        <f>_xlfn.XLOOKUP(order[[#This Row],[customer_id]],customer[customer_id],customer[state])</f>
        <v>Telangana</v>
      </c>
      <c r="M757" t="str">
        <f>_xlfn.XLOOKUP(order[[#This Row],[product_id]],products!$A$2:$A$11,products!$B$2:$B$11)</f>
        <v>LG 43 Inch Smart TV</v>
      </c>
      <c r="N757" s="3" t="str">
        <f>_xlfn.XLOOKUP(order[[#This Row],[product_id]],products!$A$2:$A$11,products!$C$2:$C$11)</f>
        <v>Electronics</v>
      </c>
      <c r="O757" s="3">
        <f>_xlfn.XLOOKUP(order[[#This Row],[product_id]],Table4[product_id],Table4[cost_price])</f>
        <v>30000</v>
      </c>
      <c r="P757" s="11">
        <f>_xlfn.XLOOKUP(order[[#This Row],[order_id]],shipment[order_id],shipment[ship_date])</f>
        <v>45603</v>
      </c>
      <c r="Q757" s="11">
        <f>_xlfn.XLOOKUP(order[[#This Row],[order_id]],shipment[order_id],shipment[delivery_date])</f>
        <v>45608</v>
      </c>
      <c r="R757" s="3" t="str">
        <f>_xlfn.XLOOKUP(order[[#This Row],[order_id]],shipment[shipment_id],shipment[courier])</f>
        <v>DTDC</v>
      </c>
      <c r="S757" s="3">
        <f>order[[#This Row],[selling_price]]-order[[#This Row],[cost_price]]*order[[#This Row],[quantity]]-order[[#This Row],[discount]]</f>
        <v>11516</v>
      </c>
      <c r="T757" s="3">
        <f>order[[#This Row],[quantity]]*order[[#This Row],[selling_price]]</f>
        <v>45612</v>
      </c>
    </row>
    <row r="758" spans="1:20" x14ac:dyDescent="0.3">
      <c r="A758">
        <v>273</v>
      </c>
      <c r="B758" s="11">
        <v>45321</v>
      </c>
      <c r="C758">
        <v>186</v>
      </c>
      <c r="D758" t="str">
        <f>_xlfn.XLOOKUP(order[[#This Row],[customer_id]],customer[customer_id],customer[customer_name])</f>
        <v>Meera Joshi</v>
      </c>
      <c r="E758">
        <v>207</v>
      </c>
      <c r="F758">
        <v>3</v>
      </c>
      <c r="G758">
        <v>20856</v>
      </c>
      <c r="H758">
        <v>4483</v>
      </c>
      <c r="I758" t="s">
        <v>11</v>
      </c>
      <c r="J758" t="s">
        <v>12</v>
      </c>
      <c r="K758" t="str">
        <f>_xlfn.XLOOKUP(order[[#This Row],[customer_id]],customer[customer_id],customer[city])</f>
        <v>Mumbai</v>
      </c>
      <c r="L758" t="str">
        <f>_xlfn.XLOOKUP(order[[#This Row],[customer_id]],customer[customer_id],customer[state])</f>
        <v>Maharashtra</v>
      </c>
      <c r="M758" t="str">
        <f>_xlfn.XLOOKUP(order[[#This Row],[product_id]],products!$A$2:$A$11,products!$B$2:$B$11)</f>
        <v>Sony WH-1000XM4 Headphones</v>
      </c>
      <c r="N758" s="3" t="str">
        <f>_xlfn.XLOOKUP(order[[#This Row],[product_id]],products!$A$2:$A$11,products!$C$2:$C$11)</f>
        <v>Electronics</v>
      </c>
      <c r="O758" s="3">
        <f>_xlfn.XLOOKUP(order[[#This Row],[product_id]],Table4[product_id],Table4[cost_price])</f>
        <v>20000</v>
      </c>
      <c r="P758" s="11">
        <f>_xlfn.XLOOKUP(order[[#This Row],[order_id]],shipment[order_id],shipment[ship_date])</f>
        <v>45582</v>
      </c>
      <c r="Q758" s="11">
        <f>_xlfn.XLOOKUP(order[[#This Row],[order_id]],shipment[order_id],shipment[delivery_date])</f>
        <v>45586</v>
      </c>
      <c r="R758" s="3" t="str">
        <f>_xlfn.XLOOKUP(order[[#This Row],[order_id]],shipment[shipment_id],shipment[courier])</f>
        <v>DTDC</v>
      </c>
      <c r="S758" s="3">
        <f>order[[#This Row],[selling_price]]-order[[#This Row],[cost_price]]*order[[#This Row],[quantity]]-order[[#This Row],[discount]]</f>
        <v>-43627</v>
      </c>
      <c r="T758" s="3">
        <f>order[[#This Row],[quantity]]*order[[#This Row],[selling_price]]</f>
        <v>62568</v>
      </c>
    </row>
    <row r="759" spans="1:20" x14ac:dyDescent="0.3">
      <c r="A759">
        <v>1010</v>
      </c>
      <c r="B759" s="11">
        <v>45383</v>
      </c>
      <c r="C759">
        <v>233</v>
      </c>
      <c r="D759" t="str">
        <f>_xlfn.XLOOKUP(order[[#This Row],[customer_id]],customer[customer_id],customer[customer_name])</f>
        <v>Arjun Nair</v>
      </c>
      <c r="E759">
        <v>207</v>
      </c>
      <c r="F759">
        <v>2</v>
      </c>
      <c r="G759">
        <v>34270</v>
      </c>
      <c r="H759">
        <v>4481</v>
      </c>
      <c r="I759" t="s">
        <v>11</v>
      </c>
      <c r="J759" t="s">
        <v>10</v>
      </c>
      <c r="K759" t="str">
        <f>_xlfn.XLOOKUP(order[[#This Row],[customer_id]],customer[customer_id],customer[city])</f>
        <v>Hyderabad</v>
      </c>
      <c r="L759" t="str">
        <f>_xlfn.XLOOKUP(order[[#This Row],[customer_id]],customer[customer_id],customer[state])</f>
        <v>Telangana</v>
      </c>
      <c r="M759" t="str">
        <f>_xlfn.XLOOKUP(order[[#This Row],[product_id]],products!$A$2:$A$11,products!$B$2:$B$11)</f>
        <v>Sony WH-1000XM4 Headphones</v>
      </c>
      <c r="N759" s="3" t="str">
        <f>_xlfn.XLOOKUP(order[[#This Row],[product_id]],products!$A$2:$A$11,products!$C$2:$C$11)</f>
        <v>Electronics</v>
      </c>
      <c r="O759" s="3">
        <f>_xlfn.XLOOKUP(order[[#This Row],[product_id]],Table4[product_id],Table4[cost_price])</f>
        <v>20000</v>
      </c>
      <c r="P759" s="11">
        <f>_xlfn.XLOOKUP(order[[#This Row],[order_id]],shipment[order_id],shipment[ship_date])</f>
        <v>45458</v>
      </c>
      <c r="Q759" s="11">
        <f>_xlfn.XLOOKUP(order[[#This Row],[order_id]],shipment[order_id],shipment[delivery_date])</f>
        <v>45464</v>
      </c>
      <c r="R759" s="3" t="str">
        <f>_xlfn.XLOOKUP(order[[#This Row],[order_id]],shipment[shipment_id],shipment[courier])</f>
        <v>Delhivery</v>
      </c>
      <c r="S759" s="3">
        <f>order[[#This Row],[selling_price]]-order[[#This Row],[cost_price]]*order[[#This Row],[quantity]]-order[[#This Row],[discount]]</f>
        <v>-10211</v>
      </c>
      <c r="T759" s="3">
        <f>order[[#This Row],[quantity]]*order[[#This Row],[selling_price]]</f>
        <v>68540</v>
      </c>
    </row>
    <row r="760" spans="1:20" x14ac:dyDescent="0.3">
      <c r="A760">
        <v>759</v>
      </c>
      <c r="B760" s="11">
        <v>45624</v>
      </c>
      <c r="C760">
        <v>226</v>
      </c>
      <c r="D760" t="str">
        <f>_xlfn.XLOOKUP(order[[#This Row],[customer_id]],customer[customer_id],customer[customer_name])</f>
        <v>Rahul Mehta</v>
      </c>
      <c r="E760">
        <v>203</v>
      </c>
      <c r="F760">
        <v>2</v>
      </c>
      <c r="G760">
        <v>26745</v>
      </c>
      <c r="H760">
        <v>622</v>
      </c>
      <c r="I760" t="s">
        <v>9</v>
      </c>
      <c r="J760" t="s">
        <v>12</v>
      </c>
      <c r="K760" t="str">
        <f>_xlfn.XLOOKUP(order[[#This Row],[customer_id]],customer[customer_id],customer[city])</f>
        <v>Bangalore</v>
      </c>
      <c r="L760" t="str">
        <f>_xlfn.XLOOKUP(order[[#This Row],[customer_id]],customer[customer_id],customer[state])</f>
        <v>Karnataka</v>
      </c>
      <c r="M760" t="str">
        <f>_xlfn.XLOOKUP(order[[#This Row],[product_id]],products!$A$2:$A$11,products!$B$2:$B$11)</f>
        <v>Nike Air Max Shoes</v>
      </c>
      <c r="N760" s="3" t="str">
        <f>_xlfn.XLOOKUP(order[[#This Row],[product_id]],products!$A$2:$A$11,products!$C$2:$C$11)</f>
        <v>Fashion</v>
      </c>
      <c r="O760" s="3">
        <f>_xlfn.XLOOKUP(order[[#This Row],[product_id]],Table4[product_id],Table4[cost_price])</f>
        <v>4000</v>
      </c>
      <c r="P760" s="11">
        <f>_xlfn.XLOOKUP(order[[#This Row],[order_id]],shipment[order_id],shipment[ship_date])</f>
        <v>45452</v>
      </c>
      <c r="Q760" s="11">
        <f>_xlfn.XLOOKUP(order[[#This Row],[order_id]],shipment[order_id],shipment[delivery_date])</f>
        <v>45459</v>
      </c>
      <c r="R760" s="3" t="str">
        <f>_xlfn.XLOOKUP(order[[#This Row],[order_id]],shipment[shipment_id],shipment[courier])</f>
        <v>Delhivery</v>
      </c>
      <c r="S760" s="3">
        <f>order[[#This Row],[selling_price]]-order[[#This Row],[cost_price]]*order[[#This Row],[quantity]]-order[[#This Row],[discount]]</f>
        <v>18123</v>
      </c>
      <c r="T760" s="3">
        <f>order[[#This Row],[quantity]]*order[[#This Row],[selling_price]]</f>
        <v>53490</v>
      </c>
    </row>
    <row r="761" spans="1:20" x14ac:dyDescent="0.3">
      <c r="A761">
        <v>833</v>
      </c>
      <c r="B761" s="11">
        <v>45612</v>
      </c>
      <c r="C761">
        <v>212</v>
      </c>
      <c r="D761" t="str">
        <f>_xlfn.XLOOKUP(order[[#This Row],[customer_id]],customer[customer_id],customer[customer_name])</f>
        <v>Vikram Singh</v>
      </c>
      <c r="E761">
        <v>207</v>
      </c>
      <c r="F761">
        <v>4</v>
      </c>
      <c r="G761">
        <v>47969</v>
      </c>
      <c r="H761">
        <v>4391</v>
      </c>
      <c r="I761" t="s">
        <v>15</v>
      </c>
      <c r="J761" t="s">
        <v>12</v>
      </c>
      <c r="K761" t="str">
        <f>_xlfn.XLOOKUP(order[[#This Row],[customer_id]],customer[customer_id],customer[city])</f>
        <v>Ahmedabad</v>
      </c>
      <c r="L761" t="str">
        <f>_xlfn.XLOOKUP(order[[#This Row],[customer_id]],customer[customer_id],customer[state])</f>
        <v>Gujarat</v>
      </c>
      <c r="M761" t="str">
        <f>_xlfn.XLOOKUP(order[[#This Row],[product_id]],products!$A$2:$A$11,products!$B$2:$B$11)</f>
        <v>Sony WH-1000XM4 Headphones</v>
      </c>
      <c r="N761" s="3" t="str">
        <f>_xlfn.XLOOKUP(order[[#This Row],[product_id]],products!$A$2:$A$11,products!$C$2:$C$11)</f>
        <v>Electronics</v>
      </c>
      <c r="O761" s="3">
        <f>_xlfn.XLOOKUP(order[[#This Row],[product_id]],Table4[product_id],Table4[cost_price])</f>
        <v>20000</v>
      </c>
      <c r="P761" s="11">
        <f>_xlfn.XLOOKUP(order[[#This Row],[order_id]],shipment[order_id],shipment[ship_date])</f>
        <v>45330</v>
      </c>
      <c r="Q761" s="11">
        <f>_xlfn.XLOOKUP(order[[#This Row],[order_id]],shipment[order_id],shipment[delivery_date])</f>
        <v>45337</v>
      </c>
      <c r="R761" s="3" t="str">
        <f>_xlfn.XLOOKUP(order[[#This Row],[order_id]],shipment[shipment_id],shipment[courier])</f>
        <v>Ekart</v>
      </c>
      <c r="S761" s="3">
        <f>order[[#This Row],[selling_price]]-order[[#This Row],[cost_price]]*order[[#This Row],[quantity]]-order[[#This Row],[discount]]</f>
        <v>-36422</v>
      </c>
      <c r="T761" s="3">
        <f>order[[#This Row],[quantity]]*order[[#This Row],[selling_price]]</f>
        <v>191876</v>
      </c>
    </row>
    <row r="762" spans="1:20" x14ac:dyDescent="0.3">
      <c r="A762">
        <v>711</v>
      </c>
      <c r="B762" s="11">
        <v>45481</v>
      </c>
      <c r="C762">
        <v>300</v>
      </c>
      <c r="D762" t="str">
        <f>_xlfn.XLOOKUP(order[[#This Row],[customer_id]],customer[customer_id],customer[customer_name])</f>
        <v>Pooja Nair</v>
      </c>
      <c r="E762">
        <v>207</v>
      </c>
      <c r="F762">
        <v>3</v>
      </c>
      <c r="G762">
        <v>26723</v>
      </c>
      <c r="H762">
        <v>4230</v>
      </c>
      <c r="I762" t="s">
        <v>9</v>
      </c>
      <c r="J762" t="s">
        <v>14</v>
      </c>
      <c r="K762" t="str">
        <f>_xlfn.XLOOKUP(order[[#This Row],[customer_id]],customer[customer_id],customer[city])</f>
        <v>Bangalore</v>
      </c>
      <c r="L762" t="str">
        <f>_xlfn.XLOOKUP(order[[#This Row],[customer_id]],customer[customer_id],customer[state])</f>
        <v>Karnataka</v>
      </c>
      <c r="M762" t="str">
        <f>_xlfn.XLOOKUP(order[[#This Row],[product_id]],products!$A$2:$A$11,products!$B$2:$B$11)</f>
        <v>Sony WH-1000XM4 Headphones</v>
      </c>
      <c r="N762" s="3" t="str">
        <f>_xlfn.XLOOKUP(order[[#This Row],[product_id]],products!$A$2:$A$11,products!$C$2:$C$11)</f>
        <v>Electronics</v>
      </c>
      <c r="O762" s="3">
        <f>_xlfn.XLOOKUP(order[[#This Row],[product_id]],Table4[product_id],Table4[cost_price])</f>
        <v>20000</v>
      </c>
      <c r="P762" s="11">
        <f>_xlfn.XLOOKUP(order[[#This Row],[order_id]],shipment[order_id],shipment[ship_date])</f>
        <v>45435</v>
      </c>
      <c r="Q762" s="11">
        <f>_xlfn.XLOOKUP(order[[#This Row],[order_id]],shipment[order_id],shipment[delivery_date])</f>
        <v>45437</v>
      </c>
      <c r="R762" s="3" t="str">
        <f>_xlfn.XLOOKUP(order[[#This Row],[order_id]],shipment[shipment_id],shipment[courier])</f>
        <v>BlueDart</v>
      </c>
      <c r="S762" s="3">
        <f>order[[#This Row],[selling_price]]-order[[#This Row],[cost_price]]*order[[#This Row],[quantity]]-order[[#This Row],[discount]]</f>
        <v>-37507</v>
      </c>
      <c r="T762" s="3">
        <f>order[[#This Row],[quantity]]*order[[#This Row],[selling_price]]</f>
        <v>80169</v>
      </c>
    </row>
    <row r="763" spans="1:20" x14ac:dyDescent="0.3">
      <c r="A763">
        <v>867</v>
      </c>
      <c r="B763" s="11">
        <v>45324</v>
      </c>
      <c r="C763">
        <v>218</v>
      </c>
      <c r="D763" t="str">
        <f>_xlfn.XLOOKUP(order[[#This Row],[customer_id]],customer[customer_id],customer[customer_name])</f>
        <v>Manish Yadav</v>
      </c>
      <c r="E763">
        <v>207</v>
      </c>
      <c r="F763">
        <v>2</v>
      </c>
      <c r="G763">
        <v>26681</v>
      </c>
      <c r="H763">
        <v>4213</v>
      </c>
      <c r="I763" t="s">
        <v>13</v>
      </c>
      <c r="J763" t="s">
        <v>14</v>
      </c>
      <c r="K763" t="str">
        <f>_xlfn.XLOOKUP(order[[#This Row],[customer_id]],customer[customer_id],customer[city])</f>
        <v>Delhi</v>
      </c>
      <c r="L763" t="str">
        <f>_xlfn.XLOOKUP(order[[#This Row],[customer_id]],customer[customer_id],customer[state])</f>
        <v>Delhi</v>
      </c>
      <c r="M763" t="str">
        <f>_xlfn.XLOOKUP(order[[#This Row],[product_id]],products!$A$2:$A$11,products!$B$2:$B$11)</f>
        <v>Sony WH-1000XM4 Headphones</v>
      </c>
      <c r="N763" s="3" t="str">
        <f>_xlfn.XLOOKUP(order[[#This Row],[product_id]],products!$A$2:$A$11,products!$C$2:$C$11)</f>
        <v>Electronics</v>
      </c>
      <c r="O763" s="3">
        <f>_xlfn.XLOOKUP(order[[#This Row],[product_id]],Table4[product_id],Table4[cost_price])</f>
        <v>20000</v>
      </c>
      <c r="P763" s="11">
        <f>_xlfn.XLOOKUP(order[[#This Row],[order_id]],shipment[order_id],shipment[ship_date])</f>
        <v>45476</v>
      </c>
      <c r="Q763" s="11">
        <f>_xlfn.XLOOKUP(order[[#This Row],[order_id]],shipment[order_id],shipment[delivery_date])</f>
        <v>45479</v>
      </c>
      <c r="R763" s="3" t="str">
        <f>_xlfn.XLOOKUP(order[[#This Row],[order_id]],shipment[shipment_id],shipment[courier])</f>
        <v>BlueDart</v>
      </c>
      <c r="S763" s="3">
        <f>order[[#This Row],[selling_price]]-order[[#This Row],[cost_price]]*order[[#This Row],[quantity]]-order[[#This Row],[discount]]</f>
        <v>-17532</v>
      </c>
      <c r="T763" s="3">
        <f>order[[#This Row],[quantity]]*order[[#This Row],[selling_price]]</f>
        <v>53362</v>
      </c>
    </row>
    <row r="764" spans="1:20" x14ac:dyDescent="0.3">
      <c r="A764">
        <v>746</v>
      </c>
      <c r="B764" s="11">
        <v>45457</v>
      </c>
      <c r="C764">
        <v>220</v>
      </c>
      <c r="D764" t="str">
        <f>_xlfn.XLOOKUP(order[[#This Row],[customer_id]],customer[customer_id],customer[customer_name])</f>
        <v>Rahul Mehta</v>
      </c>
      <c r="E764">
        <v>207</v>
      </c>
      <c r="F764">
        <v>2</v>
      </c>
      <c r="G764">
        <v>15266</v>
      </c>
      <c r="H764">
        <v>4177</v>
      </c>
      <c r="I764" t="s">
        <v>13</v>
      </c>
      <c r="J764" t="s">
        <v>10</v>
      </c>
      <c r="K764" t="str">
        <f>_xlfn.XLOOKUP(order[[#This Row],[customer_id]],customer[customer_id],customer[city])</f>
        <v>Chennai</v>
      </c>
      <c r="L764" t="str">
        <f>_xlfn.XLOOKUP(order[[#This Row],[customer_id]],customer[customer_id],customer[state])</f>
        <v>Tamil Nadu</v>
      </c>
      <c r="M764" t="str">
        <f>_xlfn.XLOOKUP(order[[#This Row],[product_id]],products!$A$2:$A$11,products!$B$2:$B$11)</f>
        <v>Sony WH-1000XM4 Headphones</v>
      </c>
      <c r="N764" s="3" t="str">
        <f>_xlfn.XLOOKUP(order[[#This Row],[product_id]],products!$A$2:$A$11,products!$C$2:$C$11)</f>
        <v>Electronics</v>
      </c>
      <c r="O764" s="3">
        <f>_xlfn.XLOOKUP(order[[#This Row],[product_id]],Table4[product_id],Table4[cost_price])</f>
        <v>20000</v>
      </c>
      <c r="P764" s="11">
        <f>_xlfn.XLOOKUP(order[[#This Row],[order_id]],shipment[order_id],shipment[ship_date])</f>
        <v>45605</v>
      </c>
      <c r="Q764" s="11">
        <f>_xlfn.XLOOKUP(order[[#This Row],[order_id]],shipment[order_id],shipment[delivery_date])</f>
        <v>45608</v>
      </c>
      <c r="R764" s="3" t="str">
        <f>_xlfn.XLOOKUP(order[[#This Row],[order_id]],shipment[shipment_id],shipment[courier])</f>
        <v>Ekart</v>
      </c>
      <c r="S764" s="3">
        <f>order[[#This Row],[selling_price]]-order[[#This Row],[cost_price]]*order[[#This Row],[quantity]]-order[[#This Row],[discount]]</f>
        <v>-28911</v>
      </c>
      <c r="T764" s="3">
        <f>order[[#This Row],[quantity]]*order[[#This Row],[selling_price]]</f>
        <v>30532</v>
      </c>
    </row>
    <row r="765" spans="1:20" x14ac:dyDescent="0.3">
      <c r="A765">
        <v>902</v>
      </c>
      <c r="B765" s="11">
        <v>45523</v>
      </c>
      <c r="C765">
        <v>211</v>
      </c>
      <c r="D765" t="str">
        <f>_xlfn.XLOOKUP(order[[#This Row],[customer_id]],customer[customer_id],customer[customer_name])</f>
        <v>Aarav Sharma</v>
      </c>
      <c r="E765">
        <v>207</v>
      </c>
      <c r="F765">
        <v>2</v>
      </c>
      <c r="G765">
        <v>20029</v>
      </c>
      <c r="H765">
        <v>4105</v>
      </c>
      <c r="I765" t="s">
        <v>11</v>
      </c>
      <c r="J765" t="s">
        <v>14</v>
      </c>
      <c r="K765" t="str">
        <f>_xlfn.XLOOKUP(order[[#This Row],[customer_id]],customer[customer_id],customer[city])</f>
        <v>Ahmedabad</v>
      </c>
      <c r="L765" t="str">
        <f>_xlfn.XLOOKUP(order[[#This Row],[customer_id]],customer[customer_id],customer[state])</f>
        <v>Gujarat</v>
      </c>
      <c r="M765" t="str">
        <f>_xlfn.XLOOKUP(order[[#This Row],[product_id]],products!$A$2:$A$11,products!$B$2:$B$11)</f>
        <v>Sony WH-1000XM4 Headphones</v>
      </c>
      <c r="N765" s="3" t="str">
        <f>_xlfn.XLOOKUP(order[[#This Row],[product_id]],products!$A$2:$A$11,products!$C$2:$C$11)</f>
        <v>Electronics</v>
      </c>
      <c r="O765" s="3">
        <f>_xlfn.XLOOKUP(order[[#This Row],[product_id]],Table4[product_id],Table4[cost_price])</f>
        <v>20000</v>
      </c>
      <c r="P765" s="11">
        <f>_xlfn.XLOOKUP(order[[#This Row],[order_id]],shipment[order_id],shipment[ship_date])</f>
        <v>45326</v>
      </c>
      <c r="Q765" s="11">
        <f>_xlfn.XLOOKUP(order[[#This Row],[order_id]],shipment[order_id],shipment[delivery_date])</f>
        <v>45327</v>
      </c>
      <c r="R765" s="3" t="str">
        <f>_xlfn.XLOOKUP(order[[#This Row],[order_id]],shipment[shipment_id],shipment[courier])</f>
        <v>Ekart</v>
      </c>
      <c r="S765" s="3">
        <f>order[[#This Row],[selling_price]]-order[[#This Row],[cost_price]]*order[[#This Row],[quantity]]-order[[#This Row],[discount]]</f>
        <v>-24076</v>
      </c>
      <c r="T765" s="3">
        <f>order[[#This Row],[quantity]]*order[[#This Row],[selling_price]]</f>
        <v>40058</v>
      </c>
    </row>
    <row r="766" spans="1:20" x14ac:dyDescent="0.3">
      <c r="A766">
        <v>765</v>
      </c>
      <c r="B766" s="11">
        <v>45427</v>
      </c>
      <c r="C766">
        <v>210</v>
      </c>
      <c r="D766" t="str">
        <f>_xlfn.XLOOKUP(order[[#This Row],[customer_id]],customer[customer_id],customer[customer_name])</f>
        <v>Neha Kapoor</v>
      </c>
      <c r="E766">
        <v>209</v>
      </c>
      <c r="F766">
        <v>4</v>
      </c>
      <c r="G766">
        <v>69246</v>
      </c>
      <c r="H766">
        <v>1109</v>
      </c>
      <c r="I766" t="s">
        <v>11</v>
      </c>
      <c r="J766" t="s">
        <v>14</v>
      </c>
      <c r="K766" t="str">
        <f>_xlfn.XLOOKUP(order[[#This Row],[customer_id]],customer[customer_id],customer[city])</f>
        <v>Bangalore</v>
      </c>
      <c r="L766" t="str">
        <f>_xlfn.XLOOKUP(order[[#This Row],[customer_id]],customer[customer_id],customer[state])</f>
        <v>Karnataka</v>
      </c>
      <c r="M766" t="str">
        <f>_xlfn.XLOOKUP(order[[#This Row],[product_id]],products!$A$2:$A$11,products!$B$2:$B$11)</f>
        <v>Milton Thermosteel Bottle</v>
      </c>
      <c r="N766" s="3" t="str">
        <f>_xlfn.XLOOKUP(order[[#This Row],[product_id]],products!$A$2:$A$11,products!$C$2:$C$11)</f>
        <v>Home &amp; Kitchen</v>
      </c>
      <c r="O766" s="3">
        <f>_xlfn.XLOOKUP(order[[#This Row],[product_id]],Table4[product_id],Table4[cost_price])</f>
        <v>800</v>
      </c>
      <c r="P766" s="11">
        <f>_xlfn.XLOOKUP(order[[#This Row],[order_id]],shipment[order_id],shipment[ship_date])</f>
        <v>45609</v>
      </c>
      <c r="Q766" s="11">
        <f>_xlfn.XLOOKUP(order[[#This Row],[order_id]],shipment[order_id],shipment[delivery_date])</f>
        <v>45614</v>
      </c>
      <c r="R766" s="3" t="str">
        <f>_xlfn.XLOOKUP(order[[#This Row],[order_id]],shipment[shipment_id],shipment[courier])</f>
        <v>Delhivery</v>
      </c>
      <c r="S766" s="3">
        <f>order[[#This Row],[selling_price]]-order[[#This Row],[cost_price]]*order[[#This Row],[quantity]]-order[[#This Row],[discount]]</f>
        <v>64937</v>
      </c>
      <c r="T766" s="3">
        <f>order[[#This Row],[quantity]]*order[[#This Row],[selling_price]]</f>
        <v>276984</v>
      </c>
    </row>
    <row r="767" spans="1:20" x14ac:dyDescent="0.3">
      <c r="A767">
        <v>766</v>
      </c>
      <c r="B767" s="11">
        <v>45447</v>
      </c>
      <c r="C767">
        <v>111</v>
      </c>
      <c r="D767" t="str">
        <f>_xlfn.XLOOKUP(order[[#This Row],[customer_id]],customer[customer_id],customer[customer_name])</f>
        <v>Ishita Bose</v>
      </c>
      <c r="E767">
        <v>209</v>
      </c>
      <c r="F767">
        <v>1</v>
      </c>
      <c r="G767">
        <v>63111</v>
      </c>
      <c r="H767">
        <v>3180</v>
      </c>
      <c r="I767" t="s">
        <v>15</v>
      </c>
      <c r="J767" t="s">
        <v>12</v>
      </c>
      <c r="K767" t="str">
        <f>_xlfn.XLOOKUP(order[[#This Row],[customer_id]],customer[customer_id],customer[city])</f>
        <v>Ahmedabad</v>
      </c>
      <c r="L767" t="str">
        <f>_xlfn.XLOOKUP(order[[#This Row],[customer_id]],customer[customer_id],customer[state])</f>
        <v>Gujarat</v>
      </c>
      <c r="M767" t="str">
        <f>_xlfn.XLOOKUP(order[[#This Row],[product_id]],products!$A$2:$A$11,products!$B$2:$B$11)</f>
        <v>Milton Thermosteel Bottle</v>
      </c>
      <c r="N767" s="3" t="str">
        <f>_xlfn.XLOOKUP(order[[#This Row],[product_id]],products!$A$2:$A$11,products!$C$2:$C$11)</f>
        <v>Home &amp; Kitchen</v>
      </c>
      <c r="O767" s="3">
        <f>_xlfn.XLOOKUP(order[[#This Row],[product_id]],Table4[product_id],Table4[cost_price])</f>
        <v>800</v>
      </c>
      <c r="P767" s="11">
        <f>_xlfn.XLOOKUP(order[[#This Row],[order_id]],shipment[order_id],shipment[ship_date])</f>
        <v>45584</v>
      </c>
      <c r="Q767" s="11">
        <f>_xlfn.XLOOKUP(order[[#This Row],[order_id]],shipment[order_id],shipment[delivery_date])</f>
        <v>45589</v>
      </c>
      <c r="R767" s="3" t="str">
        <f>_xlfn.XLOOKUP(order[[#This Row],[order_id]],shipment[shipment_id],shipment[courier])</f>
        <v>Ekart</v>
      </c>
      <c r="S767" s="3">
        <f>order[[#This Row],[selling_price]]-order[[#This Row],[cost_price]]*order[[#This Row],[quantity]]-order[[#This Row],[discount]]</f>
        <v>59131</v>
      </c>
      <c r="T767" s="3">
        <f>order[[#This Row],[quantity]]*order[[#This Row],[selling_price]]</f>
        <v>63111</v>
      </c>
    </row>
    <row r="768" spans="1:20" x14ac:dyDescent="0.3">
      <c r="A768">
        <v>767</v>
      </c>
      <c r="B768" s="11">
        <v>45494</v>
      </c>
      <c r="C768">
        <v>113</v>
      </c>
      <c r="D768" t="str">
        <f>_xlfn.XLOOKUP(order[[#This Row],[customer_id]],customer[customer_id],customer[customer_name])</f>
        <v>Meera Joshi</v>
      </c>
      <c r="E768">
        <v>203</v>
      </c>
      <c r="F768">
        <v>1</v>
      </c>
      <c r="G768">
        <v>26497</v>
      </c>
      <c r="H768">
        <v>254</v>
      </c>
      <c r="I768" t="s">
        <v>15</v>
      </c>
      <c r="J768" t="s">
        <v>14</v>
      </c>
      <c r="K768" t="str">
        <f>_xlfn.XLOOKUP(order[[#This Row],[customer_id]],customer[customer_id],customer[city])</f>
        <v>Hyderabad</v>
      </c>
      <c r="L768" t="str">
        <f>_xlfn.XLOOKUP(order[[#This Row],[customer_id]],customer[customer_id],customer[state])</f>
        <v>Telangana</v>
      </c>
      <c r="M768" t="str">
        <f>_xlfn.XLOOKUP(order[[#This Row],[product_id]],products!$A$2:$A$11,products!$B$2:$B$11)</f>
        <v>Nike Air Max Shoes</v>
      </c>
      <c r="N768" s="3" t="str">
        <f>_xlfn.XLOOKUP(order[[#This Row],[product_id]],products!$A$2:$A$11,products!$C$2:$C$11)</f>
        <v>Fashion</v>
      </c>
      <c r="O768" s="3">
        <f>_xlfn.XLOOKUP(order[[#This Row],[product_id]],Table4[product_id],Table4[cost_price])</f>
        <v>4000</v>
      </c>
      <c r="P768" s="11">
        <f>_xlfn.XLOOKUP(order[[#This Row],[order_id]],shipment[order_id],shipment[ship_date])</f>
        <v>45310</v>
      </c>
      <c r="Q768" s="11">
        <f>_xlfn.XLOOKUP(order[[#This Row],[order_id]],shipment[order_id],shipment[delivery_date])</f>
        <v>45314</v>
      </c>
      <c r="R768" s="3" t="str">
        <f>_xlfn.XLOOKUP(order[[#This Row],[order_id]],shipment[shipment_id],shipment[courier])</f>
        <v>DTDC</v>
      </c>
      <c r="S768" s="3">
        <f>order[[#This Row],[selling_price]]-order[[#This Row],[cost_price]]*order[[#This Row],[quantity]]-order[[#This Row],[discount]]</f>
        <v>22243</v>
      </c>
      <c r="T768" s="3">
        <f>order[[#This Row],[quantity]]*order[[#This Row],[selling_price]]</f>
        <v>26497</v>
      </c>
    </row>
    <row r="769" spans="1:20" x14ac:dyDescent="0.3">
      <c r="A769">
        <v>768</v>
      </c>
      <c r="B769" s="11">
        <v>45450</v>
      </c>
      <c r="C769">
        <v>203</v>
      </c>
      <c r="D769" t="str">
        <f>_xlfn.XLOOKUP(order[[#This Row],[customer_id]],customer[customer_id],customer[customer_name])</f>
        <v>Vikram Singh</v>
      </c>
      <c r="E769">
        <v>205</v>
      </c>
      <c r="F769">
        <v>4</v>
      </c>
      <c r="G769">
        <v>52908</v>
      </c>
      <c r="H769">
        <v>352</v>
      </c>
      <c r="I769" t="s">
        <v>15</v>
      </c>
      <c r="J769" t="s">
        <v>14</v>
      </c>
      <c r="K769" t="str">
        <f>_xlfn.XLOOKUP(order[[#This Row],[customer_id]],customer[customer_id],customer[city])</f>
        <v>Delhi</v>
      </c>
      <c r="L769" t="str">
        <f>_xlfn.XLOOKUP(order[[#This Row],[customer_id]],customer[customer_id],customer[state])</f>
        <v>Delhi</v>
      </c>
      <c r="M769" t="str">
        <f>_xlfn.XLOOKUP(order[[#This Row],[product_id]],products!$A$2:$A$11,products!$B$2:$B$11)</f>
        <v>Prestige Pressure Cooker 5L</v>
      </c>
      <c r="N769" s="3" t="str">
        <f>_xlfn.XLOOKUP(order[[#This Row],[product_id]],products!$A$2:$A$11,products!$C$2:$C$11)</f>
        <v>Home &amp; Kitchen</v>
      </c>
      <c r="O769" s="3">
        <f>_xlfn.XLOOKUP(order[[#This Row],[product_id]],Table4[product_id],Table4[cost_price])</f>
        <v>1200</v>
      </c>
      <c r="P769" s="11">
        <f>_xlfn.XLOOKUP(order[[#This Row],[order_id]],shipment[order_id],shipment[ship_date])</f>
        <v>45574</v>
      </c>
      <c r="Q769" s="11">
        <f>_xlfn.XLOOKUP(order[[#This Row],[order_id]],shipment[order_id],shipment[delivery_date])</f>
        <v>45576</v>
      </c>
      <c r="R769" s="3" t="str">
        <f>_xlfn.XLOOKUP(order[[#This Row],[order_id]],shipment[shipment_id],shipment[courier])</f>
        <v>Delhivery</v>
      </c>
      <c r="S769" s="3">
        <f>order[[#This Row],[selling_price]]-order[[#This Row],[cost_price]]*order[[#This Row],[quantity]]-order[[#This Row],[discount]]</f>
        <v>47756</v>
      </c>
      <c r="T769" s="3">
        <f>order[[#This Row],[quantity]]*order[[#This Row],[selling_price]]</f>
        <v>211632</v>
      </c>
    </row>
    <row r="770" spans="1:20" x14ac:dyDescent="0.3">
      <c r="A770">
        <v>769</v>
      </c>
      <c r="B770" s="11">
        <v>45559</v>
      </c>
      <c r="C770">
        <v>244</v>
      </c>
      <c r="D770" t="str">
        <f>_xlfn.XLOOKUP(order[[#This Row],[customer_id]],customer[customer_id],customer[customer_name])</f>
        <v>Ananya Gupta</v>
      </c>
      <c r="E770">
        <v>206</v>
      </c>
      <c r="F770">
        <v>2</v>
      </c>
      <c r="G770">
        <v>60000</v>
      </c>
      <c r="H770">
        <v>4756</v>
      </c>
      <c r="I770" t="s">
        <v>13</v>
      </c>
      <c r="J770" t="s">
        <v>14</v>
      </c>
      <c r="K770" t="str">
        <f>_xlfn.XLOOKUP(order[[#This Row],[customer_id]],customer[customer_id],customer[city])</f>
        <v>Chennai</v>
      </c>
      <c r="L770" t="str">
        <f>_xlfn.XLOOKUP(order[[#This Row],[customer_id]],customer[customer_id],customer[state])</f>
        <v>Tamil Nadu</v>
      </c>
      <c r="M770" t="str">
        <f>_xlfn.XLOOKUP(order[[#This Row],[product_id]],products!$A$2:$A$11,products!$B$2:$B$11)</f>
        <v>Philips Air Fryer</v>
      </c>
      <c r="N770" s="3" t="str">
        <f>_xlfn.XLOOKUP(order[[#This Row],[product_id]],products!$A$2:$A$11,products!$C$2:$C$11)</f>
        <v>Home &amp; Kitchen</v>
      </c>
      <c r="O770" s="3">
        <f>_xlfn.XLOOKUP(order[[#This Row],[product_id]],Table4[product_id],Table4[cost_price])</f>
        <v>7000</v>
      </c>
      <c r="P770" s="11">
        <f>_xlfn.XLOOKUP(order[[#This Row],[order_id]],shipment[order_id],shipment[ship_date])</f>
        <v>45468</v>
      </c>
      <c r="Q770" s="11">
        <f>_xlfn.XLOOKUP(order[[#This Row],[order_id]],shipment[order_id],shipment[delivery_date])</f>
        <v>45475</v>
      </c>
      <c r="R770" s="3" t="str">
        <f>_xlfn.XLOOKUP(order[[#This Row],[order_id]],shipment[shipment_id],shipment[courier])</f>
        <v>BlueDart</v>
      </c>
      <c r="S770" s="3">
        <f>order[[#This Row],[selling_price]]-order[[#This Row],[cost_price]]*order[[#This Row],[quantity]]-order[[#This Row],[discount]]</f>
        <v>41244</v>
      </c>
      <c r="T770" s="3">
        <f>order[[#This Row],[quantity]]*order[[#This Row],[selling_price]]</f>
        <v>120000</v>
      </c>
    </row>
    <row r="771" spans="1:20" x14ac:dyDescent="0.3">
      <c r="A771">
        <v>463</v>
      </c>
      <c r="B771" s="11">
        <v>45577</v>
      </c>
      <c r="C771">
        <v>179</v>
      </c>
      <c r="D771" t="str">
        <f>_xlfn.XLOOKUP(order[[#This Row],[customer_id]],customer[customer_id],customer[customer_name])</f>
        <v>Ananya Gupta</v>
      </c>
      <c r="E771">
        <v>207</v>
      </c>
      <c r="F771">
        <v>1</v>
      </c>
      <c r="G771">
        <v>11540</v>
      </c>
      <c r="H771">
        <v>4010</v>
      </c>
      <c r="I771" t="s">
        <v>9</v>
      </c>
      <c r="J771" t="s">
        <v>10</v>
      </c>
      <c r="K771" t="str">
        <f>_xlfn.XLOOKUP(order[[#This Row],[customer_id]],customer[customer_id],customer[city])</f>
        <v>Hyderabad</v>
      </c>
      <c r="L771" t="str">
        <f>_xlfn.XLOOKUP(order[[#This Row],[customer_id]],customer[customer_id],customer[state])</f>
        <v>Telangana</v>
      </c>
      <c r="M771" t="str">
        <f>_xlfn.XLOOKUP(order[[#This Row],[product_id]],products!$A$2:$A$11,products!$B$2:$B$11)</f>
        <v>Sony WH-1000XM4 Headphones</v>
      </c>
      <c r="N771" s="3" t="str">
        <f>_xlfn.XLOOKUP(order[[#This Row],[product_id]],products!$A$2:$A$11,products!$C$2:$C$11)</f>
        <v>Electronics</v>
      </c>
      <c r="O771" s="3">
        <f>_xlfn.XLOOKUP(order[[#This Row],[product_id]],Table4[product_id],Table4[cost_price])</f>
        <v>20000</v>
      </c>
      <c r="P771" s="11">
        <f>_xlfn.XLOOKUP(order[[#This Row],[order_id]],shipment[order_id],shipment[ship_date])</f>
        <v>45335</v>
      </c>
      <c r="Q771" s="11">
        <f>_xlfn.XLOOKUP(order[[#This Row],[order_id]],shipment[order_id],shipment[delivery_date])</f>
        <v>45337</v>
      </c>
      <c r="R771" s="3" t="str">
        <f>_xlfn.XLOOKUP(order[[#This Row],[order_id]],shipment[shipment_id],shipment[courier])</f>
        <v>BlueDart</v>
      </c>
      <c r="S771" s="3">
        <f>order[[#This Row],[selling_price]]-order[[#This Row],[cost_price]]*order[[#This Row],[quantity]]-order[[#This Row],[discount]]</f>
        <v>-12470</v>
      </c>
      <c r="T771" s="3">
        <f>order[[#This Row],[quantity]]*order[[#This Row],[selling_price]]</f>
        <v>11540</v>
      </c>
    </row>
    <row r="772" spans="1:20" x14ac:dyDescent="0.3">
      <c r="A772">
        <v>771</v>
      </c>
      <c r="B772" s="11">
        <v>45547</v>
      </c>
      <c r="C772">
        <v>185</v>
      </c>
      <c r="D772" t="str">
        <f>_xlfn.XLOOKUP(order[[#This Row],[customer_id]],customer[customer_id],customer[customer_name])</f>
        <v>Karan Patel</v>
      </c>
      <c r="E772">
        <v>205</v>
      </c>
      <c r="F772">
        <v>3</v>
      </c>
      <c r="G772">
        <v>37008</v>
      </c>
      <c r="H772">
        <v>389</v>
      </c>
      <c r="I772" t="s">
        <v>15</v>
      </c>
      <c r="J772" t="s">
        <v>14</v>
      </c>
      <c r="K772" t="str">
        <f>_xlfn.XLOOKUP(order[[#This Row],[customer_id]],customer[customer_id],customer[city])</f>
        <v>Pune</v>
      </c>
      <c r="L772" t="str">
        <f>_xlfn.XLOOKUP(order[[#This Row],[customer_id]],customer[customer_id],customer[state])</f>
        <v>Maharashtra</v>
      </c>
      <c r="M772" t="str">
        <f>_xlfn.XLOOKUP(order[[#This Row],[product_id]],products!$A$2:$A$11,products!$B$2:$B$11)</f>
        <v>Prestige Pressure Cooker 5L</v>
      </c>
      <c r="N772" s="3" t="str">
        <f>_xlfn.XLOOKUP(order[[#This Row],[product_id]],products!$A$2:$A$11,products!$C$2:$C$11)</f>
        <v>Home &amp; Kitchen</v>
      </c>
      <c r="O772" s="3">
        <f>_xlfn.XLOOKUP(order[[#This Row],[product_id]],Table4[product_id],Table4[cost_price])</f>
        <v>1200</v>
      </c>
      <c r="P772" s="11">
        <f>_xlfn.XLOOKUP(order[[#This Row],[order_id]],shipment[order_id],shipment[ship_date])</f>
        <v>45306</v>
      </c>
      <c r="Q772" s="11">
        <f>_xlfn.XLOOKUP(order[[#This Row],[order_id]],shipment[order_id],shipment[delivery_date])</f>
        <v>45308</v>
      </c>
      <c r="R772" s="3" t="str">
        <f>_xlfn.XLOOKUP(order[[#This Row],[order_id]],shipment[shipment_id],shipment[courier])</f>
        <v>DTDC</v>
      </c>
      <c r="S772" s="3">
        <f>order[[#This Row],[selling_price]]-order[[#This Row],[cost_price]]*order[[#This Row],[quantity]]-order[[#This Row],[discount]]</f>
        <v>33019</v>
      </c>
      <c r="T772" s="3">
        <f>order[[#This Row],[quantity]]*order[[#This Row],[selling_price]]</f>
        <v>111024</v>
      </c>
    </row>
    <row r="773" spans="1:20" x14ac:dyDescent="0.3">
      <c r="A773">
        <v>173</v>
      </c>
      <c r="B773" s="11">
        <v>45571</v>
      </c>
      <c r="C773">
        <v>235</v>
      </c>
      <c r="D773" t="str">
        <f>_xlfn.XLOOKUP(order[[#This Row],[customer_id]],customer[customer_id],customer[customer_name])</f>
        <v>Neha Kapoor</v>
      </c>
      <c r="E773">
        <v>207</v>
      </c>
      <c r="F773">
        <v>2</v>
      </c>
      <c r="G773">
        <v>9164</v>
      </c>
      <c r="H773">
        <v>3949</v>
      </c>
      <c r="I773" t="s">
        <v>11</v>
      </c>
      <c r="J773" t="s">
        <v>14</v>
      </c>
      <c r="K773" t="str">
        <f>_xlfn.XLOOKUP(order[[#This Row],[customer_id]],customer[customer_id],customer[city])</f>
        <v>Pune</v>
      </c>
      <c r="L773" t="str">
        <f>_xlfn.XLOOKUP(order[[#This Row],[customer_id]],customer[customer_id],customer[state])</f>
        <v>Maharashtra</v>
      </c>
      <c r="M773" t="str">
        <f>_xlfn.XLOOKUP(order[[#This Row],[product_id]],products!$A$2:$A$11,products!$B$2:$B$11)</f>
        <v>Sony WH-1000XM4 Headphones</v>
      </c>
      <c r="N773" s="3" t="str">
        <f>_xlfn.XLOOKUP(order[[#This Row],[product_id]],products!$A$2:$A$11,products!$C$2:$C$11)</f>
        <v>Electronics</v>
      </c>
      <c r="O773" s="3">
        <f>_xlfn.XLOOKUP(order[[#This Row],[product_id]],Table4[product_id],Table4[cost_price])</f>
        <v>20000</v>
      </c>
      <c r="P773" s="11">
        <f>_xlfn.XLOOKUP(order[[#This Row],[order_id]],shipment[order_id],shipment[ship_date])</f>
        <v>45564</v>
      </c>
      <c r="Q773" s="11">
        <f>_xlfn.XLOOKUP(order[[#This Row],[order_id]],shipment[order_id],shipment[delivery_date])</f>
        <v>45570</v>
      </c>
      <c r="R773" s="3" t="str">
        <f>_xlfn.XLOOKUP(order[[#This Row],[order_id]],shipment[shipment_id],shipment[courier])</f>
        <v>Ekart</v>
      </c>
      <c r="S773" s="3">
        <f>order[[#This Row],[selling_price]]-order[[#This Row],[cost_price]]*order[[#This Row],[quantity]]-order[[#This Row],[discount]]</f>
        <v>-34785</v>
      </c>
      <c r="T773" s="3">
        <f>order[[#This Row],[quantity]]*order[[#This Row],[selling_price]]</f>
        <v>18328</v>
      </c>
    </row>
    <row r="774" spans="1:20" x14ac:dyDescent="0.3">
      <c r="A774">
        <v>59</v>
      </c>
      <c r="B774" s="11">
        <v>45616</v>
      </c>
      <c r="C774">
        <v>296</v>
      </c>
      <c r="D774" t="str">
        <f>_xlfn.XLOOKUP(order[[#This Row],[customer_id]],customer[customer_id],customer[customer_name])</f>
        <v>Rohit Verma</v>
      </c>
      <c r="E774">
        <v>207</v>
      </c>
      <c r="F774">
        <v>4</v>
      </c>
      <c r="G774">
        <v>13308</v>
      </c>
      <c r="H774">
        <v>3914</v>
      </c>
      <c r="I774" t="s">
        <v>13</v>
      </c>
      <c r="J774" t="s">
        <v>10</v>
      </c>
      <c r="K774" t="str">
        <f>_xlfn.XLOOKUP(order[[#This Row],[customer_id]],customer[customer_id],customer[city])</f>
        <v>Pune</v>
      </c>
      <c r="L774" t="str">
        <f>_xlfn.XLOOKUP(order[[#This Row],[customer_id]],customer[customer_id],customer[state])</f>
        <v>Maharashtra</v>
      </c>
      <c r="M774" t="str">
        <f>_xlfn.XLOOKUP(order[[#This Row],[product_id]],products!$A$2:$A$11,products!$B$2:$B$11)</f>
        <v>Sony WH-1000XM4 Headphones</v>
      </c>
      <c r="N774" s="3" t="str">
        <f>_xlfn.XLOOKUP(order[[#This Row],[product_id]],products!$A$2:$A$11,products!$C$2:$C$11)</f>
        <v>Electronics</v>
      </c>
      <c r="O774" s="3">
        <f>_xlfn.XLOOKUP(order[[#This Row],[product_id]],Table4[product_id],Table4[cost_price])</f>
        <v>20000</v>
      </c>
      <c r="P774" s="11">
        <f>_xlfn.XLOOKUP(order[[#This Row],[order_id]],shipment[order_id],shipment[ship_date])</f>
        <v>45565</v>
      </c>
      <c r="Q774" s="11">
        <f>_xlfn.XLOOKUP(order[[#This Row],[order_id]],shipment[order_id],shipment[delivery_date])</f>
        <v>45569</v>
      </c>
      <c r="R774" s="3" t="str">
        <f>_xlfn.XLOOKUP(order[[#This Row],[order_id]],shipment[shipment_id],shipment[courier])</f>
        <v>DTDC</v>
      </c>
      <c r="S774" s="3">
        <f>order[[#This Row],[selling_price]]-order[[#This Row],[cost_price]]*order[[#This Row],[quantity]]-order[[#This Row],[discount]]</f>
        <v>-70606</v>
      </c>
      <c r="T774" s="3">
        <f>order[[#This Row],[quantity]]*order[[#This Row],[selling_price]]</f>
        <v>53232</v>
      </c>
    </row>
    <row r="775" spans="1:20" x14ac:dyDescent="0.3">
      <c r="A775">
        <v>774</v>
      </c>
      <c r="B775" s="11">
        <v>45587</v>
      </c>
      <c r="C775">
        <v>207</v>
      </c>
      <c r="D775" t="str">
        <f>_xlfn.XLOOKUP(order[[#This Row],[customer_id]],customer[customer_id],customer[customer_name])</f>
        <v>Neha Kapoor</v>
      </c>
      <c r="E775">
        <v>203</v>
      </c>
      <c r="F775">
        <v>2</v>
      </c>
      <c r="G775">
        <v>50018</v>
      </c>
      <c r="H775">
        <v>227</v>
      </c>
      <c r="I775" t="s">
        <v>13</v>
      </c>
      <c r="J775" t="s">
        <v>14</v>
      </c>
      <c r="K775" t="str">
        <f>_xlfn.XLOOKUP(order[[#This Row],[customer_id]],customer[customer_id],customer[city])</f>
        <v>Mumbai</v>
      </c>
      <c r="L775" t="str">
        <f>_xlfn.XLOOKUP(order[[#This Row],[customer_id]],customer[customer_id],customer[state])</f>
        <v>Maharashtra</v>
      </c>
      <c r="M775" t="str">
        <f>_xlfn.XLOOKUP(order[[#This Row],[product_id]],products!$A$2:$A$11,products!$B$2:$B$11)</f>
        <v>Nike Air Max Shoes</v>
      </c>
      <c r="N775" s="3" t="str">
        <f>_xlfn.XLOOKUP(order[[#This Row],[product_id]],products!$A$2:$A$11,products!$C$2:$C$11)</f>
        <v>Fashion</v>
      </c>
      <c r="O775" s="3">
        <f>_xlfn.XLOOKUP(order[[#This Row],[product_id]],Table4[product_id],Table4[cost_price])</f>
        <v>4000</v>
      </c>
      <c r="P775" s="11">
        <f>_xlfn.XLOOKUP(order[[#This Row],[order_id]],shipment[order_id],shipment[ship_date])</f>
        <v>45442</v>
      </c>
      <c r="Q775" s="11">
        <f>_xlfn.XLOOKUP(order[[#This Row],[order_id]],shipment[order_id],shipment[delivery_date])</f>
        <v>45449</v>
      </c>
      <c r="R775" s="3" t="str">
        <f>_xlfn.XLOOKUP(order[[#This Row],[order_id]],shipment[shipment_id],shipment[courier])</f>
        <v>Ekart</v>
      </c>
      <c r="S775" s="3">
        <f>order[[#This Row],[selling_price]]-order[[#This Row],[cost_price]]*order[[#This Row],[quantity]]-order[[#This Row],[discount]]</f>
        <v>41791</v>
      </c>
      <c r="T775" s="3">
        <f>order[[#This Row],[quantity]]*order[[#This Row],[selling_price]]</f>
        <v>100036</v>
      </c>
    </row>
    <row r="776" spans="1:20" x14ac:dyDescent="0.3">
      <c r="A776">
        <v>562</v>
      </c>
      <c r="B776" s="11">
        <v>45503</v>
      </c>
      <c r="C776">
        <v>246</v>
      </c>
      <c r="D776" t="str">
        <f>_xlfn.XLOOKUP(order[[#This Row],[customer_id]],customer[customer_id],customer[customer_name])</f>
        <v>Priya Reddy</v>
      </c>
      <c r="E776">
        <v>207</v>
      </c>
      <c r="F776">
        <v>4</v>
      </c>
      <c r="G776">
        <v>66723</v>
      </c>
      <c r="H776">
        <v>3891</v>
      </c>
      <c r="I776" t="s">
        <v>9</v>
      </c>
      <c r="J776" t="s">
        <v>14</v>
      </c>
      <c r="K776" t="str">
        <f>_xlfn.XLOOKUP(order[[#This Row],[customer_id]],customer[customer_id],customer[city])</f>
        <v>Pune</v>
      </c>
      <c r="L776" t="str">
        <f>_xlfn.XLOOKUP(order[[#This Row],[customer_id]],customer[customer_id],customer[state])</f>
        <v>Maharashtra</v>
      </c>
      <c r="M776" t="str">
        <f>_xlfn.XLOOKUP(order[[#This Row],[product_id]],products!$A$2:$A$11,products!$B$2:$B$11)</f>
        <v>Sony WH-1000XM4 Headphones</v>
      </c>
      <c r="N776" s="3" t="str">
        <f>_xlfn.XLOOKUP(order[[#This Row],[product_id]],products!$A$2:$A$11,products!$C$2:$C$11)</f>
        <v>Electronics</v>
      </c>
      <c r="O776" s="3">
        <f>_xlfn.XLOOKUP(order[[#This Row],[product_id]],Table4[product_id],Table4[cost_price])</f>
        <v>20000</v>
      </c>
      <c r="P776" s="11">
        <f>_xlfn.XLOOKUP(order[[#This Row],[order_id]],shipment[order_id],shipment[ship_date])</f>
        <v>45578</v>
      </c>
      <c r="Q776" s="11">
        <f>_xlfn.XLOOKUP(order[[#This Row],[order_id]],shipment[order_id],shipment[delivery_date])</f>
        <v>45586</v>
      </c>
      <c r="R776" s="3" t="str">
        <f>_xlfn.XLOOKUP(order[[#This Row],[order_id]],shipment[shipment_id],shipment[courier])</f>
        <v>BlueDart</v>
      </c>
      <c r="S776" s="3">
        <f>order[[#This Row],[selling_price]]-order[[#This Row],[cost_price]]*order[[#This Row],[quantity]]-order[[#This Row],[discount]]</f>
        <v>-17168</v>
      </c>
      <c r="T776" s="3">
        <f>order[[#This Row],[quantity]]*order[[#This Row],[selling_price]]</f>
        <v>266892</v>
      </c>
    </row>
    <row r="777" spans="1:20" x14ac:dyDescent="0.3">
      <c r="A777">
        <v>776</v>
      </c>
      <c r="B777" s="11">
        <v>45388</v>
      </c>
      <c r="C777">
        <v>194</v>
      </c>
      <c r="D777" t="str">
        <f>_xlfn.XLOOKUP(order[[#This Row],[customer_id]],customer[customer_id],customer[customer_name])</f>
        <v>Neha Kapoor</v>
      </c>
      <c r="E777">
        <v>206</v>
      </c>
      <c r="F777">
        <v>2</v>
      </c>
      <c r="G777">
        <v>53581</v>
      </c>
      <c r="H777">
        <v>1724</v>
      </c>
      <c r="I777" t="s">
        <v>11</v>
      </c>
      <c r="J777" t="s">
        <v>12</v>
      </c>
      <c r="K777" t="str">
        <f>_xlfn.XLOOKUP(order[[#This Row],[customer_id]],customer[customer_id],customer[city])</f>
        <v>Delhi</v>
      </c>
      <c r="L777" t="str">
        <f>_xlfn.XLOOKUP(order[[#This Row],[customer_id]],customer[customer_id],customer[state])</f>
        <v>Delhi</v>
      </c>
      <c r="M777" t="str">
        <f>_xlfn.XLOOKUP(order[[#This Row],[product_id]],products!$A$2:$A$11,products!$B$2:$B$11)</f>
        <v>Philips Air Fryer</v>
      </c>
      <c r="N777" s="3" t="str">
        <f>_xlfn.XLOOKUP(order[[#This Row],[product_id]],products!$A$2:$A$11,products!$C$2:$C$11)</f>
        <v>Home &amp; Kitchen</v>
      </c>
      <c r="O777" s="3">
        <f>_xlfn.XLOOKUP(order[[#This Row],[product_id]],Table4[product_id],Table4[cost_price])</f>
        <v>7000</v>
      </c>
      <c r="P777" s="11">
        <f>_xlfn.XLOOKUP(order[[#This Row],[order_id]],shipment[order_id],shipment[ship_date])</f>
        <v>45390</v>
      </c>
      <c r="Q777" s="11">
        <f>_xlfn.XLOOKUP(order[[#This Row],[order_id]],shipment[order_id],shipment[delivery_date])</f>
        <v>45394</v>
      </c>
      <c r="R777" s="3" t="str">
        <f>_xlfn.XLOOKUP(order[[#This Row],[order_id]],shipment[shipment_id],shipment[courier])</f>
        <v>DTDC</v>
      </c>
      <c r="S777" s="3">
        <f>order[[#This Row],[selling_price]]-order[[#This Row],[cost_price]]*order[[#This Row],[quantity]]-order[[#This Row],[discount]]</f>
        <v>37857</v>
      </c>
      <c r="T777" s="3">
        <f>order[[#This Row],[quantity]]*order[[#This Row],[selling_price]]</f>
        <v>107162</v>
      </c>
    </row>
    <row r="778" spans="1:20" x14ac:dyDescent="0.3">
      <c r="A778">
        <v>777</v>
      </c>
      <c r="B778" s="11">
        <v>45338</v>
      </c>
      <c r="C778">
        <v>299</v>
      </c>
      <c r="D778" t="str">
        <f>_xlfn.XLOOKUP(order[[#This Row],[customer_id]],customer[customer_id],customer[customer_name])</f>
        <v>Sneha Iyer</v>
      </c>
      <c r="E778">
        <v>209</v>
      </c>
      <c r="F778">
        <v>2</v>
      </c>
      <c r="G778">
        <v>15899</v>
      </c>
      <c r="H778">
        <v>2109</v>
      </c>
      <c r="I778" t="s">
        <v>9</v>
      </c>
      <c r="J778" t="s">
        <v>14</v>
      </c>
      <c r="K778" t="str">
        <f>_xlfn.XLOOKUP(order[[#This Row],[customer_id]],customer[customer_id],customer[city])</f>
        <v>Hyderabad</v>
      </c>
      <c r="L778" t="str">
        <f>_xlfn.XLOOKUP(order[[#This Row],[customer_id]],customer[customer_id],customer[state])</f>
        <v>Telangana</v>
      </c>
      <c r="M778" t="str">
        <f>_xlfn.XLOOKUP(order[[#This Row],[product_id]],products!$A$2:$A$11,products!$B$2:$B$11)</f>
        <v>Milton Thermosteel Bottle</v>
      </c>
      <c r="N778" s="3" t="str">
        <f>_xlfn.XLOOKUP(order[[#This Row],[product_id]],products!$A$2:$A$11,products!$C$2:$C$11)</f>
        <v>Home &amp; Kitchen</v>
      </c>
      <c r="O778" s="3">
        <f>_xlfn.XLOOKUP(order[[#This Row],[product_id]],Table4[product_id],Table4[cost_price])</f>
        <v>800</v>
      </c>
      <c r="P778" s="11">
        <f>_xlfn.XLOOKUP(order[[#This Row],[order_id]],shipment[order_id],shipment[ship_date])</f>
        <v>45649</v>
      </c>
      <c r="Q778" s="11">
        <f>_xlfn.XLOOKUP(order[[#This Row],[order_id]],shipment[order_id],shipment[delivery_date])</f>
        <v>45658</v>
      </c>
      <c r="R778" s="3" t="str">
        <f>_xlfn.XLOOKUP(order[[#This Row],[order_id]],shipment[shipment_id],shipment[courier])</f>
        <v>DTDC</v>
      </c>
      <c r="S778" s="3">
        <f>order[[#This Row],[selling_price]]-order[[#This Row],[cost_price]]*order[[#This Row],[quantity]]-order[[#This Row],[discount]]</f>
        <v>12190</v>
      </c>
      <c r="T778" s="3">
        <f>order[[#This Row],[quantity]]*order[[#This Row],[selling_price]]</f>
        <v>31798</v>
      </c>
    </row>
    <row r="779" spans="1:20" x14ac:dyDescent="0.3">
      <c r="A779">
        <v>778</v>
      </c>
      <c r="B779" s="11">
        <v>45521</v>
      </c>
      <c r="C779">
        <v>195</v>
      </c>
      <c r="D779" t="str">
        <f>_xlfn.XLOOKUP(order[[#This Row],[customer_id]],customer[customer_id],customer[customer_name])</f>
        <v>Rahul Mehta</v>
      </c>
      <c r="E779">
        <v>204</v>
      </c>
      <c r="F779">
        <v>1</v>
      </c>
      <c r="G779">
        <v>67968</v>
      </c>
      <c r="H779">
        <v>3341</v>
      </c>
      <c r="I779" t="s">
        <v>13</v>
      </c>
      <c r="J779" t="s">
        <v>10</v>
      </c>
      <c r="K779" t="str">
        <f>_xlfn.XLOOKUP(order[[#This Row],[customer_id]],customer[customer_id],customer[city])</f>
        <v>Bangalore</v>
      </c>
      <c r="L779" t="str">
        <f>_xlfn.XLOOKUP(order[[#This Row],[customer_id]],customer[customer_id],customer[state])</f>
        <v>Karnataka</v>
      </c>
      <c r="M779" t="str">
        <f>_xlfn.XLOOKUP(order[[#This Row],[product_id]],products!$A$2:$A$11,products!$B$2:$B$11)</f>
        <v>Levi's Slim Fit Jeans</v>
      </c>
      <c r="N779" s="3" t="str">
        <f>_xlfn.XLOOKUP(order[[#This Row],[product_id]],products!$A$2:$A$11,products!$C$2:$C$11)</f>
        <v>Fashion</v>
      </c>
      <c r="O779" s="3">
        <f>_xlfn.XLOOKUP(order[[#This Row],[product_id]],Table4[product_id],Table4[cost_price])</f>
        <v>1800</v>
      </c>
      <c r="P779" s="11">
        <f>_xlfn.XLOOKUP(order[[#This Row],[order_id]],shipment[order_id],shipment[ship_date])</f>
        <v>45380</v>
      </c>
      <c r="Q779" s="11">
        <f>_xlfn.XLOOKUP(order[[#This Row],[order_id]],shipment[order_id],shipment[delivery_date])</f>
        <v>45386</v>
      </c>
      <c r="R779" s="3" t="str">
        <f>_xlfn.XLOOKUP(order[[#This Row],[order_id]],shipment[shipment_id],shipment[courier])</f>
        <v>Ekart</v>
      </c>
      <c r="S779" s="3">
        <f>order[[#This Row],[selling_price]]-order[[#This Row],[cost_price]]*order[[#This Row],[quantity]]-order[[#This Row],[discount]]</f>
        <v>62827</v>
      </c>
      <c r="T779" s="3">
        <f>order[[#This Row],[quantity]]*order[[#This Row],[selling_price]]</f>
        <v>67968</v>
      </c>
    </row>
    <row r="780" spans="1:20" x14ac:dyDescent="0.3">
      <c r="A780">
        <v>779</v>
      </c>
      <c r="B780" s="11">
        <v>45526</v>
      </c>
      <c r="C780">
        <v>107</v>
      </c>
      <c r="D780" t="str">
        <f>_xlfn.XLOOKUP(order[[#This Row],[customer_id]],customer[customer_id],customer[customer_name])</f>
        <v>Pooja Nair</v>
      </c>
      <c r="E780">
        <v>202</v>
      </c>
      <c r="F780">
        <v>1</v>
      </c>
      <c r="G780">
        <v>47284</v>
      </c>
      <c r="H780">
        <v>962</v>
      </c>
      <c r="I780" t="s">
        <v>15</v>
      </c>
      <c r="J780" t="s">
        <v>14</v>
      </c>
      <c r="K780" t="str">
        <f>_xlfn.XLOOKUP(order[[#This Row],[customer_id]],customer[customer_id],customer[city])</f>
        <v>Pune</v>
      </c>
      <c r="L780" t="str">
        <f>_xlfn.XLOOKUP(order[[#This Row],[customer_id]],customer[customer_id],customer[state])</f>
        <v>Maharashtra</v>
      </c>
      <c r="M780" t="str">
        <f>_xlfn.XLOOKUP(order[[#This Row],[product_id]],products!$A$2:$A$11,products!$B$2:$B$11)</f>
        <v>Samsung Galaxy S21</v>
      </c>
      <c r="N780" s="3" t="str">
        <f>_xlfn.XLOOKUP(order[[#This Row],[product_id]],products!$A$2:$A$11,products!$C$2:$C$11)</f>
        <v>Electronics</v>
      </c>
      <c r="O780" s="3">
        <f>_xlfn.XLOOKUP(order[[#This Row],[product_id]],Table4[product_id],Table4[cost_price])</f>
        <v>45000</v>
      </c>
      <c r="P780" s="11">
        <f>_xlfn.XLOOKUP(order[[#This Row],[order_id]],shipment[order_id],shipment[ship_date])</f>
        <v>45434</v>
      </c>
      <c r="Q780" s="11">
        <f>_xlfn.XLOOKUP(order[[#This Row],[order_id]],shipment[order_id],shipment[delivery_date])</f>
        <v>45440</v>
      </c>
      <c r="R780" s="3" t="str">
        <f>_xlfn.XLOOKUP(order[[#This Row],[order_id]],shipment[shipment_id],shipment[courier])</f>
        <v>Ekart</v>
      </c>
      <c r="S780" s="3">
        <f>order[[#This Row],[selling_price]]-order[[#This Row],[cost_price]]*order[[#This Row],[quantity]]-order[[#This Row],[discount]]</f>
        <v>1322</v>
      </c>
      <c r="T780" s="3">
        <f>order[[#This Row],[quantity]]*order[[#This Row],[selling_price]]</f>
        <v>47284</v>
      </c>
    </row>
    <row r="781" spans="1:20" x14ac:dyDescent="0.3">
      <c r="A781">
        <v>763</v>
      </c>
      <c r="B781" s="11">
        <v>45326</v>
      </c>
      <c r="C781">
        <v>155</v>
      </c>
      <c r="D781" t="str">
        <f>_xlfn.XLOOKUP(order[[#This Row],[customer_id]],customer[customer_id],customer[customer_name])</f>
        <v>Siddharth Jain</v>
      </c>
      <c r="E781">
        <v>207</v>
      </c>
      <c r="F781">
        <v>4</v>
      </c>
      <c r="G781">
        <v>3812</v>
      </c>
      <c r="H781">
        <v>3885</v>
      </c>
      <c r="I781" t="s">
        <v>15</v>
      </c>
      <c r="J781" t="s">
        <v>12</v>
      </c>
      <c r="K781" t="str">
        <f>_xlfn.XLOOKUP(order[[#This Row],[customer_id]],customer[customer_id],customer[city])</f>
        <v>Pune</v>
      </c>
      <c r="L781" t="str">
        <f>_xlfn.XLOOKUP(order[[#This Row],[customer_id]],customer[customer_id],customer[state])</f>
        <v>Maharashtra</v>
      </c>
      <c r="M781" t="str">
        <f>_xlfn.XLOOKUP(order[[#This Row],[product_id]],products!$A$2:$A$11,products!$B$2:$B$11)</f>
        <v>Sony WH-1000XM4 Headphones</v>
      </c>
      <c r="N781" s="3" t="str">
        <f>_xlfn.XLOOKUP(order[[#This Row],[product_id]],products!$A$2:$A$11,products!$C$2:$C$11)</f>
        <v>Electronics</v>
      </c>
      <c r="O781" s="3">
        <f>_xlfn.XLOOKUP(order[[#This Row],[product_id]],Table4[product_id],Table4[cost_price])</f>
        <v>20000</v>
      </c>
      <c r="P781" s="11">
        <f>_xlfn.XLOOKUP(order[[#This Row],[order_id]],shipment[order_id],shipment[ship_date])</f>
        <v>45544</v>
      </c>
      <c r="Q781" s="11">
        <f>_xlfn.XLOOKUP(order[[#This Row],[order_id]],shipment[order_id],shipment[delivery_date])</f>
        <v>45548</v>
      </c>
      <c r="R781" s="3" t="str">
        <f>_xlfn.XLOOKUP(order[[#This Row],[order_id]],shipment[shipment_id],shipment[courier])</f>
        <v>Delhivery</v>
      </c>
      <c r="S781" s="3">
        <f>order[[#This Row],[selling_price]]-order[[#This Row],[cost_price]]*order[[#This Row],[quantity]]-order[[#This Row],[discount]]</f>
        <v>-80073</v>
      </c>
      <c r="T781" s="3">
        <f>order[[#This Row],[quantity]]*order[[#This Row],[selling_price]]</f>
        <v>15248</v>
      </c>
    </row>
    <row r="782" spans="1:20" x14ac:dyDescent="0.3">
      <c r="A782">
        <v>604</v>
      </c>
      <c r="B782" s="11">
        <v>45383</v>
      </c>
      <c r="C782">
        <v>247</v>
      </c>
      <c r="D782" t="str">
        <f>_xlfn.XLOOKUP(order[[#This Row],[customer_id]],customer[customer_id],customer[customer_name])</f>
        <v>Pooja Nair</v>
      </c>
      <c r="E782">
        <v>207</v>
      </c>
      <c r="F782">
        <v>1</v>
      </c>
      <c r="G782">
        <v>11490</v>
      </c>
      <c r="H782">
        <v>3861</v>
      </c>
      <c r="I782" t="s">
        <v>13</v>
      </c>
      <c r="J782" t="s">
        <v>10</v>
      </c>
      <c r="K782" t="str">
        <f>_xlfn.XLOOKUP(order[[#This Row],[customer_id]],customer[customer_id],customer[city])</f>
        <v>Pune</v>
      </c>
      <c r="L782" t="str">
        <f>_xlfn.XLOOKUP(order[[#This Row],[customer_id]],customer[customer_id],customer[state])</f>
        <v>Maharashtra</v>
      </c>
      <c r="M782" t="str">
        <f>_xlfn.XLOOKUP(order[[#This Row],[product_id]],products!$A$2:$A$11,products!$B$2:$B$11)</f>
        <v>Sony WH-1000XM4 Headphones</v>
      </c>
      <c r="N782" s="3" t="str">
        <f>_xlfn.XLOOKUP(order[[#This Row],[product_id]],products!$A$2:$A$11,products!$C$2:$C$11)</f>
        <v>Electronics</v>
      </c>
      <c r="O782" s="3">
        <f>_xlfn.XLOOKUP(order[[#This Row],[product_id]],Table4[product_id],Table4[cost_price])</f>
        <v>20000</v>
      </c>
      <c r="P782" s="11">
        <f>_xlfn.XLOOKUP(order[[#This Row],[order_id]],shipment[order_id],shipment[ship_date])</f>
        <v>45350</v>
      </c>
      <c r="Q782" s="11">
        <f>_xlfn.XLOOKUP(order[[#This Row],[order_id]],shipment[order_id],shipment[delivery_date])</f>
        <v>45356</v>
      </c>
      <c r="R782" s="3" t="str">
        <f>_xlfn.XLOOKUP(order[[#This Row],[order_id]],shipment[shipment_id],shipment[courier])</f>
        <v>Delhivery</v>
      </c>
      <c r="S782" s="3">
        <f>order[[#This Row],[selling_price]]-order[[#This Row],[cost_price]]*order[[#This Row],[quantity]]-order[[#This Row],[discount]]</f>
        <v>-12371</v>
      </c>
      <c r="T782" s="3">
        <f>order[[#This Row],[quantity]]*order[[#This Row],[selling_price]]</f>
        <v>11490</v>
      </c>
    </row>
    <row r="783" spans="1:20" x14ac:dyDescent="0.3">
      <c r="A783">
        <v>524</v>
      </c>
      <c r="B783" s="11">
        <v>45373</v>
      </c>
      <c r="C783">
        <v>264</v>
      </c>
      <c r="D783" t="str">
        <f>_xlfn.XLOOKUP(order[[#This Row],[customer_id]],customer[customer_id],customer[customer_name])</f>
        <v>Ishita Bose</v>
      </c>
      <c r="E783">
        <v>207</v>
      </c>
      <c r="F783">
        <v>4</v>
      </c>
      <c r="G783">
        <v>57139</v>
      </c>
      <c r="H783">
        <v>3756</v>
      </c>
      <c r="I783" t="s">
        <v>13</v>
      </c>
      <c r="J783" t="s">
        <v>10</v>
      </c>
      <c r="K783" t="str">
        <f>_xlfn.XLOOKUP(order[[#This Row],[customer_id]],customer[customer_id],customer[city])</f>
        <v>Delhi</v>
      </c>
      <c r="L783" t="str">
        <f>_xlfn.XLOOKUP(order[[#This Row],[customer_id]],customer[customer_id],customer[state])</f>
        <v>Delhi</v>
      </c>
      <c r="M783" t="str">
        <f>_xlfn.XLOOKUP(order[[#This Row],[product_id]],products!$A$2:$A$11,products!$B$2:$B$11)</f>
        <v>Sony WH-1000XM4 Headphones</v>
      </c>
      <c r="N783" s="3" t="str">
        <f>_xlfn.XLOOKUP(order[[#This Row],[product_id]],products!$A$2:$A$11,products!$C$2:$C$11)</f>
        <v>Electronics</v>
      </c>
      <c r="O783" s="3">
        <f>_xlfn.XLOOKUP(order[[#This Row],[product_id]],Table4[product_id],Table4[cost_price])</f>
        <v>20000</v>
      </c>
      <c r="P783" s="11">
        <f>_xlfn.XLOOKUP(order[[#This Row],[order_id]],shipment[order_id],shipment[ship_date])</f>
        <v>45609</v>
      </c>
      <c r="Q783" s="11">
        <f>_xlfn.XLOOKUP(order[[#This Row],[order_id]],shipment[order_id],shipment[delivery_date])</f>
        <v>45615</v>
      </c>
      <c r="R783" s="3" t="str">
        <f>_xlfn.XLOOKUP(order[[#This Row],[order_id]],shipment[shipment_id],shipment[courier])</f>
        <v>DTDC</v>
      </c>
      <c r="S783" s="3">
        <f>order[[#This Row],[selling_price]]-order[[#This Row],[cost_price]]*order[[#This Row],[quantity]]-order[[#This Row],[discount]]</f>
        <v>-26617</v>
      </c>
      <c r="T783" s="3">
        <f>order[[#This Row],[quantity]]*order[[#This Row],[selling_price]]</f>
        <v>228556</v>
      </c>
    </row>
    <row r="784" spans="1:20" x14ac:dyDescent="0.3">
      <c r="A784">
        <v>783</v>
      </c>
      <c r="B784" s="11">
        <v>45487</v>
      </c>
      <c r="C784">
        <v>228</v>
      </c>
      <c r="D784" t="str">
        <f>_xlfn.XLOOKUP(order[[#This Row],[customer_id]],customer[customer_id],customer[customer_name])</f>
        <v>Priya Reddy</v>
      </c>
      <c r="E784">
        <v>203</v>
      </c>
      <c r="F784">
        <v>2</v>
      </c>
      <c r="G784">
        <v>35985</v>
      </c>
      <c r="H784">
        <v>1429</v>
      </c>
      <c r="I784" t="s">
        <v>15</v>
      </c>
      <c r="J784" t="s">
        <v>12</v>
      </c>
      <c r="K784" t="str">
        <f>_xlfn.XLOOKUP(order[[#This Row],[customer_id]],customer[customer_id],customer[city])</f>
        <v>Chennai</v>
      </c>
      <c r="L784" t="str">
        <f>_xlfn.XLOOKUP(order[[#This Row],[customer_id]],customer[customer_id],customer[state])</f>
        <v>Tamil Nadu</v>
      </c>
      <c r="M784" t="str">
        <f>_xlfn.XLOOKUP(order[[#This Row],[product_id]],products!$A$2:$A$11,products!$B$2:$B$11)</f>
        <v>Nike Air Max Shoes</v>
      </c>
      <c r="N784" s="3" t="str">
        <f>_xlfn.XLOOKUP(order[[#This Row],[product_id]],products!$A$2:$A$11,products!$C$2:$C$11)</f>
        <v>Fashion</v>
      </c>
      <c r="O784" s="3">
        <f>_xlfn.XLOOKUP(order[[#This Row],[product_id]],Table4[product_id],Table4[cost_price])</f>
        <v>4000</v>
      </c>
      <c r="P784" s="11">
        <f>_xlfn.XLOOKUP(order[[#This Row],[order_id]],shipment[order_id],shipment[ship_date])</f>
        <v>45322</v>
      </c>
      <c r="Q784" s="11">
        <f>_xlfn.XLOOKUP(order[[#This Row],[order_id]],shipment[order_id],shipment[delivery_date])</f>
        <v>45328</v>
      </c>
      <c r="R784" s="3" t="str">
        <f>_xlfn.XLOOKUP(order[[#This Row],[order_id]],shipment[shipment_id],shipment[courier])</f>
        <v>Delhivery</v>
      </c>
      <c r="S784" s="3">
        <f>order[[#This Row],[selling_price]]-order[[#This Row],[cost_price]]*order[[#This Row],[quantity]]-order[[#This Row],[discount]]</f>
        <v>26556</v>
      </c>
      <c r="T784" s="3">
        <f>order[[#This Row],[quantity]]*order[[#This Row],[selling_price]]</f>
        <v>71970</v>
      </c>
    </row>
    <row r="785" spans="1:20" x14ac:dyDescent="0.3">
      <c r="A785">
        <v>1003</v>
      </c>
      <c r="B785" s="11">
        <v>45597</v>
      </c>
      <c r="C785">
        <v>266</v>
      </c>
      <c r="D785" t="str">
        <f>_xlfn.XLOOKUP(order[[#This Row],[customer_id]],customer[customer_id],customer[customer_name])</f>
        <v>Karan Patel</v>
      </c>
      <c r="E785">
        <v>207</v>
      </c>
      <c r="F785">
        <v>4</v>
      </c>
      <c r="G785">
        <v>18212</v>
      </c>
      <c r="H785">
        <v>3741</v>
      </c>
      <c r="I785" t="s">
        <v>15</v>
      </c>
      <c r="J785" t="s">
        <v>10</v>
      </c>
      <c r="K785" t="str">
        <f>_xlfn.XLOOKUP(order[[#This Row],[customer_id]],customer[customer_id],customer[city])</f>
        <v>Chennai</v>
      </c>
      <c r="L785" t="str">
        <f>_xlfn.XLOOKUP(order[[#This Row],[customer_id]],customer[customer_id],customer[state])</f>
        <v>Tamil Nadu</v>
      </c>
      <c r="M785" t="str">
        <f>_xlfn.XLOOKUP(order[[#This Row],[product_id]],products!$A$2:$A$11,products!$B$2:$B$11)</f>
        <v>Sony WH-1000XM4 Headphones</v>
      </c>
      <c r="N785" s="3" t="str">
        <f>_xlfn.XLOOKUP(order[[#This Row],[product_id]],products!$A$2:$A$11,products!$C$2:$C$11)</f>
        <v>Electronics</v>
      </c>
      <c r="O785" s="3">
        <f>_xlfn.XLOOKUP(order[[#This Row],[product_id]],Table4[product_id],Table4[cost_price])</f>
        <v>20000</v>
      </c>
      <c r="P785" s="11">
        <f>_xlfn.XLOOKUP(order[[#This Row],[order_id]],shipment[order_id],shipment[ship_date])</f>
        <v>45372</v>
      </c>
      <c r="Q785" s="11">
        <f>_xlfn.XLOOKUP(order[[#This Row],[order_id]],shipment[order_id],shipment[delivery_date])</f>
        <v>45377</v>
      </c>
      <c r="R785" s="3" t="str">
        <f>_xlfn.XLOOKUP(order[[#This Row],[order_id]],shipment[shipment_id],shipment[courier])</f>
        <v>BlueDart</v>
      </c>
      <c r="S785" s="3">
        <f>order[[#This Row],[selling_price]]-order[[#This Row],[cost_price]]*order[[#This Row],[quantity]]-order[[#This Row],[discount]]</f>
        <v>-65529</v>
      </c>
      <c r="T785" s="3">
        <f>order[[#This Row],[quantity]]*order[[#This Row],[selling_price]]</f>
        <v>72848</v>
      </c>
    </row>
    <row r="786" spans="1:20" x14ac:dyDescent="0.3">
      <c r="A786">
        <v>537</v>
      </c>
      <c r="B786" s="11">
        <v>45409</v>
      </c>
      <c r="C786">
        <v>276</v>
      </c>
      <c r="D786" t="str">
        <f>_xlfn.XLOOKUP(order[[#This Row],[customer_id]],customer[customer_id],customer[customer_name])</f>
        <v>Sneha Iyer</v>
      </c>
      <c r="E786">
        <v>207</v>
      </c>
      <c r="F786">
        <v>3</v>
      </c>
      <c r="G786">
        <v>22394</v>
      </c>
      <c r="H786">
        <v>3690</v>
      </c>
      <c r="I786" t="s">
        <v>15</v>
      </c>
      <c r="J786" t="s">
        <v>12</v>
      </c>
      <c r="K786" t="str">
        <f>_xlfn.XLOOKUP(order[[#This Row],[customer_id]],customer[customer_id],customer[city])</f>
        <v>Chennai</v>
      </c>
      <c r="L786" t="str">
        <f>_xlfn.XLOOKUP(order[[#This Row],[customer_id]],customer[customer_id],customer[state])</f>
        <v>Tamil Nadu</v>
      </c>
      <c r="M786" t="str">
        <f>_xlfn.XLOOKUP(order[[#This Row],[product_id]],products!$A$2:$A$11,products!$B$2:$B$11)</f>
        <v>Sony WH-1000XM4 Headphones</v>
      </c>
      <c r="N786" s="3" t="str">
        <f>_xlfn.XLOOKUP(order[[#This Row],[product_id]],products!$A$2:$A$11,products!$C$2:$C$11)</f>
        <v>Electronics</v>
      </c>
      <c r="O786" s="3">
        <f>_xlfn.XLOOKUP(order[[#This Row],[product_id]],Table4[product_id],Table4[cost_price])</f>
        <v>20000</v>
      </c>
      <c r="P786" s="11">
        <f>_xlfn.XLOOKUP(order[[#This Row],[order_id]],shipment[order_id],shipment[ship_date])</f>
        <v>45294</v>
      </c>
      <c r="Q786" s="11">
        <f>_xlfn.XLOOKUP(order[[#This Row],[order_id]],shipment[order_id],shipment[delivery_date])</f>
        <v>45301</v>
      </c>
      <c r="R786" s="3" t="str">
        <f>_xlfn.XLOOKUP(order[[#This Row],[order_id]],shipment[shipment_id],shipment[courier])</f>
        <v>DTDC</v>
      </c>
      <c r="S786" s="3">
        <f>order[[#This Row],[selling_price]]-order[[#This Row],[cost_price]]*order[[#This Row],[quantity]]-order[[#This Row],[discount]]</f>
        <v>-41296</v>
      </c>
      <c r="T786" s="3">
        <f>order[[#This Row],[quantity]]*order[[#This Row],[selling_price]]</f>
        <v>67182</v>
      </c>
    </row>
    <row r="787" spans="1:20" x14ac:dyDescent="0.3">
      <c r="A787">
        <v>786</v>
      </c>
      <c r="B787" s="11">
        <v>45515</v>
      </c>
      <c r="C787">
        <v>217</v>
      </c>
      <c r="D787" t="str">
        <f>_xlfn.XLOOKUP(order[[#This Row],[customer_id]],customer[customer_id],customer[customer_name])</f>
        <v>Rahul Mehta</v>
      </c>
      <c r="E787">
        <v>207</v>
      </c>
      <c r="F787">
        <v>1</v>
      </c>
      <c r="G787">
        <v>45768</v>
      </c>
      <c r="H787">
        <v>155</v>
      </c>
      <c r="I787" t="s">
        <v>11</v>
      </c>
      <c r="J787" t="s">
        <v>10</v>
      </c>
      <c r="K787" t="str">
        <f>_xlfn.XLOOKUP(order[[#This Row],[customer_id]],customer[customer_id],customer[city])</f>
        <v>Delhi</v>
      </c>
      <c r="L787" t="str">
        <f>_xlfn.XLOOKUP(order[[#This Row],[customer_id]],customer[customer_id],customer[state])</f>
        <v>Delhi</v>
      </c>
      <c r="M787" t="str">
        <f>_xlfn.XLOOKUP(order[[#This Row],[product_id]],products!$A$2:$A$11,products!$B$2:$B$11)</f>
        <v>Sony WH-1000XM4 Headphones</v>
      </c>
      <c r="N787" s="3" t="str">
        <f>_xlfn.XLOOKUP(order[[#This Row],[product_id]],products!$A$2:$A$11,products!$C$2:$C$11)</f>
        <v>Electronics</v>
      </c>
      <c r="O787" s="3">
        <f>_xlfn.XLOOKUP(order[[#This Row],[product_id]],Table4[product_id],Table4[cost_price])</f>
        <v>20000</v>
      </c>
      <c r="P787" s="11">
        <f>_xlfn.XLOOKUP(order[[#This Row],[order_id]],shipment[order_id],shipment[ship_date])</f>
        <v>45294</v>
      </c>
      <c r="Q787" s="11">
        <f>_xlfn.XLOOKUP(order[[#This Row],[order_id]],shipment[order_id],shipment[delivery_date])</f>
        <v>45301</v>
      </c>
      <c r="R787" s="3" t="str">
        <f>_xlfn.XLOOKUP(order[[#This Row],[order_id]],shipment[shipment_id],shipment[courier])</f>
        <v>DTDC</v>
      </c>
      <c r="S787" s="3">
        <f>order[[#This Row],[selling_price]]-order[[#This Row],[cost_price]]*order[[#This Row],[quantity]]-order[[#This Row],[discount]]</f>
        <v>25613</v>
      </c>
      <c r="T787" s="3">
        <f>order[[#This Row],[quantity]]*order[[#This Row],[selling_price]]</f>
        <v>45768</v>
      </c>
    </row>
    <row r="788" spans="1:20" x14ac:dyDescent="0.3">
      <c r="A788">
        <v>787</v>
      </c>
      <c r="B788" s="11">
        <v>45473</v>
      </c>
      <c r="C788">
        <v>245</v>
      </c>
      <c r="D788" t="str">
        <f>_xlfn.XLOOKUP(order[[#This Row],[customer_id]],customer[customer_id],customer[customer_name])</f>
        <v>Rahul Mehta</v>
      </c>
      <c r="E788">
        <v>204</v>
      </c>
      <c r="F788">
        <v>4</v>
      </c>
      <c r="G788">
        <v>47208</v>
      </c>
      <c r="H788">
        <v>4775</v>
      </c>
      <c r="I788" t="s">
        <v>15</v>
      </c>
      <c r="J788" t="s">
        <v>14</v>
      </c>
      <c r="K788" t="str">
        <f>_xlfn.XLOOKUP(order[[#This Row],[customer_id]],customer[customer_id],customer[city])</f>
        <v>Chennai</v>
      </c>
      <c r="L788" t="str">
        <f>_xlfn.XLOOKUP(order[[#This Row],[customer_id]],customer[customer_id],customer[state])</f>
        <v>Tamil Nadu</v>
      </c>
      <c r="M788" t="str">
        <f>_xlfn.XLOOKUP(order[[#This Row],[product_id]],products!$A$2:$A$11,products!$B$2:$B$11)</f>
        <v>Levi's Slim Fit Jeans</v>
      </c>
      <c r="N788" s="3" t="str">
        <f>_xlfn.XLOOKUP(order[[#This Row],[product_id]],products!$A$2:$A$11,products!$C$2:$C$11)</f>
        <v>Fashion</v>
      </c>
      <c r="O788" s="3">
        <f>_xlfn.XLOOKUP(order[[#This Row],[product_id]],Table4[product_id],Table4[cost_price])</f>
        <v>1800</v>
      </c>
      <c r="P788" s="11">
        <f>_xlfn.XLOOKUP(order[[#This Row],[order_id]],shipment[order_id],shipment[ship_date])</f>
        <v>45381</v>
      </c>
      <c r="Q788" s="11">
        <f>_xlfn.XLOOKUP(order[[#This Row],[order_id]],shipment[order_id],shipment[delivery_date])</f>
        <v>45382</v>
      </c>
      <c r="R788" s="3" t="str">
        <f>_xlfn.XLOOKUP(order[[#This Row],[order_id]],shipment[shipment_id],shipment[courier])</f>
        <v>Delhivery</v>
      </c>
      <c r="S788" s="3">
        <f>order[[#This Row],[selling_price]]-order[[#This Row],[cost_price]]*order[[#This Row],[quantity]]-order[[#This Row],[discount]]</f>
        <v>35233</v>
      </c>
      <c r="T788" s="3">
        <f>order[[#This Row],[quantity]]*order[[#This Row],[selling_price]]</f>
        <v>188832</v>
      </c>
    </row>
    <row r="789" spans="1:20" x14ac:dyDescent="0.3">
      <c r="A789">
        <v>788</v>
      </c>
      <c r="B789" s="11">
        <v>45448</v>
      </c>
      <c r="C789">
        <v>255</v>
      </c>
      <c r="D789" t="str">
        <f>_xlfn.XLOOKUP(order[[#This Row],[customer_id]],customer[customer_id],customer[customer_name])</f>
        <v>Meera Joshi</v>
      </c>
      <c r="E789">
        <v>205</v>
      </c>
      <c r="F789">
        <v>1</v>
      </c>
      <c r="G789">
        <v>39416</v>
      </c>
      <c r="H789">
        <v>3053</v>
      </c>
      <c r="I789" t="s">
        <v>13</v>
      </c>
      <c r="J789" t="s">
        <v>12</v>
      </c>
      <c r="K789" t="str">
        <f>_xlfn.XLOOKUP(order[[#This Row],[customer_id]],customer[customer_id],customer[city])</f>
        <v>Ahmedabad</v>
      </c>
      <c r="L789" t="str">
        <f>_xlfn.XLOOKUP(order[[#This Row],[customer_id]],customer[customer_id],customer[state])</f>
        <v>Gujarat</v>
      </c>
      <c r="M789" t="str">
        <f>_xlfn.XLOOKUP(order[[#This Row],[product_id]],products!$A$2:$A$11,products!$B$2:$B$11)</f>
        <v>Prestige Pressure Cooker 5L</v>
      </c>
      <c r="N789" s="3" t="str">
        <f>_xlfn.XLOOKUP(order[[#This Row],[product_id]],products!$A$2:$A$11,products!$C$2:$C$11)</f>
        <v>Home &amp; Kitchen</v>
      </c>
      <c r="O789" s="3">
        <f>_xlfn.XLOOKUP(order[[#This Row],[product_id]],Table4[product_id],Table4[cost_price])</f>
        <v>1200</v>
      </c>
      <c r="P789" s="11">
        <f>_xlfn.XLOOKUP(order[[#This Row],[order_id]],shipment[order_id],shipment[ship_date])</f>
        <v>45440</v>
      </c>
      <c r="Q789" s="11">
        <f>_xlfn.XLOOKUP(order[[#This Row],[order_id]],shipment[order_id],shipment[delivery_date])</f>
        <v>45445</v>
      </c>
      <c r="R789" s="3" t="str">
        <f>_xlfn.XLOOKUP(order[[#This Row],[order_id]],shipment[shipment_id],shipment[courier])</f>
        <v>Delhivery</v>
      </c>
      <c r="S789" s="3">
        <f>order[[#This Row],[selling_price]]-order[[#This Row],[cost_price]]*order[[#This Row],[quantity]]-order[[#This Row],[discount]]</f>
        <v>35163</v>
      </c>
      <c r="T789" s="3">
        <f>order[[#This Row],[quantity]]*order[[#This Row],[selling_price]]</f>
        <v>39416</v>
      </c>
    </row>
    <row r="790" spans="1:20" x14ac:dyDescent="0.3">
      <c r="A790">
        <v>789</v>
      </c>
      <c r="B790" s="11">
        <v>45500</v>
      </c>
      <c r="C790">
        <v>255</v>
      </c>
      <c r="D790" t="str">
        <f>_xlfn.XLOOKUP(order[[#This Row],[customer_id]],customer[customer_id],customer[customer_name])</f>
        <v>Meera Joshi</v>
      </c>
      <c r="E790">
        <v>206</v>
      </c>
      <c r="F790">
        <v>1</v>
      </c>
      <c r="G790">
        <v>21207</v>
      </c>
      <c r="H790">
        <v>537</v>
      </c>
      <c r="I790" t="s">
        <v>11</v>
      </c>
      <c r="J790" t="s">
        <v>10</v>
      </c>
      <c r="K790" t="str">
        <f>_xlfn.XLOOKUP(order[[#This Row],[customer_id]],customer[customer_id],customer[city])</f>
        <v>Ahmedabad</v>
      </c>
      <c r="L790" t="str">
        <f>_xlfn.XLOOKUP(order[[#This Row],[customer_id]],customer[customer_id],customer[state])</f>
        <v>Gujarat</v>
      </c>
      <c r="M790" t="str">
        <f>_xlfn.XLOOKUP(order[[#This Row],[product_id]],products!$A$2:$A$11,products!$B$2:$B$11)</f>
        <v>Philips Air Fryer</v>
      </c>
      <c r="N790" s="3" t="str">
        <f>_xlfn.XLOOKUP(order[[#This Row],[product_id]],products!$A$2:$A$11,products!$C$2:$C$11)</f>
        <v>Home &amp; Kitchen</v>
      </c>
      <c r="O790" s="3">
        <f>_xlfn.XLOOKUP(order[[#This Row],[product_id]],Table4[product_id],Table4[cost_price])</f>
        <v>7000</v>
      </c>
      <c r="P790" s="11">
        <f>_xlfn.XLOOKUP(order[[#This Row],[order_id]],shipment[order_id],shipment[ship_date])</f>
        <v>45312</v>
      </c>
      <c r="Q790" s="11">
        <f>_xlfn.XLOOKUP(order[[#This Row],[order_id]],shipment[order_id],shipment[delivery_date])</f>
        <v>45314</v>
      </c>
      <c r="R790" s="3" t="str">
        <f>_xlfn.XLOOKUP(order[[#This Row],[order_id]],shipment[shipment_id],shipment[courier])</f>
        <v>Ekart</v>
      </c>
      <c r="S790" s="3">
        <f>order[[#This Row],[selling_price]]-order[[#This Row],[cost_price]]*order[[#This Row],[quantity]]-order[[#This Row],[discount]]</f>
        <v>13670</v>
      </c>
      <c r="T790" s="3">
        <f>order[[#This Row],[quantity]]*order[[#This Row],[selling_price]]</f>
        <v>21207</v>
      </c>
    </row>
    <row r="791" spans="1:20" x14ac:dyDescent="0.3">
      <c r="A791">
        <v>790</v>
      </c>
      <c r="B791" s="11">
        <v>45518</v>
      </c>
      <c r="C791">
        <v>175</v>
      </c>
      <c r="D791" t="str">
        <f>_xlfn.XLOOKUP(order[[#This Row],[customer_id]],customer[customer_id],customer[customer_name])</f>
        <v>Aarav Sharma</v>
      </c>
      <c r="E791">
        <v>209</v>
      </c>
      <c r="F791">
        <v>1</v>
      </c>
      <c r="G791">
        <v>8958</v>
      </c>
      <c r="H791">
        <v>4561</v>
      </c>
      <c r="I791" t="s">
        <v>9</v>
      </c>
      <c r="J791" t="s">
        <v>10</v>
      </c>
      <c r="K791" t="str">
        <f>_xlfn.XLOOKUP(order[[#This Row],[customer_id]],customer[customer_id],customer[city])</f>
        <v>Ahmedabad</v>
      </c>
      <c r="L791" t="str">
        <f>_xlfn.XLOOKUP(order[[#This Row],[customer_id]],customer[customer_id],customer[state])</f>
        <v>Gujarat</v>
      </c>
      <c r="M791" t="str">
        <f>_xlfn.XLOOKUP(order[[#This Row],[product_id]],products!$A$2:$A$11,products!$B$2:$B$11)</f>
        <v>Milton Thermosteel Bottle</v>
      </c>
      <c r="N791" s="3" t="str">
        <f>_xlfn.XLOOKUP(order[[#This Row],[product_id]],products!$A$2:$A$11,products!$C$2:$C$11)</f>
        <v>Home &amp; Kitchen</v>
      </c>
      <c r="O791" s="3">
        <f>_xlfn.XLOOKUP(order[[#This Row],[product_id]],Table4[product_id],Table4[cost_price])</f>
        <v>800</v>
      </c>
      <c r="P791" s="11">
        <f>_xlfn.XLOOKUP(order[[#This Row],[order_id]],shipment[order_id],shipment[ship_date])</f>
        <v>45503</v>
      </c>
      <c r="Q791" s="11">
        <f>_xlfn.XLOOKUP(order[[#This Row],[order_id]],shipment[order_id],shipment[delivery_date])</f>
        <v>45506</v>
      </c>
      <c r="R791" s="3" t="str">
        <f>_xlfn.XLOOKUP(order[[#This Row],[order_id]],shipment[shipment_id],shipment[courier])</f>
        <v>Delhivery</v>
      </c>
      <c r="S791" s="3">
        <f>order[[#This Row],[selling_price]]-order[[#This Row],[cost_price]]*order[[#This Row],[quantity]]-order[[#This Row],[discount]]</f>
        <v>3597</v>
      </c>
      <c r="T791" s="3">
        <f>order[[#This Row],[quantity]]*order[[#This Row],[selling_price]]</f>
        <v>8958</v>
      </c>
    </row>
    <row r="792" spans="1:20" x14ac:dyDescent="0.3">
      <c r="A792">
        <v>791</v>
      </c>
      <c r="B792" s="11">
        <v>45501</v>
      </c>
      <c r="C792">
        <v>135</v>
      </c>
      <c r="D792" t="str">
        <f>_xlfn.XLOOKUP(order[[#This Row],[customer_id]],customer[customer_id],customer[customer_name])</f>
        <v>Manish Yadav</v>
      </c>
      <c r="E792">
        <v>209</v>
      </c>
      <c r="F792">
        <v>1</v>
      </c>
      <c r="G792">
        <v>9277</v>
      </c>
      <c r="H792">
        <v>1732</v>
      </c>
      <c r="I792" t="s">
        <v>11</v>
      </c>
      <c r="J792" t="s">
        <v>12</v>
      </c>
      <c r="K792" t="str">
        <f>_xlfn.XLOOKUP(order[[#This Row],[customer_id]],customer[customer_id],customer[city])</f>
        <v>Bangalore</v>
      </c>
      <c r="L792" t="str">
        <f>_xlfn.XLOOKUP(order[[#This Row],[customer_id]],customer[customer_id],customer[state])</f>
        <v>Karnataka</v>
      </c>
      <c r="M792" t="str">
        <f>_xlfn.XLOOKUP(order[[#This Row],[product_id]],products!$A$2:$A$11,products!$B$2:$B$11)</f>
        <v>Milton Thermosteel Bottle</v>
      </c>
      <c r="N792" s="3" t="str">
        <f>_xlfn.XLOOKUP(order[[#This Row],[product_id]],products!$A$2:$A$11,products!$C$2:$C$11)</f>
        <v>Home &amp; Kitchen</v>
      </c>
      <c r="O792" s="3">
        <f>_xlfn.XLOOKUP(order[[#This Row],[product_id]],Table4[product_id],Table4[cost_price])</f>
        <v>800</v>
      </c>
      <c r="P792" s="11">
        <f>_xlfn.XLOOKUP(order[[#This Row],[order_id]],shipment[order_id],shipment[ship_date])</f>
        <v>45620</v>
      </c>
      <c r="Q792" s="11">
        <f>_xlfn.XLOOKUP(order[[#This Row],[order_id]],shipment[order_id],shipment[delivery_date])</f>
        <v>45625</v>
      </c>
      <c r="R792" s="3" t="str">
        <f>_xlfn.XLOOKUP(order[[#This Row],[order_id]],shipment[shipment_id],shipment[courier])</f>
        <v>Delhivery</v>
      </c>
      <c r="S792" s="3">
        <f>order[[#This Row],[selling_price]]-order[[#This Row],[cost_price]]*order[[#This Row],[quantity]]-order[[#This Row],[discount]]</f>
        <v>6745</v>
      </c>
      <c r="T792" s="3">
        <f>order[[#This Row],[quantity]]*order[[#This Row],[selling_price]]</f>
        <v>9277</v>
      </c>
    </row>
    <row r="793" spans="1:20" x14ac:dyDescent="0.3">
      <c r="A793">
        <v>792</v>
      </c>
      <c r="B793" s="11">
        <v>45384</v>
      </c>
      <c r="C793">
        <v>137</v>
      </c>
      <c r="D793" t="str">
        <f>_xlfn.XLOOKUP(order[[#This Row],[customer_id]],customer[customer_id],customer[customer_name])</f>
        <v>Ananya Gupta</v>
      </c>
      <c r="E793">
        <v>209</v>
      </c>
      <c r="F793">
        <v>2</v>
      </c>
      <c r="G793">
        <v>59848</v>
      </c>
      <c r="H793">
        <v>1808</v>
      </c>
      <c r="I793" t="s">
        <v>11</v>
      </c>
      <c r="J793" t="s">
        <v>14</v>
      </c>
      <c r="K793" t="str">
        <f>_xlfn.XLOOKUP(order[[#This Row],[customer_id]],customer[customer_id],customer[city])</f>
        <v>Delhi</v>
      </c>
      <c r="L793" t="str">
        <f>_xlfn.XLOOKUP(order[[#This Row],[customer_id]],customer[customer_id],customer[state])</f>
        <v>Delhi</v>
      </c>
      <c r="M793" t="str">
        <f>_xlfn.XLOOKUP(order[[#This Row],[product_id]],products!$A$2:$A$11,products!$B$2:$B$11)</f>
        <v>Milton Thermosteel Bottle</v>
      </c>
      <c r="N793" s="3" t="str">
        <f>_xlfn.XLOOKUP(order[[#This Row],[product_id]],products!$A$2:$A$11,products!$C$2:$C$11)</f>
        <v>Home &amp; Kitchen</v>
      </c>
      <c r="O793" s="3">
        <f>_xlfn.XLOOKUP(order[[#This Row],[product_id]],Table4[product_id],Table4[cost_price])</f>
        <v>800</v>
      </c>
      <c r="P793" s="11">
        <f>_xlfn.XLOOKUP(order[[#This Row],[order_id]],shipment[order_id],shipment[ship_date])</f>
        <v>45500</v>
      </c>
      <c r="Q793" s="11">
        <f>_xlfn.XLOOKUP(order[[#This Row],[order_id]],shipment[order_id],shipment[delivery_date])</f>
        <v>45505</v>
      </c>
      <c r="R793" s="3" t="str">
        <f>_xlfn.XLOOKUP(order[[#This Row],[order_id]],shipment[shipment_id],shipment[courier])</f>
        <v>Delhivery</v>
      </c>
      <c r="S793" s="3">
        <f>order[[#This Row],[selling_price]]-order[[#This Row],[cost_price]]*order[[#This Row],[quantity]]-order[[#This Row],[discount]]</f>
        <v>56440</v>
      </c>
      <c r="T793" s="3">
        <f>order[[#This Row],[quantity]]*order[[#This Row],[selling_price]]</f>
        <v>119696</v>
      </c>
    </row>
    <row r="794" spans="1:20" x14ac:dyDescent="0.3">
      <c r="A794">
        <v>793</v>
      </c>
      <c r="B794" s="11">
        <v>45627</v>
      </c>
      <c r="C794">
        <v>152</v>
      </c>
      <c r="D794" t="str">
        <f>_xlfn.XLOOKUP(order[[#This Row],[customer_id]],customer[customer_id],customer[customer_name])</f>
        <v>Manish Yadav</v>
      </c>
      <c r="E794">
        <v>203</v>
      </c>
      <c r="F794">
        <v>4</v>
      </c>
      <c r="G794">
        <v>48149</v>
      </c>
      <c r="H794">
        <v>295</v>
      </c>
      <c r="I794" t="s">
        <v>13</v>
      </c>
      <c r="J794" t="s">
        <v>14</v>
      </c>
      <c r="K794" t="str">
        <f>_xlfn.XLOOKUP(order[[#This Row],[customer_id]],customer[customer_id],customer[city])</f>
        <v>Bangalore</v>
      </c>
      <c r="L794" t="str">
        <f>_xlfn.XLOOKUP(order[[#This Row],[customer_id]],customer[customer_id],customer[state])</f>
        <v>Karnataka</v>
      </c>
      <c r="M794" t="str">
        <f>_xlfn.XLOOKUP(order[[#This Row],[product_id]],products!$A$2:$A$11,products!$B$2:$B$11)</f>
        <v>Nike Air Max Shoes</v>
      </c>
      <c r="N794" s="3" t="str">
        <f>_xlfn.XLOOKUP(order[[#This Row],[product_id]],products!$A$2:$A$11,products!$C$2:$C$11)</f>
        <v>Fashion</v>
      </c>
      <c r="O794" s="3">
        <f>_xlfn.XLOOKUP(order[[#This Row],[product_id]],Table4[product_id],Table4[cost_price])</f>
        <v>4000</v>
      </c>
      <c r="P794" s="11">
        <f>_xlfn.XLOOKUP(order[[#This Row],[order_id]],shipment[order_id],shipment[ship_date])</f>
        <v>45653</v>
      </c>
      <c r="Q794" s="11">
        <f>_xlfn.XLOOKUP(order[[#This Row],[order_id]],shipment[order_id],shipment[delivery_date])</f>
        <v>45659</v>
      </c>
      <c r="R794" s="3" t="str">
        <f>_xlfn.XLOOKUP(order[[#This Row],[order_id]],shipment[shipment_id],shipment[courier])</f>
        <v>Delhivery</v>
      </c>
      <c r="S794" s="3">
        <f>order[[#This Row],[selling_price]]-order[[#This Row],[cost_price]]*order[[#This Row],[quantity]]-order[[#This Row],[discount]]</f>
        <v>31854</v>
      </c>
      <c r="T794" s="3">
        <f>order[[#This Row],[quantity]]*order[[#This Row],[selling_price]]</f>
        <v>192596</v>
      </c>
    </row>
    <row r="795" spans="1:20" x14ac:dyDescent="0.3">
      <c r="A795">
        <v>955</v>
      </c>
      <c r="B795" s="11">
        <v>45543</v>
      </c>
      <c r="C795">
        <v>172</v>
      </c>
      <c r="D795" t="str">
        <f>_xlfn.XLOOKUP(order[[#This Row],[customer_id]],customer[customer_id],customer[customer_name])</f>
        <v>Pooja Nair</v>
      </c>
      <c r="E795">
        <v>207</v>
      </c>
      <c r="F795">
        <v>4</v>
      </c>
      <c r="G795">
        <v>19614</v>
      </c>
      <c r="H795">
        <v>3689</v>
      </c>
      <c r="I795" t="s">
        <v>9</v>
      </c>
      <c r="J795" t="s">
        <v>10</v>
      </c>
      <c r="K795" t="str">
        <f>_xlfn.XLOOKUP(order[[#This Row],[customer_id]],customer[customer_id],customer[city])</f>
        <v>Mumbai</v>
      </c>
      <c r="L795" t="str">
        <f>_xlfn.XLOOKUP(order[[#This Row],[customer_id]],customer[customer_id],customer[state])</f>
        <v>Maharashtra</v>
      </c>
      <c r="M795" t="str">
        <f>_xlfn.XLOOKUP(order[[#This Row],[product_id]],products!$A$2:$A$11,products!$B$2:$B$11)</f>
        <v>Sony WH-1000XM4 Headphones</v>
      </c>
      <c r="N795" s="3" t="str">
        <f>_xlfn.XLOOKUP(order[[#This Row],[product_id]],products!$A$2:$A$11,products!$C$2:$C$11)</f>
        <v>Electronics</v>
      </c>
      <c r="O795" s="3">
        <f>_xlfn.XLOOKUP(order[[#This Row],[product_id]],Table4[product_id],Table4[cost_price])</f>
        <v>20000</v>
      </c>
      <c r="P795" s="11">
        <f>_xlfn.XLOOKUP(order[[#This Row],[order_id]],shipment[order_id],shipment[ship_date])</f>
        <v>45431</v>
      </c>
      <c r="Q795" s="11">
        <f>_xlfn.XLOOKUP(order[[#This Row],[order_id]],shipment[order_id],shipment[delivery_date])</f>
        <v>45441</v>
      </c>
      <c r="R795" s="3" t="str">
        <f>_xlfn.XLOOKUP(order[[#This Row],[order_id]],shipment[shipment_id],shipment[courier])</f>
        <v>DTDC</v>
      </c>
      <c r="S795" s="3">
        <f>order[[#This Row],[selling_price]]-order[[#This Row],[cost_price]]*order[[#This Row],[quantity]]-order[[#This Row],[discount]]</f>
        <v>-64075</v>
      </c>
      <c r="T795" s="3">
        <f>order[[#This Row],[quantity]]*order[[#This Row],[selling_price]]</f>
        <v>78456</v>
      </c>
    </row>
    <row r="796" spans="1:20" x14ac:dyDescent="0.3">
      <c r="A796">
        <v>445</v>
      </c>
      <c r="B796" s="11">
        <v>45410</v>
      </c>
      <c r="C796">
        <v>141</v>
      </c>
      <c r="D796" t="str">
        <f>_xlfn.XLOOKUP(order[[#This Row],[customer_id]],customer[customer_id],customer[customer_name])</f>
        <v>Neha Kapoor</v>
      </c>
      <c r="E796">
        <v>207</v>
      </c>
      <c r="F796">
        <v>3</v>
      </c>
      <c r="G796">
        <v>41818</v>
      </c>
      <c r="H796">
        <v>3576</v>
      </c>
      <c r="I796" t="s">
        <v>15</v>
      </c>
      <c r="J796" t="s">
        <v>10</v>
      </c>
      <c r="K796" t="str">
        <f>_xlfn.XLOOKUP(order[[#This Row],[customer_id]],customer[customer_id],customer[city])</f>
        <v>Ahmedabad</v>
      </c>
      <c r="L796" t="str">
        <f>_xlfn.XLOOKUP(order[[#This Row],[customer_id]],customer[customer_id],customer[state])</f>
        <v>Gujarat</v>
      </c>
      <c r="M796" t="str">
        <f>_xlfn.XLOOKUP(order[[#This Row],[product_id]],products!$A$2:$A$11,products!$B$2:$B$11)</f>
        <v>Sony WH-1000XM4 Headphones</v>
      </c>
      <c r="N796" s="3" t="str">
        <f>_xlfn.XLOOKUP(order[[#This Row],[product_id]],products!$A$2:$A$11,products!$C$2:$C$11)</f>
        <v>Electronics</v>
      </c>
      <c r="O796" s="3">
        <f>_xlfn.XLOOKUP(order[[#This Row],[product_id]],Table4[product_id],Table4[cost_price])</f>
        <v>20000</v>
      </c>
      <c r="P796" s="11">
        <f>_xlfn.XLOOKUP(order[[#This Row],[order_id]],shipment[order_id],shipment[ship_date])</f>
        <v>45549</v>
      </c>
      <c r="Q796" s="11">
        <f>_xlfn.XLOOKUP(order[[#This Row],[order_id]],shipment[order_id],shipment[delivery_date])</f>
        <v>45558</v>
      </c>
      <c r="R796" s="3" t="str">
        <f>_xlfn.XLOOKUP(order[[#This Row],[order_id]],shipment[shipment_id],shipment[courier])</f>
        <v>Ekart</v>
      </c>
      <c r="S796" s="3">
        <f>order[[#This Row],[selling_price]]-order[[#This Row],[cost_price]]*order[[#This Row],[quantity]]-order[[#This Row],[discount]]</f>
        <v>-21758</v>
      </c>
      <c r="T796" s="3">
        <f>order[[#This Row],[quantity]]*order[[#This Row],[selling_price]]</f>
        <v>125454</v>
      </c>
    </row>
    <row r="797" spans="1:20" x14ac:dyDescent="0.3">
      <c r="A797">
        <v>796</v>
      </c>
      <c r="B797" s="11">
        <v>45498</v>
      </c>
      <c r="C797">
        <v>183</v>
      </c>
      <c r="D797" t="str">
        <f>_xlfn.XLOOKUP(order[[#This Row],[customer_id]],customer[customer_id],customer[customer_name])</f>
        <v>Rohit Verma</v>
      </c>
      <c r="E797">
        <v>203</v>
      </c>
      <c r="F797">
        <v>3</v>
      </c>
      <c r="G797">
        <v>56138</v>
      </c>
      <c r="H797">
        <v>2224</v>
      </c>
      <c r="I797" t="s">
        <v>13</v>
      </c>
      <c r="J797" t="s">
        <v>14</v>
      </c>
      <c r="K797" t="str">
        <f>_xlfn.XLOOKUP(order[[#This Row],[customer_id]],customer[customer_id],customer[city])</f>
        <v>Bangalore</v>
      </c>
      <c r="L797" t="str">
        <f>_xlfn.XLOOKUP(order[[#This Row],[customer_id]],customer[customer_id],customer[state])</f>
        <v>Karnataka</v>
      </c>
      <c r="M797" t="str">
        <f>_xlfn.XLOOKUP(order[[#This Row],[product_id]],products!$A$2:$A$11,products!$B$2:$B$11)</f>
        <v>Nike Air Max Shoes</v>
      </c>
      <c r="N797" s="3" t="str">
        <f>_xlfn.XLOOKUP(order[[#This Row],[product_id]],products!$A$2:$A$11,products!$C$2:$C$11)</f>
        <v>Fashion</v>
      </c>
      <c r="O797" s="3">
        <f>_xlfn.XLOOKUP(order[[#This Row],[product_id]],Table4[product_id],Table4[cost_price])</f>
        <v>4000</v>
      </c>
      <c r="P797" s="11">
        <f>_xlfn.XLOOKUP(order[[#This Row],[order_id]],shipment[order_id],shipment[ship_date])</f>
        <v>45423</v>
      </c>
      <c r="Q797" s="11">
        <f>_xlfn.XLOOKUP(order[[#This Row],[order_id]],shipment[order_id],shipment[delivery_date])</f>
        <v>45430</v>
      </c>
      <c r="R797" s="3" t="str">
        <f>_xlfn.XLOOKUP(order[[#This Row],[order_id]],shipment[shipment_id],shipment[courier])</f>
        <v>Delhivery</v>
      </c>
      <c r="S797" s="3">
        <f>order[[#This Row],[selling_price]]-order[[#This Row],[cost_price]]*order[[#This Row],[quantity]]-order[[#This Row],[discount]]</f>
        <v>41914</v>
      </c>
      <c r="T797" s="3">
        <f>order[[#This Row],[quantity]]*order[[#This Row],[selling_price]]</f>
        <v>168414</v>
      </c>
    </row>
    <row r="798" spans="1:20" x14ac:dyDescent="0.3">
      <c r="A798">
        <v>459</v>
      </c>
      <c r="B798" s="11">
        <v>45620</v>
      </c>
      <c r="C798">
        <v>154</v>
      </c>
      <c r="D798" t="str">
        <f>_xlfn.XLOOKUP(order[[#This Row],[customer_id]],customer[customer_id],customer[customer_name])</f>
        <v>Manish Yadav</v>
      </c>
      <c r="E798">
        <v>207</v>
      </c>
      <c r="F798">
        <v>3</v>
      </c>
      <c r="G798">
        <v>18627</v>
      </c>
      <c r="H798">
        <v>3570</v>
      </c>
      <c r="I798" t="s">
        <v>11</v>
      </c>
      <c r="J798" t="s">
        <v>12</v>
      </c>
      <c r="K798" t="str">
        <f>_xlfn.XLOOKUP(order[[#This Row],[customer_id]],customer[customer_id],customer[city])</f>
        <v>Hyderabad</v>
      </c>
      <c r="L798" t="str">
        <f>_xlfn.XLOOKUP(order[[#This Row],[customer_id]],customer[customer_id],customer[state])</f>
        <v>Telangana</v>
      </c>
      <c r="M798" t="str">
        <f>_xlfn.XLOOKUP(order[[#This Row],[product_id]],products!$A$2:$A$11,products!$B$2:$B$11)</f>
        <v>Sony WH-1000XM4 Headphones</v>
      </c>
      <c r="N798" s="3" t="str">
        <f>_xlfn.XLOOKUP(order[[#This Row],[product_id]],products!$A$2:$A$11,products!$C$2:$C$11)</f>
        <v>Electronics</v>
      </c>
      <c r="O798" s="3">
        <f>_xlfn.XLOOKUP(order[[#This Row],[product_id]],Table4[product_id],Table4[cost_price])</f>
        <v>20000</v>
      </c>
      <c r="P798" s="11">
        <f>_xlfn.XLOOKUP(order[[#This Row],[order_id]],shipment[order_id],shipment[ship_date])</f>
        <v>45336</v>
      </c>
      <c r="Q798" s="11">
        <f>_xlfn.XLOOKUP(order[[#This Row],[order_id]],shipment[order_id],shipment[delivery_date])</f>
        <v>45337</v>
      </c>
      <c r="R798" s="3" t="str">
        <f>_xlfn.XLOOKUP(order[[#This Row],[order_id]],shipment[shipment_id],shipment[courier])</f>
        <v>BlueDart</v>
      </c>
      <c r="S798" s="3">
        <f>order[[#This Row],[selling_price]]-order[[#This Row],[cost_price]]*order[[#This Row],[quantity]]-order[[#This Row],[discount]]</f>
        <v>-44943</v>
      </c>
      <c r="T798" s="3">
        <f>order[[#This Row],[quantity]]*order[[#This Row],[selling_price]]</f>
        <v>55881</v>
      </c>
    </row>
    <row r="799" spans="1:20" x14ac:dyDescent="0.3">
      <c r="A799">
        <v>134</v>
      </c>
      <c r="B799" s="11">
        <v>45431</v>
      </c>
      <c r="C799">
        <v>296</v>
      </c>
      <c r="D799" t="str">
        <f>_xlfn.XLOOKUP(order[[#This Row],[customer_id]],customer[customer_id],customer[customer_name])</f>
        <v>Rohit Verma</v>
      </c>
      <c r="E799">
        <v>207</v>
      </c>
      <c r="F799">
        <v>3</v>
      </c>
      <c r="G799">
        <v>58264</v>
      </c>
      <c r="H799">
        <v>3498</v>
      </c>
      <c r="I799" t="s">
        <v>13</v>
      </c>
      <c r="J799" t="s">
        <v>14</v>
      </c>
      <c r="K799" t="str">
        <f>_xlfn.XLOOKUP(order[[#This Row],[customer_id]],customer[customer_id],customer[city])</f>
        <v>Pune</v>
      </c>
      <c r="L799" t="str">
        <f>_xlfn.XLOOKUP(order[[#This Row],[customer_id]],customer[customer_id],customer[state])</f>
        <v>Maharashtra</v>
      </c>
      <c r="M799" t="str">
        <f>_xlfn.XLOOKUP(order[[#This Row],[product_id]],products!$A$2:$A$11,products!$B$2:$B$11)</f>
        <v>Sony WH-1000XM4 Headphones</v>
      </c>
      <c r="N799" s="3" t="str">
        <f>_xlfn.XLOOKUP(order[[#This Row],[product_id]],products!$A$2:$A$11,products!$C$2:$C$11)</f>
        <v>Electronics</v>
      </c>
      <c r="O799" s="3">
        <f>_xlfn.XLOOKUP(order[[#This Row],[product_id]],Table4[product_id],Table4[cost_price])</f>
        <v>20000</v>
      </c>
      <c r="P799" s="11">
        <f>_xlfn.XLOOKUP(order[[#This Row],[order_id]],shipment[order_id],shipment[ship_date])</f>
        <v>45555</v>
      </c>
      <c r="Q799" s="11">
        <f>_xlfn.XLOOKUP(order[[#This Row],[order_id]],shipment[order_id],shipment[delivery_date])</f>
        <v>45562</v>
      </c>
      <c r="R799" s="3" t="str">
        <f>_xlfn.XLOOKUP(order[[#This Row],[order_id]],shipment[shipment_id],shipment[courier])</f>
        <v>DTDC</v>
      </c>
      <c r="S799" s="3">
        <f>order[[#This Row],[selling_price]]-order[[#This Row],[cost_price]]*order[[#This Row],[quantity]]-order[[#This Row],[discount]]</f>
        <v>-5234</v>
      </c>
      <c r="T799" s="3">
        <f>order[[#This Row],[quantity]]*order[[#This Row],[selling_price]]</f>
        <v>174792</v>
      </c>
    </row>
    <row r="800" spans="1:20" x14ac:dyDescent="0.3">
      <c r="A800">
        <v>799</v>
      </c>
      <c r="B800" s="11">
        <v>45341</v>
      </c>
      <c r="C800">
        <v>237</v>
      </c>
      <c r="D800" t="str">
        <f>_xlfn.XLOOKUP(order[[#This Row],[customer_id]],customer[customer_id],customer[customer_name])</f>
        <v>Ananya Gupta</v>
      </c>
      <c r="E800">
        <v>206</v>
      </c>
      <c r="F800">
        <v>2</v>
      </c>
      <c r="G800">
        <v>32540</v>
      </c>
      <c r="H800">
        <v>3750</v>
      </c>
      <c r="I800" t="s">
        <v>9</v>
      </c>
      <c r="J800" t="s">
        <v>10</v>
      </c>
      <c r="K800" t="str">
        <f>_xlfn.XLOOKUP(order[[#This Row],[customer_id]],customer[customer_id],customer[city])</f>
        <v>Hyderabad</v>
      </c>
      <c r="L800" t="str">
        <f>_xlfn.XLOOKUP(order[[#This Row],[customer_id]],customer[customer_id],customer[state])</f>
        <v>Telangana</v>
      </c>
      <c r="M800" t="str">
        <f>_xlfn.XLOOKUP(order[[#This Row],[product_id]],products!$A$2:$A$11,products!$B$2:$B$11)</f>
        <v>Philips Air Fryer</v>
      </c>
      <c r="N800" s="3" t="str">
        <f>_xlfn.XLOOKUP(order[[#This Row],[product_id]],products!$A$2:$A$11,products!$C$2:$C$11)</f>
        <v>Home &amp; Kitchen</v>
      </c>
      <c r="O800" s="3">
        <f>_xlfn.XLOOKUP(order[[#This Row],[product_id]],Table4[product_id],Table4[cost_price])</f>
        <v>7000</v>
      </c>
      <c r="P800" s="11">
        <f>_xlfn.XLOOKUP(order[[#This Row],[order_id]],shipment[order_id],shipment[ship_date])</f>
        <v>45467</v>
      </c>
      <c r="Q800" s="11">
        <f>_xlfn.XLOOKUP(order[[#This Row],[order_id]],shipment[order_id],shipment[delivery_date])</f>
        <v>45476</v>
      </c>
      <c r="R800" s="3" t="str">
        <f>_xlfn.XLOOKUP(order[[#This Row],[order_id]],shipment[shipment_id],shipment[courier])</f>
        <v>Ekart</v>
      </c>
      <c r="S800" s="3">
        <f>order[[#This Row],[selling_price]]-order[[#This Row],[cost_price]]*order[[#This Row],[quantity]]-order[[#This Row],[discount]]</f>
        <v>14790</v>
      </c>
      <c r="T800" s="3">
        <f>order[[#This Row],[quantity]]*order[[#This Row],[selling_price]]</f>
        <v>65080</v>
      </c>
    </row>
    <row r="801" spans="1:20" x14ac:dyDescent="0.3">
      <c r="A801">
        <v>800</v>
      </c>
      <c r="B801" s="11">
        <v>45468</v>
      </c>
      <c r="C801">
        <v>266</v>
      </c>
      <c r="D801" t="str">
        <f>_xlfn.XLOOKUP(order[[#This Row],[customer_id]],customer[customer_id],customer[customer_name])</f>
        <v>Karan Patel</v>
      </c>
      <c r="E801">
        <v>205</v>
      </c>
      <c r="F801">
        <v>3</v>
      </c>
      <c r="G801">
        <v>19947</v>
      </c>
      <c r="H801">
        <v>3087</v>
      </c>
      <c r="I801" t="s">
        <v>15</v>
      </c>
      <c r="J801" t="s">
        <v>14</v>
      </c>
      <c r="K801" t="str">
        <f>_xlfn.XLOOKUP(order[[#This Row],[customer_id]],customer[customer_id],customer[city])</f>
        <v>Chennai</v>
      </c>
      <c r="L801" t="str">
        <f>_xlfn.XLOOKUP(order[[#This Row],[customer_id]],customer[customer_id],customer[state])</f>
        <v>Tamil Nadu</v>
      </c>
      <c r="M801" t="str">
        <f>_xlfn.XLOOKUP(order[[#This Row],[product_id]],products!$A$2:$A$11,products!$B$2:$B$11)</f>
        <v>Prestige Pressure Cooker 5L</v>
      </c>
      <c r="N801" s="3" t="str">
        <f>_xlfn.XLOOKUP(order[[#This Row],[product_id]],products!$A$2:$A$11,products!$C$2:$C$11)</f>
        <v>Home &amp; Kitchen</v>
      </c>
      <c r="O801" s="3">
        <f>_xlfn.XLOOKUP(order[[#This Row],[product_id]],Table4[product_id],Table4[cost_price])</f>
        <v>1200</v>
      </c>
      <c r="P801" s="11">
        <f>_xlfn.XLOOKUP(order[[#This Row],[order_id]],shipment[order_id],shipment[ship_date])</f>
        <v>45433</v>
      </c>
      <c r="Q801" s="11">
        <f>_xlfn.XLOOKUP(order[[#This Row],[order_id]],shipment[order_id],shipment[delivery_date])</f>
        <v>45434</v>
      </c>
      <c r="R801" s="3" t="str">
        <f>_xlfn.XLOOKUP(order[[#This Row],[order_id]],shipment[shipment_id],shipment[courier])</f>
        <v>BlueDart</v>
      </c>
      <c r="S801" s="3">
        <f>order[[#This Row],[selling_price]]-order[[#This Row],[cost_price]]*order[[#This Row],[quantity]]-order[[#This Row],[discount]]</f>
        <v>13260</v>
      </c>
      <c r="T801" s="3">
        <f>order[[#This Row],[quantity]]*order[[#This Row],[selling_price]]</f>
        <v>59841</v>
      </c>
    </row>
    <row r="802" spans="1:20" x14ac:dyDescent="0.3">
      <c r="A802">
        <v>801</v>
      </c>
      <c r="B802" s="11">
        <v>45295</v>
      </c>
      <c r="C802">
        <v>108</v>
      </c>
      <c r="D802" t="str">
        <f>_xlfn.XLOOKUP(order[[#This Row],[customer_id]],customer[customer_id],customer[customer_name])</f>
        <v>Arjun Nair</v>
      </c>
      <c r="E802">
        <v>204</v>
      </c>
      <c r="F802">
        <v>3</v>
      </c>
      <c r="G802">
        <v>39798</v>
      </c>
      <c r="H802">
        <v>1672</v>
      </c>
      <c r="I802" t="s">
        <v>15</v>
      </c>
      <c r="J802" t="s">
        <v>12</v>
      </c>
      <c r="K802" t="str">
        <f>_xlfn.XLOOKUP(order[[#This Row],[customer_id]],customer[customer_id],customer[city])</f>
        <v>Ahmedabad</v>
      </c>
      <c r="L802" t="str">
        <f>_xlfn.XLOOKUP(order[[#This Row],[customer_id]],customer[customer_id],customer[state])</f>
        <v>Gujarat</v>
      </c>
      <c r="M802" t="str">
        <f>_xlfn.XLOOKUP(order[[#This Row],[product_id]],products!$A$2:$A$11,products!$B$2:$B$11)</f>
        <v>Levi's Slim Fit Jeans</v>
      </c>
      <c r="N802" s="3" t="str">
        <f>_xlfn.XLOOKUP(order[[#This Row],[product_id]],products!$A$2:$A$11,products!$C$2:$C$11)</f>
        <v>Fashion</v>
      </c>
      <c r="O802" s="3">
        <f>_xlfn.XLOOKUP(order[[#This Row],[product_id]],Table4[product_id],Table4[cost_price])</f>
        <v>1800</v>
      </c>
      <c r="P802" s="11">
        <f>_xlfn.XLOOKUP(order[[#This Row],[order_id]],shipment[order_id],shipment[ship_date])</f>
        <v>45567</v>
      </c>
      <c r="Q802" s="11">
        <f>_xlfn.XLOOKUP(order[[#This Row],[order_id]],shipment[order_id],shipment[delivery_date])</f>
        <v>45572</v>
      </c>
      <c r="R802" s="3" t="str">
        <f>_xlfn.XLOOKUP(order[[#This Row],[order_id]],shipment[shipment_id],shipment[courier])</f>
        <v>Delhivery</v>
      </c>
      <c r="S802" s="3">
        <f>order[[#This Row],[selling_price]]-order[[#This Row],[cost_price]]*order[[#This Row],[quantity]]-order[[#This Row],[discount]]</f>
        <v>32726</v>
      </c>
      <c r="T802" s="3">
        <f>order[[#This Row],[quantity]]*order[[#This Row],[selling_price]]</f>
        <v>119394</v>
      </c>
    </row>
    <row r="803" spans="1:20" x14ac:dyDescent="0.3">
      <c r="A803">
        <v>802</v>
      </c>
      <c r="B803" s="11">
        <v>45375</v>
      </c>
      <c r="C803">
        <v>140</v>
      </c>
      <c r="D803" t="str">
        <f>_xlfn.XLOOKUP(order[[#This Row],[customer_id]],customer[customer_id],customer[customer_name])</f>
        <v>Neha Kapoor</v>
      </c>
      <c r="E803">
        <v>207</v>
      </c>
      <c r="F803">
        <v>1</v>
      </c>
      <c r="G803">
        <v>49213</v>
      </c>
      <c r="H803">
        <v>2625</v>
      </c>
      <c r="I803" t="s">
        <v>13</v>
      </c>
      <c r="J803" t="s">
        <v>10</v>
      </c>
      <c r="K803" t="str">
        <f>_xlfn.XLOOKUP(order[[#This Row],[customer_id]],customer[customer_id],customer[city])</f>
        <v>Chennai</v>
      </c>
      <c r="L803" t="str">
        <f>_xlfn.XLOOKUP(order[[#This Row],[customer_id]],customer[customer_id],customer[state])</f>
        <v>Tamil Nadu</v>
      </c>
      <c r="M803" t="str">
        <f>_xlfn.XLOOKUP(order[[#This Row],[product_id]],products!$A$2:$A$11,products!$B$2:$B$11)</f>
        <v>Sony WH-1000XM4 Headphones</v>
      </c>
      <c r="N803" s="3" t="str">
        <f>_xlfn.XLOOKUP(order[[#This Row],[product_id]],products!$A$2:$A$11,products!$C$2:$C$11)</f>
        <v>Electronics</v>
      </c>
      <c r="O803" s="3">
        <f>_xlfn.XLOOKUP(order[[#This Row],[product_id]],Table4[product_id],Table4[cost_price])</f>
        <v>20000</v>
      </c>
      <c r="P803" s="11">
        <f>_xlfn.XLOOKUP(order[[#This Row],[order_id]],shipment[order_id],shipment[ship_date])</f>
        <v>45547</v>
      </c>
      <c r="Q803" s="11">
        <f>_xlfn.XLOOKUP(order[[#This Row],[order_id]],shipment[order_id],shipment[delivery_date])</f>
        <v>45554</v>
      </c>
      <c r="R803" s="3" t="str">
        <f>_xlfn.XLOOKUP(order[[#This Row],[order_id]],shipment[shipment_id],shipment[courier])</f>
        <v>DTDC</v>
      </c>
      <c r="S803" s="3">
        <f>order[[#This Row],[selling_price]]-order[[#This Row],[cost_price]]*order[[#This Row],[quantity]]-order[[#This Row],[discount]]</f>
        <v>26588</v>
      </c>
      <c r="T803" s="3">
        <f>order[[#This Row],[quantity]]*order[[#This Row],[selling_price]]</f>
        <v>49213</v>
      </c>
    </row>
    <row r="804" spans="1:20" x14ac:dyDescent="0.3">
      <c r="A804">
        <v>803</v>
      </c>
      <c r="B804" s="11">
        <v>45525</v>
      </c>
      <c r="C804">
        <v>290</v>
      </c>
      <c r="D804" t="str">
        <f>_xlfn.XLOOKUP(order[[#This Row],[customer_id]],customer[customer_id],customer[customer_name])</f>
        <v>Karan Patel</v>
      </c>
      <c r="E804">
        <v>203</v>
      </c>
      <c r="F804">
        <v>4</v>
      </c>
      <c r="G804">
        <v>26430</v>
      </c>
      <c r="H804">
        <v>3350</v>
      </c>
      <c r="I804" t="s">
        <v>11</v>
      </c>
      <c r="J804" t="s">
        <v>12</v>
      </c>
      <c r="K804" t="str">
        <f>_xlfn.XLOOKUP(order[[#This Row],[customer_id]],customer[customer_id],customer[city])</f>
        <v>Pune</v>
      </c>
      <c r="L804" t="str">
        <f>_xlfn.XLOOKUP(order[[#This Row],[customer_id]],customer[customer_id],customer[state])</f>
        <v>Maharashtra</v>
      </c>
      <c r="M804" t="str">
        <f>_xlfn.XLOOKUP(order[[#This Row],[product_id]],products!$A$2:$A$11,products!$B$2:$B$11)</f>
        <v>Nike Air Max Shoes</v>
      </c>
      <c r="N804" s="3" t="str">
        <f>_xlfn.XLOOKUP(order[[#This Row],[product_id]],products!$A$2:$A$11,products!$C$2:$C$11)</f>
        <v>Fashion</v>
      </c>
      <c r="O804" s="3">
        <f>_xlfn.XLOOKUP(order[[#This Row],[product_id]],Table4[product_id],Table4[cost_price])</f>
        <v>4000</v>
      </c>
      <c r="P804" s="11">
        <f>_xlfn.XLOOKUP(order[[#This Row],[order_id]],shipment[order_id],shipment[ship_date])</f>
        <v>45324</v>
      </c>
      <c r="Q804" s="11">
        <f>_xlfn.XLOOKUP(order[[#This Row],[order_id]],shipment[order_id],shipment[delivery_date])</f>
        <v>45326</v>
      </c>
      <c r="R804" s="3" t="str">
        <f>_xlfn.XLOOKUP(order[[#This Row],[order_id]],shipment[shipment_id],shipment[courier])</f>
        <v>DTDC</v>
      </c>
      <c r="S804" s="3">
        <f>order[[#This Row],[selling_price]]-order[[#This Row],[cost_price]]*order[[#This Row],[quantity]]-order[[#This Row],[discount]]</f>
        <v>7080</v>
      </c>
      <c r="T804" s="3">
        <f>order[[#This Row],[quantity]]*order[[#This Row],[selling_price]]</f>
        <v>105720</v>
      </c>
    </row>
    <row r="805" spans="1:20" x14ac:dyDescent="0.3">
      <c r="A805">
        <v>914</v>
      </c>
      <c r="B805" s="11">
        <v>45560</v>
      </c>
      <c r="C805">
        <v>220</v>
      </c>
      <c r="D805" t="str">
        <f>_xlfn.XLOOKUP(order[[#This Row],[customer_id]],customer[customer_id],customer[customer_name])</f>
        <v>Rahul Mehta</v>
      </c>
      <c r="E805">
        <v>207</v>
      </c>
      <c r="F805">
        <v>3</v>
      </c>
      <c r="G805">
        <v>49289</v>
      </c>
      <c r="H805">
        <v>3488</v>
      </c>
      <c r="I805" t="s">
        <v>9</v>
      </c>
      <c r="J805" t="s">
        <v>12</v>
      </c>
      <c r="K805" t="str">
        <f>_xlfn.XLOOKUP(order[[#This Row],[customer_id]],customer[customer_id],customer[city])</f>
        <v>Chennai</v>
      </c>
      <c r="L805" t="str">
        <f>_xlfn.XLOOKUP(order[[#This Row],[customer_id]],customer[customer_id],customer[state])</f>
        <v>Tamil Nadu</v>
      </c>
      <c r="M805" t="str">
        <f>_xlfn.XLOOKUP(order[[#This Row],[product_id]],products!$A$2:$A$11,products!$B$2:$B$11)</f>
        <v>Sony WH-1000XM4 Headphones</v>
      </c>
      <c r="N805" s="3" t="str">
        <f>_xlfn.XLOOKUP(order[[#This Row],[product_id]],products!$A$2:$A$11,products!$C$2:$C$11)</f>
        <v>Electronics</v>
      </c>
      <c r="O805" s="3">
        <f>_xlfn.XLOOKUP(order[[#This Row],[product_id]],Table4[product_id],Table4[cost_price])</f>
        <v>20000</v>
      </c>
      <c r="P805" s="11">
        <f>_xlfn.XLOOKUP(order[[#This Row],[order_id]],shipment[order_id],shipment[ship_date])</f>
        <v>45559</v>
      </c>
      <c r="Q805" s="11">
        <f>_xlfn.XLOOKUP(order[[#This Row],[order_id]],shipment[order_id],shipment[delivery_date])</f>
        <v>45562</v>
      </c>
      <c r="R805" s="3" t="str">
        <f>_xlfn.XLOOKUP(order[[#This Row],[order_id]],shipment[shipment_id],shipment[courier])</f>
        <v>Ekart</v>
      </c>
      <c r="S805" s="3">
        <f>order[[#This Row],[selling_price]]-order[[#This Row],[cost_price]]*order[[#This Row],[quantity]]-order[[#This Row],[discount]]</f>
        <v>-14199</v>
      </c>
      <c r="T805" s="3">
        <f>order[[#This Row],[quantity]]*order[[#This Row],[selling_price]]</f>
        <v>147867</v>
      </c>
    </row>
    <row r="806" spans="1:20" x14ac:dyDescent="0.3">
      <c r="A806">
        <v>805</v>
      </c>
      <c r="B806" s="11">
        <v>45487</v>
      </c>
      <c r="C806">
        <v>152</v>
      </c>
      <c r="D806" t="str">
        <f>_xlfn.XLOOKUP(order[[#This Row],[customer_id]],customer[customer_id],customer[customer_name])</f>
        <v>Manish Yadav</v>
      </c>
      <c r="E806">
        <v>205</v>
      </c>
      <c r="F806">
        <v>1</v>
      </c>
      <c r="G806">
        <v>31431</v>
      </c>
      <c r="H806">
        <v>1119</v>
      </c>
      <c r="I806" t="s">
        <v>13</v>
      </c>
      <c r="J806" t="s">
        <v>12</v>
      </c>
      <c r="K806" t="str">
        <f>_xlfn.XLOOKUP(order[[#This Row],[customer_id]],customer[customer_id],customer[city])</f>
        <v>Bangalore</v>
      </c>
      <c r="L806" t="str">
        <f>_xlfn.XLOOKUP(order[[#This Row],[customer_id]],customer[customer_id],customer[state])</f>
        <v>Karnataka</v>
      </c>
      <c r="M806" t="str">
        <f>_xlfn.XLOOKUP(order[[#This Row],[product_id]],products!$A$2:$A$11,products!$B$2:$B$11)</f>
        <v>Prestige Pressure Cooker 5L</v>
      </c>
      <c r="N806" s="3" t="str">
        <f>_xlfn.XLOOKUP(order[[#This Row],[product_id]],products!$A$2:$A$11,products!$C$2:$C$11)</f>
        <v>Home &amp; Kitchen</v>
      </c>
      <c r="O806" s="3">
        <f>_xlfn.XLOOKUP(order[[#This Row],[product_id]],Table4[product_id],Table4[cost_price])</f>
        <v>1200</v>
      </c>
      <c r="P806" s="11">
        <f>_xlfn.XLOOKUP(order[[#This Row],[order_id]],shipment[order_id],shipment[ship_date])</f>
        <v>45344</v>
      </c>
      <c r="Q806" s="11">
        <f>_xlfn.XLOOKUP(order[[#This Row],[order_id]],shipment[order_id],shipment[delivery_date])</f>
        <v>45348</v>
      </c>
      <c r="R806" s="3" t="str">
        <f>_xlfn.XLOOKUP(order[[#This Row],[order_id]],shipment[shipment_id],shipment[courier])</f>
        <v>Delhivery</v>
      </c>
      <c r="S806" s="3">
        <f>order[[#This Row],[selling_price]]-order[[#This Row],[cost_price]]*order[[#This Row],[quantity]]-order[[#This Row],[discount]]</f>
        <v>29112</v>
      </c>
      <c r="T806" s="3">
        <f>order[[#This Row],[quantity]]*order[[#This Row],[selling_price]]</f>
        <v>31431</v>
      </c>
    </row>
    <row r="807" spans="1:20" x14ac:dyDescent="0.3">
      <c r="A807">
        <v>806</v>
      </c>
      <c r="B807" s="11">
        <v>45310</v>
      </c>
      <c r="C807">
        <v>115</v>
      </c>
      <c r="D807" t="str">
        <f>_xlfn.XLOOKUP(order[[#This Row],[customer_id]],customer[customer_id],customer[customer_name])</f>
        <v>Siddharth Jain</v>
      </c>
      <c r="E807">
        <v>207</v>
      </c>
      <c r="F807">
        <v>1</v>
      </c>
      <c r="G807">
        <v>43504</v>
      </c>
      <c r="H807">
        <v>3618</v>
      </c>
      <c r="I807" t="s">
        <v>9</v>
      </c>
      <c r="J807" t="s">
        <v>12</v>
      </c>
      <c r="K807" t="str">
        <f>_xlfn.XLOOKUP(order[[#This Row],[customer_id]],customer[customer_id],customer[city])</f>
        <v>Delhi</v>
      </c>
      <c r="L807" t="str">
        <f>_xlfn.XLOOKUP(order[[#This Row],[customer_id]],customer[customer_id],customer[state])</f>
        <v>Delhi</v>
      </c>
      <c r="M807" t="str">
        <f>_xlfn.XLOOKUP(order[[#This Row],[product_id]],products!$A$2:$A$11,products!$B$2:$B$11)</f>
        <v>Sony WH-1000XM4 Headphones</v>
      </c>
      <c r="N807" s="3" t="str">
        <f>_xlfn.XLOOKUP(order[[#This Row],[product_id]],products!$A$2:$A$11,products!$C$2:$C$11)</f>
        <v>Electronics</v>
      </c>
      <c r="O807" s="3">
        <f>_xlfn.XLOOKUP(order[[#This Row],[product_id]],Table4[product_id],Table4[cost_price])</f>
        <v>20000</v>
      </c>
      <c r="P807" s="11">
        <f>_xlfn.XLOOKUP(order[[#This Row],[order_id]],shipment[order_id],shipment[ship_date])</f>
        <v>45367</v>
      </c>
      <c r="Q807" s="11">
        <f>_xlfn.XLOOKUP(order[[#This Row],[order_id]],shipment[order_id],shipment[delivery_date])</f>
        <v>45374</v>
      </c>
      <c r="R807" s="3" t="str">
        <f>_xlfn.XLOOKUP(order[[#This Row],[order_id]],shipment[shipment_id],shipment[courier])</f>
        <v>Ekart</v>
      </c>
      <c r="S807" s="3">
        <f>order[[#This Row],[selling_price]]-order[[#This Row],[cost_price]]*order[[#This Row],[quantity]]-order[[#This Row],[discount]]</f>
        <v>19886</v>
      </c>
      <c r="T807" s="3">
        <f>order[[#This Row],[quantity]]*order[[#This Row],[selling_price]]</f>
        <v>43504</v>
      </c>
    </row>
    <row r="808" spans="1:20" x14ac:dyDescent="0.3">
      <c r="A808">
        <v>807</v>
      </c>
      <c r="B808" s="11">
        <v>45597</v>
      </c>
      <c r="C808">
        <v>164</v>
      </c>
      <c r="D808" t="str">
        <f>_xlfn.XLOOKUP(order[[#This Row],[customer_id]],customer[customer_id],customer[customer_name])</f>
        <v>Pooja Nair</v>
      </c>
      <c r="E808">
        <v>206</v>
      </c>
      <c r="F808">
        <v>1</v>
      </c>
      <c r="G808">
        <v>53115</v>
      </c>
      <c r="H808">
        <v>3914</v>
      </c>
      <c r="I808" t="s">
        <v>13</v>
      </c>
      <c r="J808" t="s">
        <v>12</v>
      </c>
      <c r="K808" t="str">
        <f>_xlfn.XLOOKUP(order[[#This Row],[customer_id]],customer[customer_id],customer[city])</f>
        <v>Ahmedabad</v>
      </c>
      <c r="L808" t="str">
        <f>_xlfn.XLOOKUP(order[[#This Row],[customer_id]],customer[customer_id],customer[state])</f>
        <v>Gujarat</v>
      </c>
      <c r="M808" t="str">
        <f>_xlfn.XLOOKUP(order[[#This Row],[product_id]],products!$A$2:$A$11,products!$B$2:$B$11)</f>
        <v>Philips Air Fryer</v>
      </c>
      <c r="N808" s="3" t="str">
        <f>_xlfn.XLOOKUP(order[[#This Row],[product_id]],products!$A$2:$A$11,products!$C$2:$C$11)</f>
        <v>Home &amp; Kitchen</v>
      </c>
      <c r="O808" s="3">
        <f>_xlfn.XLOOKUP(order[[#This Row],[product_id]],Table4[product_id],Table4[cost_price])</f>
        <v>7000</v>
      </c>
      <c r="P808" s="11">
        <f>_xlfn.XLOOKUP(order[[#This Row],[order_id]],shipment[order_id],shipment[ship_date])</f>
        <v>45651</v>
      </c>
      <c r="Q808" s="11">
        <f>_xlfn.XLOOKUP(order[[#This Row],[order_id]],shipment[order_id],shipment[delivery_date])</f>
        <v>45653</v>
      </c>
      <c r="R808" s="3" t="str">
        <f>_xlfn.XLOOKUP(order[[#This Row],[order_id]],shipment[shipment_id],shipment[courier])</f>
        <v>Ekart</v>
      </c>
      <c r="S808" s="3">
        <f>order[[#This Row],[selling_price]]-order[[#This Row],[cost_price]]*order[[#This Row],[quantity]]-order[[#This Row],[discount]]</f>
        <v>42201</v>
      </c>
      <c r="T808" s="3">
        <f>order[[#This Row],[quantity]]*order[[#This Row],[selling_price]]</f>
        <v>53115</v>
      </c>
    </row>
    <row r="809" spans="1:20" x14ac:dyDescent="0.3">
      <c r="A809">
        <v>808</v>
      </c>
      <c r="B809" s="11">
        <v>45583</v>
      </c>
      <c r="C809">
        <v>295</v>
      </c>
      <c r="D809" t="str">
        <f>_xlfn.XLOOKUP(order[[#This Row],[customer_id]],customer[customer_id],customer[customer_name])</f>
        <v>Aarav Sharma</v>
      </c>
      <c r="E809">
        <v>209</v>
      </c>
      <c r="F809">
        <v>1</v>
      </c>
      <c r="G809">
        <v>20612</v>
      </c>
      <c r="H809">
        <v>4800</v>
      </c>
      <c r="I809" t="s">
        <v>11</v>
      </c>
      <c r="J809" t="s">
        <v>12</v>
      </c>
      <c r="K809" t="str">
        <f>_xlfn.XLOOKUP(order[[#This Row],[customer_id]],customer[customer_id],customer[city])</f>
        <v>Chennai</v>
      </c>
      <c r="L809" t="str">
        <f>_xlfn.XLOOKUP(order[[#This Row],[customer_id]],customer[customer_id],customer[state])</f>
        <v>Tamil Nadu</v>
      </c>
      <c r="M809" t="str">
        <f>_xlfn.XLOOKUP(order[[#This Row],[product_id]],products!$A$2:$A$11,products!$B$2:$B$11)</f>
        <v>Milton Thermosteel Bottle</v>
      </c>
      <c r="N809" s="3" t="str">
        <f>_xlfn.XLOOKUP(order[[#This Row],[product_id]],products!$A$2:$A$11,products!$C$2:$C$11)</f>
        <v>Home &amp; Kitchen</v>
      </c>
      <c r="O809" s="3">
        <f>_xlfn.XLOOKUP(order[[#This Row],[product_id]],Table4[product_id],Table4[cost_price])</f>
        <v>800</v>
      </c>
      <c r="P809" s="11">
        <f>_xlfn.XLOOKUP(order[[#This Row],[order_id]],shipment[order_id],shipment[ship_date])</f>
        <v>45565</v>
      </c>
      <c r="Q809" s="11">
        <f>_xlfn.XLOOKUP(order[[#This Row],[order_id]],shipment[order_id],shipment[delivery_date])</f>
        <v>45567</v>
      </c>
      <c r="R809" s="3" t="str">
        <f>_xlfn.XLOOKUP(order[[#This Row],[order_id]],shipment[shipment_id],shipment[courier])</f>
        <v>Ekart</v>
      </c>
      <c r="S809" s="3">
        <f>order[[#This Row],[selling_price]]-order[[#This Row],[cost_price]]*order[[#This Row],[quantity]]-order[[#This Row],[discount]]</f>
        <v>15012</v>
      </c>
      <c r="T809" s="3">
        <f>order[[#This Row],[quantity]]*order[[#This Row],[selling_price]]</f>
        <v>20612</v>
      </c>
    </row>
    <row r="810" spans="1:20" x14ac:dyDescent="0.3">
      <c r="A810">
        <v>491</v>
      </c>
      <c r="B810" s="11">
        <v>45507</v>
      </c>
      <c r="C810">
        <v>141</v>
      </c>
      <c r="D810" t="str">
        <f>_xlfn.XLOOKUP(order[[#This Row],[customer_id]],customer[customer_id],customer[customer_name])</f>
        <v>Neha Kapoor</v>
      </c>
      <c r="E810">
        <v>207</v>
      </c>
      <c r="F810">
        <v>4</v>
      </c>
      <c r="G810">
        <v>4463</v>
      </c>
      <c r="H810">
        <v>3446</v>
      </c>
      <c r="I810" t="s">
        <v>9</v>
      </c>
      <c r="J810" t="s">
        <v>12</v>
      </c>
      <c r="K810" t="str">
        <f>_xlfn.XLOOKUP(order[[#This Row],[customer_id]],customer[customer_id],customer[city])</f>
        <v>Ahmedabad</v>
      </c>
      <c r="L810" t="str">
        <f>_xlfn.XLOOKUP(order[[#This Row],[customer_id]],customer[customer_id],customer[state])</f>
        <v>Gujarat</v>
      </c>
      <c r="M810" t="str">
        <f>_xlfn.XLOOKUP(order[[#This Row],[product_id]],products!$A$2:$A$11,products!$B$2:$B$11)</f>
        <v>Sony WH-1000XM4 Headphones</v>
      </c>
      <c r="N810" s="3" t="str">
        <f>_xlfn.XLOOKUP(order[[#This Row],[product_id]],products!$A$2:$A$11,products!$C$2:$C$11)</f>
        <v>Electronics</v>
      </c>
      <c r="O810" s="3">
        <f>_xlfn.XLOOKUP(order[[#This Row],[product_id]],Table4[product_id],Table4[cost_price])</f>
        <v>20000</v>
      </c>
      <c r="P810" s="11">
        <f>_xlfn.XLOOKUP(order[[#This Row],[order_id]],shipment[order_id],shipment[ship_date])</f>
        <v>45610</v>
      </c>
      <c r="Q810" s="11">
        <f>_xlfn.XLOOKUP(order[[#This Row],[order_id]],shipment[order_id],shipment[delivery_date])</f>
        <v>45619</v>
      </c>
      <c r="R810" s="3" t="str">
        <f>_xlfn.XLOOKUP(order[[#This Row],[order_id]],shipment[shipment_id],shipment[courier])</f>
        <v>DTDC</v>
      </c>
      <c r="S810" s="3">
        <f>order[[#This Row],[selling_price]]-order[[#This Row],[cost_price]]*order[[#This Row],[quantity]]-order[[#This Row],[discount]]</f>
        <v>-78983</v>
      </c>
      <c r="T810" s="3">
        <f>order[[#This Row],[quantity]]*order[[#This Row],[selling_price]]</f>
        <v>17852</v>
      </c>
    </row>
    <row r="811" spans="1:20" x14ac:dyDescent="0.3">
      <c r="A811">
        <v>810</v>
      </c>
      <c r="B811" s="11">
        <v>45311</v>
      </c>
      <c r="C811">
        <v>161</v>
      </c>
      <c r="D811" t="str">
        <f>_xlfn.XLOOKUP(order[[#This Row],[customer_id]],customer[customer_id],customer[customer_name])</f>
        <v>Arjun Nair</v>
      </c>
      <c r="E811">
        <v>206</v>
      </c>
      <c r="F811">
        <v>1</v>
      </c>
      <c r="G811">
        <v>68490</v>
      </c>
      <c r="H811">
        <v>4189</v>
      </c>
      <c r="I811" t="s">
        <v>15</v>
      </c>
      <c r="J811" t="s">
        <v>10</v>
      </c>
      <c r="K811" t="str">
        <f>_xlfn.XLOOKUP(order[[#This Row],[customer_id]],customer[customer_id],customer[city])</f>
        <v>Hyderabad</v>
      </c>
      <c r="L811" t="str">
        <f>_xlfn.XLOOKUP(order[[#This Row],[customer_id]],customer[customer_id],customer[state])</f>
        <v>Telangana</v>
      </c>
      <c r="M811" t="str">
        <f>_xlfn.XLOOKUP(order[[#This Row],[product_id]],products!$A$2:$A$11,products!$B$2:$B$11)</f>
        <v>Philips Air Fryer</v>
      </c>
      <c r="N811" s="3" t="str">
        <f>_xlfn.XLOOKUP(order[[#This Row],[product_id]],products!$A$2:$A$11,products!$C$2:$C$11)</f>
        <v>Home &amp; Kitchen</v>
      </c>
      <c r="O811" s="3">
        <f>_xlfn.XLOOKUP(order[[#This Row],[product_id]],Table4[product_id],Table4[cost_price])</f>
        <v>7000</v>
      </c>
      <c r="P811" s="11">
        <f>_xlfn.XLOOKUP(order[[#This Row],[order_id]],shipment[order_id],shipment[ship_date])</f>
        <v>45636</v>
      </c>
      <c r="Q811" s="11">
        <f>_xlfn.XLOOKUP(order[[#This Row],[order_id]],shipment[order_id],shipment[delivery_date])</f>
        <v>45645</v>
      </c>
      <c r="R811" s="3" t="str">
        <f>_xlfn.XLOOKUP(order[[#This Row],[order_id]],shipment[shipment_id],shipment[courier])</f>
        <v>Delhivery</v>
      </c>
      <c r="S811" s="3">
        <f>order[[#This Row],[selling_price]]-order[[#This Row],[cost_price]]*order[[#This Row],[quantity]]-order[[#This Row],[discount]]</f>
        <v>57301</v>
      </c>
      <c r="T811" s="3">
        <f>order[[#This Row],[quantity]]*order[[#This Row],[selling_price]]</f>
        <v>68490</v>
      </c>
    </row>
    <row r="812" spans="1:20" x14ac:dyDescent="0.3">
      <c r="A812">
        <v>48</v>
      </c>
      <c r="B812" s="11">
        <v>45362</v>
      </c>
      <c r="C812">
        <v>284</v>
      </c>
      <c r="D812" t="str">
        <f>_xlfn.XLOOKUP(order[[#This Row],[customer_id]],customer[customer_id],customer[customer_name])</f>
        <v>Siddharth Jain</v>
      </c>
      <c r="E812">
        <v>207</v>
      </c>
      <c r="F812">
        <v>3</v>
      </c>
      <c r="G812">
        <v>9581</v>
      </c>
      <c r="H812">
        <v>3442</v>
      </c>
      <c r="I812" t="s">
        <v>15</v>
      </c>
      <c r="J812" t="s">
        <v>14</v>
      </c>
      <c r="K812" t="str">
        <f>_xlfn.XLOOKUP(order[[#This Row],[customer_id]],customer[customer_id],customer[city])</f>
        <v>Delhi</v>
      </c>
      <c r="L812" t="str">
        <f>_xlfn.XLOOKUP(order[[#This Row],[customer_id]],customer[customer_id],customer[state])</f>
        <v>Delhi</v>
      </c>
      <c r="M812" t="str">
        <f>_xlfn.XLOOKUP(order[[#This Row],[product_id]],products!$A$2:$A$11,products!$B$2:$B$11)</f>
        <v>Sony WH-1000XM4 Headphones</v>
      </c>
      <c r="N812" s="3" t="str">
        <f>_xlfn.XLOOKUP(order[[#This Row],[product_id]],products!$A$2:$A$11,products!$C$2:$C$11)</f>
        <v>Electronics</v>
      </c>
      <c r="O812" s="3">
        <f>_xlfn.XLOOKUP(order[[#This Row],[product_id]],Table4[product_id],Table4[cost_price])</f>
        <v>20000</v>
      </c>
      <c r="P812" s="11">
        <f>_xlfn.XLOOKUP(order[[#This Row],[order_id]],shipment[order_id],shipment[ship_date])</f>
        <v>45354</v>
      </c>
      <c r="Q812" s="11">
        <f>_xlfn.XLOOKUP(order[[#This Row],[order_id]],shipment[order_id],shipment[delivery_date])</f>
        <v>45358</v>
      </c>
      <c r="R812" s="3" t="str">
        <f>_xlfn.XLOOKUP(order[[#This Row],[order_id]],shipment[shipment_id],shipment[courier])</f>
        <v>DTDC</v>
      </c>
      <c r="S812" s="3">
        <f>order[[#This Row],[selling_price]]-order[[#This Row],[cost_price]]*order[[#This Row],[quantity]]-order[[#This Row],[discount]]</f>
        <v>-53861</v>
      </c>
      <c r="T812" s="3">
        <f>order[[#This Row],[quantity]]*order[[#This Row],[selling_price]]</f>
        <v>28743</v>
      </c>
    </row>
    <row r="813" spans="1:20" x14ac:dyDescent="0.3">
      <c r="A813">
        <v>812</v>
      </c>
      <c r="B813" s="11">
        <v>45425</v>
      </c>
      <c r="C813">
        <v>230</v>
      </c>
      <c r="D813" t="str">
        <f>_xlfn.XLOOKUP(order[[#This Row],[customer_id]],customer[customer_id],customer[customer_name])</f>
        <v>Rohit Verma</v>
      </c>
      <c r="E813">
        <v>206</v>
      </c>
      <c r="F813">
        <v>2</v>
      </c>
      <c r="G813">
        <v>52037</v>
      </c>
      <c r="H813">
        <v>818</v>
      </c>
      <c r="I813" t="s">
        <v>11</v>
      </c>
      <c r="J813" t="s">
        <v>10</v>
      </c>
      <c r="K813" t="str">
        <f>_xlfn.XLOOKUP(order[[#This Row],[customer_id]],customer[customer_id],customer[city])</f>
        <v>Mumbai</v>
      </c>
      <c r="L813" t="str">
        <f>_xlfn.XLOOKUP(order[[#This Row],[customer_id]],customer[customer_id],customer[state])</f>
        <v>Maharashtra</v>
      </c>
      <c r="M813" t="str">
        <f>_xlfn.XLOOKUP(order[[#This Row],[product_id]],products!$A$2:$A$11,products!$B$2:$B$11)</f>
        <v>Philips Air Fryer</v>
      </c>
      <c r="N813" s="3" t="str">
        <f>_xlfn.XLOOKUP(order[[#This Row],[product_id]],products!$A$2:$A$11,products!$C$2:$C$11)</f>
        <v>Home &amp; Kitchen</v>
      </c>
      <c r="O813" s="3">
        <f>_xlfn.XLOOKUP(order[[#This Row],[product_id]],Table4[product_id],Table4[cost_price])</f>
        <v>7000</v>
      </c>
      <c r="P813" s="11">
        <f>_xlfn.XLOOKUP(order[[#This Row],[order_id]],shipment[order_id],shipment[ship_date])</f>
        <v>45572</v>
      </c>
      <c r="Q813" s="11">
        <f>_xlfn.XLOOKUP(order[[#This Row],[order_id]],shipment[order_id],shipment[delivery_date])</f>
        <v>45573</v>
      </c>
      <c r="R813" s="3" t="str">
        <f>_xlfn.XLOOKUP(order[[#This Row],[order_id]],shipment[shipment_id],shipment[courier])</f>
        <v>Ekart</v>
      </c>
      <c r="S813" s="3">
        <f>order[[#This Row],[selling_price]]-order[[#This Row],[cost_price]]*order[[#This Row],[quantity]]-order[[#This Row],[discount]]</f>
        <v>37219</v>
      </c>
      <c r="T813" s="3">
        <f>order[[#This Row],[quantity]]*order[[#This Row],[selling_price]]</f>
        <v>104074</v>
      </c>
    </row>
    <row r="814" spans="1:20" x14ac:dyDescent="0.3">
      <c r="A814">
        <v>813</v>
      </c>
      <c r="B814" s="11">
        <v>45368</v>
      </c>
      <c r="C814">
        <v>203</v>
      </c>
      <c r="D814" t="str">
        <f>_xlfn.XLOOKUP(order[[#This Row],[customer_id]],customer[customer_id],customer[customer_name])</f>
        <v>Vikram Singh</v>
      </c>
      <c r="E814">
        <v>208</v>
      </c>
      <c r="F814">
        <v>3</v>
      </c>
      <c r="G814">
        <v>61219</v>
      </c>
      <c r="H814">
        <v>1163</v>
      </c>
      <c r="I814" t="s">
        <v>11</v>
      </c>
      <c r="J814" t="s">
        <v>10</v>
      </c>
      <c r="K814" t="str">
        <f>_xlfn.XLOOKUP(order[[#This Row],[customer_id]],customer[customer_id],customer[city])</f>
        <v>Delhi</v>
      </c>
      <c r="L814" t="str">
        <f>_xlfn.XLOOKUP(order[[#This Row],[customer_id]],customer[customer_id],customer[state])</f>
        <v>Delhi</v>
      </c>
      <c r="M814" t="str">
        <f>_xlfn.XLOOKUP(order[[#This Row],[product_id]],products!$A$2:$A$11,products!$B$2:$B$11)</f>
        <v>Adidas Ultraboost Shoes</v>
      </c>
      <c r="N814" s="3" t="str">
        <f>_xlfn.XLOOKUP(order[[#This Row],[product_id]],products!$A$2:$A$11,products!$C$2:$C$11)</f>
        <v>Fashion</v>
      </c>
      <c r="O814" s="3">
        <f>_xlfn.XLOOKUP(order[[#This Row],[product_id]],Table4[product_id],Table4[cost_price])</f>
        <v>9000</v>
      </c>
      <c r="P814" s="11">
        <f>_xlfn.XLOOKUP(order[[#This Row],[order_id]],shipment[order_id],shipment[ship_date])</f>
        <v>45377</v>
      </c>
      <c r="Q814" s="11">
        <f>_xlfn.XLOOKUP(order[[#This Row],[order_id]],shipment[order_id],shipment[delivery_date])</f>
        <v>45383</v>
      </c>
      <c r="R814" s="3" t="str">
        <f>_xlfn.XLOOKUP(order[[#This Row],[order_id]],shipment[shipment_id],shipment[courier])</f>
        <v>Ekart</v>
      </c>
      <c r="S814" s="3">
        <f>order[[#This Row],[selling_price]]-order[[#This Row],[cost_price]]*order[[#This Row],[quantity]]-order[[#This Row],[discount]]</f>
        <v>33056</v>
      </c>
      <c r="T814" s="3">
        <f>order[[#This Row],[quantity]]*order[[#This Row],[selling_price]]</f>
        <v>183657</v>
      </c>
    </row>
    <row r="815" spans="1:20" x14ac:dyDescent="0.3">
      <c r="A815">
        <v>814</v>
      </c>
      <c r="B815" s="11">
        <v>45521</v>
      </c>
      <c r="C815">
        <v>232</v>
      </c>
      <c r="D815" t="str">
        <f>_xlfn.XLOOKUP(order[[#This Row],[customer_id]],customer[customer_id],customer[customer_name])</f>
        <v>Vikram Singh</v>
      </c>
      <c r="E815">
        <v>205</v>
      </c>
      <c r="F815">
        <v>2</v>
      </c>
      <c r="G815">
        <v>43560</v>
      </c>
      <c r="H815">
        <v>4215</v>
      </c>
      <c r="I815" t="s">
        <v>11</v>
      </c>
      <c r="J815" t="s">
        <v>12</v>
      </c>
      <c r="K815" t="str">
        <f>_xlfn.XLOOKUP(order[[#This Row],[customer_id]],customer[customer_id],customer[city])</f>
        <v>Chennai</v>
      </c>
      <c r="L815" t="str">
        <f>_xlfn.XLOOKUP(order[[#This Row],[customer_id]],customer[customer_id],customer[state])</f>
        <v>Tamil Nadu</v>
      </c>
      <c r="M815" t="str">
        <f>_xlfn.XLOOKUP(order[[#This Row],[product_id]],products!$A$2:$A$11,products!$B$2:$B$11)</f>
        <v>Prestige Pressure Cooker 5L</v>
      </c>
      <c r="N815" s="3" t="str">
        <f>_xlfn.XLOOKUP(order[[#This Row],[product_id]],products!$A$2:$A$11,products!$C$2:$C$11)</f>
        <v>Home &amp; Kitchen</v>
      </c>
      <c r="O815" s="3">
        <f>_xlfn.XLOOKUP(order[[#This Row],[product_id]],Table4[product_id],Table4[cost_price])</f>
        <v>1200</v>
      </c>
      <c r="P815" s="11">
        <f>_xlfn.XLOOKUP(order[[#This Row],[order_id]],shipment[order_id],shipment[ship_date])</f>
        <v>45441</v>
      </c>
      <c r="Q815" s="11">
        <f>_xlfn.XLOOKUP(order[[#This Row],[order_id]],shipment[order_id],shipment[delivery_date])</f>
        <v>45449</v>
      </c>
      <c r="R815" s="3" t="str">
        <f>_xlfn.XLOOKUP(order[[#This Row],[order_id]],shipment[shipment_id],shipment[courier])</f>
        <v>DTDC</v>
      </c>
      <c r="S815" s="3">
        <f>order[[#This Row],[selling_price]]-order[[#This Row],[cost_price]]*order[[#This Row],[quantity]]-order[[#This Row],[discount]]</f>
        <v>36945</v>
      </c>
      <c r="T815" s="3">
        <f>order[[#This Row],[quantity]]*order[[#This Row],[selling_price]]</f>
        <v>87120</v>
      </c>
    </row>
    <row r="816" spans="1:20" x14ac:dyDescent="0.3">
      <c r="A816">
        <v>217</v>
      </c>
      <c r="B816" s="11">
        <v>45412</v>
      </c>
      <c r="C816">
        <v>122</v>
      </c>
      <c r="D816" t="str">
        <f>_xlfn.XLOOKUP(order[[#This Row],[customer_id]],customer[customer_id],customer[customer_name])</f>
        <v>Priya Reddy</v>
      </c>
      <c r="E816">
        <v>207</v>
      </c>
      <c r="F816">
        <v>4</v>
      </c>
      <c r="G816">
        <v>62439</v>
      </c>
      <c r="H816">
        <v>3400</v>
      </c>
      <c r="I816" t="s">
        <v>9</v>
      </c>
      <c r="J816" t="s">
        <v>12</v>
      </c>
      <c r="K816" t="str">
        <f>_xlfn.XLOOKUP(order[[#This Row],[customer_id]],customer[customer_id],customer[city])</f>
        <v>Hyderabad</v>
      </c>
      <c r="L816" t="str">
        <f>_xlfn.XLOOKUP(order[[#This Row],[customer_id]],customer[customer_id],customer[state])</f>
        <v>Telangana</v>
      </c>
      <c r="M816" t="str">
        <f>_xlfn.XLOOKUP(order[[#This Row],[product_id]],products!$A$2:$A$11,products!$B$2:$B$11)</f>
        <v>Sony WH-1000XM4 Headphones</v>
      </c>
      <c r="N816" s="3" t="str">
        <f>_xlfn.XLOOKUP(order[[#This Row],[product_id]],products!$A$2:$A$11,products!$C$2:$C$11)</f>
        <v>Electronics</v>
      </c>
      <c r="O816" s="3">
        <f>_xlfn.XLOOKUP(order[[#This Row],[product_id]],Table4[product_id],Table4[cost_price])</f>
        <v>20000</v>
      </c>
      <c r="P816" s="11">
        <f>_xlfn.XLOOKUP(order[[#This Row],[order_id]],shipment[order_id],shipment[ship_date])</f>
        <v>45382</v>
      </c>
      <c r="Q816" s="11">
        <f>_xlfn.XLOOKUP(order[[#This Row],[order_id]],shipment[order_id],shipment[delivery_date])</f>
        <v>45385</v>
      </c>
      <c r="R816" s="3" t="str">
        <f>_xlfn.XLOOKUP(order[[#This Row],[order_id]],shipment[shipment_id],shipment[courier])</f>
        <v>Ekart</v>
      </c>
      <c r="S816" s="3">
        <f>order[[#This Row],[selling_price]]-order[[#This Row],[cost_price]]*order[[#This Row],[quantity]]-order[[#This Row],[discount]]</f>
        <v>-20961</v>
      </c>
      <c r="T816" s="3">
        <f>order[[#This Row],[quantity]]*order[[#This Row],[selling_price]]</f>
        <v>249756</v>
      </c>
    </row>
    <row r="817" spans="1:20" x14ac:dyDescent="0.3">
      <c r="A817">
        <v>1113</v>
      </c>
      <c r="B817" s="11">
        <v>45655</v>
      </c>
      <c r="C817">
        <v>178</v>
      </c>
      <c r="D817" t="str">
        <f>_xlfn.XLOOKUP(order[[#This Row],[customer_id]],customer[customer_id],customer[customer_name])</f>
        <v>Meera Joshi</v>
      </c>
      <c r="E817">
        <v>207</v>
      </c>
      <c r="F817">
        <v>2</v>
      </c>
      <c r="G817">
        <v>8545</v>
      </c>
      <c r="H817">
        <v>3293</v>
      </c>
      <c r="I817" t="s">
        <v>15</v>
      </c>
      <c r="J817" t="s">
        <v>10</v>
      </c>
      <c r="K817" t="str">
        <f>_xlfn.XLOOKUP(order[[#This Row],[customer_id]],customer[customer_id],customer[city])</f>
        <v>Hyderabad</v>
      </c>
      <c r="L817" t="str">
        <f>_xlfn.XLOOKUP(order[[#This Row],[customer_id]],customer[customer_id],customer[state])</f>
        <v>Telangana</v>
      </c>
      <c r="M817" t="str">
        <f>_xlfn.XLOOKUP(order[[#This Row],[product_id]],products!$A$2:$A$11,products!$B$2:$B$11)</f>
        <v>Sony WH-1000XM4 Headphones</v>
      </c>
      <c r="N817" s="3" t="str">
        <f>_xlfn.XLOOKUP(order[[#This Row],[product_id]],products!$A$2:$A$11,products!$C$2:$C$11)</f>
        <v>Electronics</v>
      </c>
      <c r="O817" s="3">
        <f>_xlfn.XLOOKUP(order[[#This Row],[product_id]],Table4[product_id],Table4[cost_price])</f>
        <v>20000</v>
      </c>
      <c r="P817" s="11">
        <f>_xlfn.XLOOKUP(order[[#This Row],[order_id]],shipment[order_id],shipment[ship_date])</f>
        <v>45620</v>
      </c>
      <c r="Q817" s="11">
        <f>_xlfn.XLOOKUP(order[[#This Row],[order_id]],shipment[order_id],shipment[delivery_date])</f>
        <v>45621</v>
      </c>
      <c r="R817" s="3" t="str">
        <f>_xlfn.XLOOKUP(order[[#This Row],[order_id]],shipment[shipment_id],shipment[courier])</f>
        <v>BlueDart</v>
      </c>
      <c r="S817" s="3">
        <f>order[[#This Row],[selling_price]]-order[[#This Row],[cost_price]]*order[[#This Row],[quantity]]-order[[#This Row],[discount]]</f>
        <v>-34748</v>
      </c>
      <c r="T817" s="3">
        <f>order[[#This Row],[quantity]]*order[[#This Row],[selling_price]]</f>
        <v>17090</v>
      </c>
    </row>
    <row r="818" spans="1:20" x14ac:dyDescent="0.3">
      <c r="A818">
        <v>868</v>
      </c>
      <c r="B818" s="11">
        <v>45547</v>
      </c>
      <c r="C818">
        <v>121</v>
      </c>
      <c r="D818" t="str">
        <f>_xlfn.XLOOKUP(order[[#This Row],[customer_id]],customer[customer_id],customer[customer_name])</f>
        <v>Rohit Verma</v>
      </c>
      <c r="E818">
        <v>207</v>
      </c>
      <c r="F818">
        <v>2</v>
      </c>
      <c r="G818">
        <v>24577</v>
      </c>
      <c r="H818">
        <v>3278</v>
      </c>
      <c r="I818" t="s">
        <v>9</v>
      </c>
      <c r="J818" t="s">
        <v>10</v>
      </c>
      <c r="K818" t="str">
        <f>_xlfn.XLOOKUP(order[[#This Row],[customer_id]],customer[customer_id],customer[city])</f>
        <v>Bangalore</v>
      </c>
      <c r="L818" t="str">
        <f>_xlfn.XLOOKUP(order[[#This Row],[customer_id]],customer[customer_id],customer[state])</f>
        <v>Karnataka</v>
      </c>
      <c r="M818" t="str">
        <f>_xlfn.XLOOKUP(order[[#This Row],[product_id]],products!$A$2:$A$11,products!$B$2:$B$11)</f>
        <v>Sony WH-1000XM4 Headphones</v>
      </c>
      <c r="N818" s="3" t="str">
        <f>_xlfn.XLOOKUP(order[[#This Row],[product_id]],products!$A$2:$A$11,products!$C$2:$C$11)</f>
        <v>Electronics</v>
      </c>
      <c r="O818" s="3">
        <f>_xlfn.XLOOKUP(order[[#This Row],[product_id]],Table4[product_id],Table4[cost_price])</f>
        <v>20000</v>
      </c>
      <c r="P818" s="11">
        <f>_xlfn.XLOOKUP(order[[#This Row],[order_id]],shipment[order_id],shipment[ship_date])</f>
        <v>45405</v>
      </c>
      <c r="Q818" s="11">
        <f>_xlfn.XLOOKUP(order[[#This Row],[order_id]],shipment[order_id],shipment[delivery_date])</f>
        <v>45407</v>
      </c>
      <c r="R818" s="3" t="str">
        <f>_xlfn.XLOOKUP(order[[#This Row],[order_id]],shipment[shipment_id],shipment[courier])</f>
        <v>BlueDart</v>
      </c>
      <c r="S818" s="3">
        <f>order[[#This Row],[selling_price]]-order[[#This Row],[cost_price]]*order[[#This Row],[quantity]]-order[[#This Row],[discount]]</f>
        <v>-18701</v>
      </c>
      <c r="T818" s="3">
        <f>order[[#This Row],[quantity]]*order[[#This Row],[selling_price]]</f>
        <v>49154</v>
      </c>
    </row>
    <row r="819" spans="1:20" x14ac:dyDescent="0.3">
      <c r="A819">
        <v>773</v>
      </c>
      <c r="B819" s="11">
        <v>45377</v>
      </c>
      <c r="C819">
        <v>293</v>
      </c>
      <c r="D819" t="str">
        <f>_xlfn.XLOOKUP(order[[#This Row],[customer_id]],customer[customer_id],customer[customer_name])</f>
        <v>Sneha Iyer</v>
      </c>
      <c r="E819">
        <v>207</v>
      </c>
      <c r="F819">
        <v>2</v>
      </c>
      <c r="G819">
        <v>15712</v>
      </c>
      <c r="H819">
        <v>3217</v>
      </c>
      <c r="I819" t="s">
        <v>11</v>
      </c>
      <c r="J819" t="s">
        <v>10</v>
      </c>
      <c r="K819" t="str">
        <f>_xlfn.XLOOKUP(order[[#This Row],[customer_id]],customer[customer_id],customer[city])</f>
        <v>Pune</v>
      </c>
      <c r="L819" t="str">
        <f>_xlfn.XLOOKUP(order[[#This Row],[customer_id]],customer[customer_id],customer[state])</f>
        <v>Maharashtra</v>
      </c>
      <c r="M819" t="str">
        <f>_xlfn.XLOOKUP(order[[#This Row],[product_id]],products!$A$2:$A$11,products!$B$2:$B$11)</f>
        <v>Sony WH-1000XM4 Headphones</v>
      </c>
      <c r="N819" s="3" t="str">
        <f>_xlfn.XLOOKUP(order[[#This Row],[product_id]],products!$A$2:$A$11,products!$C$2:$C$11)</f>
        <v>Electronics</v>
      </c>
      <c r="O819" s="3">
        <f>_xlfn.XLOOKUP(order[[#This Row],[product_id]],Table4[product_id],Table4[cost_price])</f>
        <v>20000</v>
      </c>
      <c r="P819" s="11">
        <f>_xlfn.XLOOKUP(order[[#This Row],[order_id]],shipment[order_id],shipment[ship_date])</f>
        <v>45550</v>
      </c>
      <c r="Q819" s="11">
        <f>_xlfn.XLOOKUP(order[[#This Row],[order_id]],shipment[order_id],shipment[delivery_date])</f>
        <v>45552</v>
      </c>
      <c r="R819" s="3" t="str">
        <f>_xlfn.XLOOKUP(order[[#This Row],[order_id]],shipment[shipment_id],shipment[courier])</f>
        <v>DTDC</v>
      </c>
      <c r="S819" s="3">
        <f>order[[#This Row],[selling_price]]-order[[#This Row],[cost_price]]*order[[#This Row],[quantity]]-order[[#This Row],[discount]]</f>
        <v>-27505</v>
      </c>
      <c r="T819" s="3">
        <f>order[[#This Row],[quantity]]*order[[#This Row],[selling_price]]</f>
        <v>31424</v>
      </c>
    </row>
    <row r="820" spans="1:20" x14ac:dyDescent="0.3">
      <c r="A820">
        <v>1162</v>
      </c>
      <c r="B820" s="11">
        <v>45608</v>
      </c>
      <c r="C820">
        <v>273</v>
      </c>
      <c r="D820" t="str">
        <f>_xlfn.XLOOKUP(order[[#This Row],[customer_id]],customer[customer_id],customer[customer_name])</f>
        <v>Pooja Nair</v>
      </c>
      <c r="E820">
        <v>207</v>
      </c>
      <c r="F820">
        <v>3</v>
      </c>
      <c r="G820">
        <v>47825</v>
      </c>
      <c r="H820">
        <v>3078</v>
      </c>
      <c r="I820" t="s">
        <v>13</v>
      </c>
      <c r="J820" t="s">
        <v>14</v>
      </c>
      <c r="K820" t="str">
        <f>_xlfn.XLOOKUP(order[[#This Row],[customer_id]],customer[customer_id],customer[city])</f>
        <v>Bangalore</v>
      </c>
      <c r="L820" t="str">
        <f>_xlfn.XLOOKUP(order[[#This Row],[customer_id]],customer[customer_id],customer[state])</f>
        <v>Karnataka</v>
      </c>
      <c r="M820" t="str">
        <f>_xlfn.XLOOKUP(order[[#This Row],[product_id]],products!$A$2:$A$11,products!$B$2:$B$11)</f>
        <v>Sony WH-1000XM4 Headphones</v>
      </c>
      <c r="N820" s="3" t="str">
        <f>_xlfn.XLOOKUP(order[[#This Row],[product_id]],products!$A$2:$A$11,products!$C$2:$C$11)</f>
        <v>Electronics</v>
      </c>
      <c r="O820" s="3">
        <f>_xlfn.XLOOKUP(order[[#This Row],[product_id]],Table4[product_id],Table4[cost_price])</f>
        <v>20000</v>
      </c>
      <c r="P820" s="11">
        <f>_xlfn.XLOOKUP(order[[#This Row],[order_id]],shipment[order_id],shipment[ship_date])</f>
        <v>45330</v>
      </c>
      <c r="Q820" s="11">
        <f>_xlfn.XLOOKUP(order[[#This Row],[order_id]],shipment[order_id],shipment[delivery_date])</f>
        <v>45338</v>
      </c>
      <c r="R820" s="3" t="str">
        <f>_xlfn.XLOOKUP(order[[#This Row],[order_id]],shipment[shipment_id],shipment[courier])</f>
        <v>BlueDart</v>
      </c>
      <c r="S820" s="3">
        <f>order[[#This Row],[selling_price]]-order[[#This Row],[cost_price]]*order[[#This Row],[quantity]]-order[[#This Row],[discount]]</f>
        <v>-15253</v>
      </c>
      <c r="T820" s="3">
        <f>order[[#This Row],[quantity]]*order[[#This Row],[selling_price]]</f>
        <v>143475</v>
      </c>
    </row>
    <row r="821" spans="1:20" x14ac:dyDescent="0.3">
      <c r="A821">
        <v>820</v>
      </c>
      <c r="B821" s="11">
        <v>45403</v>
      </c>
      <c r="C821">
        <v>197</v>
      </c>
      <c r="D821" t="str">
        <f>_xlfn.XLOOKUP(order[[#This Row],[customer_id]],customer[customer_id],customer[customer_name])</f>
        <v>Neha Kapoor</v>
      </c>
      <c r="E821">
        <v>204</v>
      </c>
      <c r="F821">
        <v>1</v>
      </c>
      <c r="G821">
        <v>15246</v>
      </c>
      <c r="H821">
        <v>3085</v>
      </c>
      <c r="I821" t="s">
        <v>11</v>
      </c>
      <c r="J821" t="s">
        <v>14</v>
      </c>
      <c r="K821" t="str">
        <f>_xlfn.XLOOKUP(order[[#This Row],[customer_id]],customer[customer_id],customer[city])</f>
        <v>Delhi</v>
      </c>
      <c r="L821" t="str">
        <f>_xlfn.XLOOKUP(order[[#This Row],[customer_id]],customer[customer_id],customer[state])</f>
        <v>Delhi</v>
      </c>
      <c r="M821" t="str">
        <f>_xlfn.XLOOKUP(order[[#This Row],[product_id]],products!$A$2:$A$11,products!$B$2:$B$11)</f>
        <v>Levi's Slim Fit Jeans</v>
      </c>
      <c r="N821" s="3" t="str">
        <f>_xlfn.XLOOKUP(order[[#This Row],[product_id]],products!$A$2:$A$11,products!$C$2:$C$11)</f>
        <v>Fashion</v>
      </c>
      <c r="O821" s="3">
        <f>_xlfn.XLOOKUP(order[[#This Row],[product_id]],Table4[product_id],Table4[cost_price])</f>
        <v>1800</v>
      </c>
      <c r="P821" s="11">
        <f>_xlfn.XLOOKUP(order[[#This Row],[order_id]],shipment[order_id],shipment[ship_date])</f>
        <v>45515</v>
      </c>
      <c r="Q821" s="11">
        <f>_xlfn.XLOOKUP(order[[#This Row],[order_id]],shipment[order_id],shipment[delivery_date])</f>
        <v>45521</v>
      </c>
      <c r="R821" s="3" t="str">
        <f>_xlfn.XLOOKUP(order[[#This Row],[order_id]],shipment[shipment_id],shipment[courier])</f>
        <v>Delhivery</v>
      </c>
      <c r="S821" s="3">
        <f>order[[#This Row],[selling_price]]-order[[#This Row],[cost_price]]*order[[#This Row],[quantity]]-order[[#This Row],[discount]]</f>
        <v>10361</v>
      </c>
      <c r="T821" s="3">
        <f>order[[#This Row],[quantity]]*order[[#This Row],[selling_price]]</f>
        <v>15246</v>
      </c>
    </row>
    <row r="822" spans="1:20" x14ac:dyDescent="0.3">
      <c r="A822">
        <v>821</v>
      </c>
      <c r="B822" s="11">
        <v>45453</v>
      </c>
      <c r="C822">
        <v>266</v>
      </c>
      <c r="D822" t="str">
        <f>_xlfn.XLOOKUP(order[[#This Row],[customer_id]],customer[customer_id],customer[customer_name])</f>
        <v>Karan Patel</v>
      </c>
      <c r="E822">
        <v>206</v>
      </c>
      <c r="F822">
        <v>3</v>
      </c>
      <c r="G822">
        <v>40773</v>
      </c>
      <c r="H822">
        <v>4549</v>
      </c>
      <c r="I822" t="s">
        <v>13</v>
      </c>
      <c r="J822" t="s">
        <v>14</v>
      </c>
      <c r="K822" t="str">
        <f>_xlfn.XLOOKUP(order[[#This Row],[customer_id]],customer[customer_id],customer[city])</f>
        <v>Chennai</v>
      </c>
      <c r="L822" t="str">
        <f>_xlfn.XLOOKUP(order[[#This Row],[customer_id]],customer[customer_id],customer[state])</f>
        <v>Tamil Nadu</v>
      </c>
      <c r="M822" t="str">
        <f>_xlfn.XLOOKUP(order[[#This Row],[product_id]],products!$A$2:$A$11,products!$B$2:$B$11)</f>
        <v>Philips Air Fryer</v>
      </c>
      <c r="N822" s="3" t="str">
        <f>_xlfn.XLOOKUP(order[[#This Row],[product_id]],products!$A$2:$A$11,products!$C$2:$C$11)</f>
        <v>Home &amp; Kitchen</v>
      </c>
      <c r="O822" s="3">
        <f>_xlfn.XLOOKUP(order[[#This Row],[product_id]],Table4[product_id],Table4[cost_price])</f>
        <v>7000</v>
      </c>
      <c r="P822" s="11">
        <f>_xlfn.XLOOKUP(order[[#This Row],[order_id]],shipment[order_id],shipment[ship_date])</f>
        <v>45378</v>
      </c>
      <c r="Q822" s="11">
        <f>_xlfn.XLOOKUP(order[[#This Row],[order_id]],shipment[order_id],shipment[delivery_date])</f>
        <v>45385</v>
      </c>
      <c r="R822" s="3" t="str">
        <f>_xlfn.XLOOKUP(order[[#This Row],[order_id]],shipment[shipment_id],shipment[courier])</f>
        <v>DTDC</v>
      </c>
      <c r="S822" s="3">
        <f>order[[#This Row],[selling_price]]-order[[#This Row],[cost_price]]*order[[#This Row],[quantity]]-order[[#This Row],[discount]]</f>
        <v>15224</v>
      </c>
      <c r="T822" s="3">
        <f>order[[#This Row],[quantity]]*order[[#This Row],[selling_price]]</f>
        <v>122319</v>
      </c>
    </row>
    <row r="823" spans="1:20" x14ac:dyDescent="0.3">
      <c r="A823">
        <v>822</v>
      </c>
      <c r="B823" s="11">
        <v>45392</v>
      </c>
      <c r="C823">
        <v>170</v>
      </c>
      <c r="D823" t="str">
        <f>_xlfn.XLOOKUP(order[[#This Row],[customer_id]],customer[customer_id],customer[customer_name])</f>
        <v>Siddharth Jain</v>
      </c>
      <c r="E823">
        <v>203</v>
      </c>
      <c r="F823">
        <v>2</v>
      </c>
      <c r="G823">
        <v>15998</v>
      </c>
      <c r="H823">
        <v>3806</v>
      </c>
      <c r="I823" t="s">
        <v>15</v>
      </c>
      <c r="J823" t="s">
        <v>12</v>
      </c>
      <c r="K823" t="str">
        <f>_xlfn.XLOOKUP(order[[#This Row],[customer_id]],customer[customer_id],customer[city])</f>
        <v>Pune</v>
      </c>
      <c r="L823" t="str">
        <f>_xlfn.XLOOKUP(order[[#This Row],[customer_id]],customer[customer_id],customer[state])</f>
        <v>Maharashtra</v>
      </c>
      <c r="M823" t="str">
        <f>_xlfn.XLOOKUP(order[[#This Row],[product_id]],products!$A$2:$A$11,products!$B$2:$B$11)</f>
        <v>Nike Air Max Shoes</v>
      </c>
      <c r="N823" s="3" t="str">
        <f>_xlfn.XLOOKUP(order[[#This Row],[product_id]],products!$A$2:$A$11,products!$C$2:$C$11)</f>
        <v>Fashion</v>
      </c>
      <c r="O823" s="3">
        <f>_xlfn.XLOOKUP(order[[#This Row],[product_id]],Table4[product_id],Table4[cost_price])</f>
        <v>4000</v>
      </c>
      <c r="P823" s="11">
        <f>_xlfn.XLOOKUP(order[[#This Row],[order_id]],shipment[order_id],shipment[ship_date])</f>
        <v>45453</v>
      </c>
      <c r="Q823" s="11">
        <f>_xlfn.XLOOKUP(order[[#This Row],[order_id]],shipment[order_id],shipment[delivery_date])</f>
        <v>45461</v>
      </c>
      <c r="R823" s="3" t="str">
        <f>_xlfn.XLOOKUP(order[[#This Row],[order_id]],shipment[shipment_id],shipment[courier])</f>
        <v>DTDC</v>
      </c>
      <c r="S823" s="3">
        <f>order[[#This Row],[selling_price]]-order[[#This Row],[cost_price]]*order[[#This Row],[quantity]]-order[[#This Row],[discount]]</f>
        <v>4192</v>
      </c>
      <c r="T823" s="3">
        <f>order[[#This Row],[quantity]]*order[[#This Row],[selling_price]]</f>
        <v>31996</v>
      </c>
    </row>
    <row r="824" spans="1:20" x14ac:dyDescent="0.3">
      <c r="A824">
        <v>823</v>
      </c>
      <c r="B824" s="11">
        <v>45648</v>
      </c>
      <c r="C824">
        <v>283</v>
      </c>
      <c r="D824" t="str">
        <f>_xlfn.XLOOKUP(order[[#This Row],[customer_id]],customer[customer_id],customer[customer_name])</f>
        <v>Neha Kapoor</v>
      </c>
      <c r="E824">
        <v>207</v>
      </c>
      <c r="F824">
        <v>1</v>
      </c>
      <c r="G824">
        <v>32911</v>
      </c>
      <c r="H824">
        <v>2511</v>
      </c>
      <c r="I824" t="s">
        <v>11</v>
      </c>
      <c r="J824" t="s">
        <v>12</v>
      </c>
      <c r="K824" t="str">
        <f>_xlfn.XLOOKUP(order[[#This Row],[customer_id]],customer[customer_id],customer[city])</f>
        <v>Ahmedabad</v>
      </c>
      <c r="L824" t="str">
        <f>_xlfn.XLOOKUP(order[[#This Row],[customer_id]],customer[customer_id],customer[state])</f>
        <v>Gujarat</v>
      </c>
      <c r="M824" t="str">
        <f>_xlfn.XLOOKUP(order[[#This Row],[product_id]],products!$A$2:$A$11,products!$B$2:$B$11)</f>
        <v>Sony WH-1000XM4 Headphones</v>
      </c>
      <c r="N824" s="3" t="str">
        <f>_xlfn.XLOOKUP(order[[#This Row],[product_id]],products!$A$2:$A$11,products!$C$2:$C$11)</f>
        <v>Electronics</v>
      </c>
      <c r="O824" s="3">
        <f>_xlfn.XLOOKUP(order[[#This Row],[product_id]],Table4[product_id],Table4[cost_price])</f>
        <v>20000</v>
      </c>
      <c r="P824" s="11">
        <f>_xlfn.XLOOKUP(order[[#This Row],[order_id]],shipment[order_id],shipment[ship_date])</f>
        <v>45488</v>
      </c>
      <c r="Q824" s="11">
        <f>_xlfn.XLOOKUP(order[[#This Row],[order_id]],shipment[order_id],shipment[delivery_date])</f>
        <v>45492</v>
      </c>
      <c r="R824" s="3" t="str">
        <f>_xlfn.XLOOKUP(order[[#This Row],[order_id]],shipment[shipment_id],shipment[courier])</f>
        <v>Ekart</v>
      </c>
      <c r="S824" s="3">
        <f>order[[#This Row],[selling_price]]-order[[#This Row],[cost_price]]*order[[#This Row],[quantity]]-order[[#This Row],[discount]]</f>
        <v>10400</v>
      </c>
      <c r="T824" s="3">
        <f>order[[#This Row],[quantity]]*order[[#This Row],[selling_price]]</f>
        <v>32911</v>
      </c>
    </row>
    <row r="825" spans="1:20" x14ac:dyDescent="0.3">
      <c r="A825">
        <v>824</v>
      </c>
      <c r="B825" s="11">
        <v>45341</v>
      </c>
      <c r="C825">
        <v>121</v>
      </c>
      <c r="D825" t="str">
        <f>_xlfn.XLOOKUP(order[[#This Row],[customer_id]],customer[customer_id],customer[customer_name])</f>
        <v>Rohit Verma</v>
      </c>
      <c r="E825">
        <v>205</v>
      </c>
      <c r="F825">
        <v>4</v>
      </c>
      <c r="G825">
        <v>54987</v>
      </c>
      <c r="H825">
        <v>1523</v>
      </c>
      <c r="I825" t="s">
        <v>11</v>
      </c>
      <c r="J825" t="s">
        <v>10</v>
      </c>
      <c r="K825" t="str">
        <f>_xlfn.XLOOKUP(order[[#This Row],[customer_id]],customer[customer_id],customer[city])</f>
        <v>Bangalore</v>
      </c>
      <c r="L825" t="str">
        <f>_xlfn.XLOOKUP(order[[#This Row],[customer_id]],customer[customer_id],customer[state])</f>
        <v>Karnataka</v>
      </c>
      <c r="M825" t="str">
        <f>_xlfn.XLOOKUP(order[[#This Row],[product_id]],products!$A$2:$A$11,products!$B$2:$B$11)</f>
        <v>Prestige Pressure Cooker 5L</v>
      </c>
      <c r="N825" s="3" t="str">
        <f>_xlfn.XLOOKUP(order[[#This Row],[product_id]],products!$A$2:$A$11,products!$C$2:$C$11)</f>
        <v>Home &amp; Kitchen</v>
      </c>
      <c r="O825" s="3">
        <f>_xlfn.XLOOKUP(order[[#This Row],[product_id]],Table4[product_id],Table4[cost_price])</f>
        <v>1200</v>
      </c>
      <c r="P825" s="11">
        <f>_xlfn.XLOOKUP(order[[#This Row],[order_id]],shipment[order_id],shipment[ship_date])</f>
        <v>45474</v>
      </c>
      <c r="Q825" s="11">
        <f>_xlfn.XLOOKUP(order[[#This Row],[order_id]],shipment[order_id],shipment[delivery_date])</f>
        <v>45478</v>
      </c>
      <c r="R825" s="3" t="str">
        <f>_xlfn.XLOOKUP(order[[#This Row],[order_id]],shipment[shipment_id],shipment[courier])</f>
        <v>BlueDart</v>
      </c>
      <c r="S825" s="3">
        <f>order[[#This Row],[selling_price]]-order[[#This Row],[cost_price]]*order[[#This Row],[quantity]]-order[[#This Row],[discount]]</f>
        <v>48664</v>
      </c>
      <c r="T825" s="3">
        <f>order[[#This Row],[quantity]]*order[[#This Row],[selling_price]]</f>
        <v>219948</v>
      </c>
    </row>
    <row r="826" spans="1:20" x14ac:dyDescent="0.3">
      <c r="A826">
        <v>722</v>
      </c>
      <c r="B826" s="11">
        <v>45594</v>
      </c>
      <c r="C826">
        <v>272</v>
      </c>
      <c r="D826" t="str">
        <f>_xlfn.XLOOKUP(order[[#This Row],[customer_id]],customer[customer_id],customer[customer_name])</f>
        <v>Manish Yadav</v>
      </c>
      <c r="E826">
        <v>207</v>
      </c>
      <c r="F826">
        <v>3</v>
      </c>
      <c r="G826">
        <v>30748</v>
      </c>
      <c r="H826">
        <v>3076</v>
      </c>
      <c r="I826" t="s">
        <v>15</v>
      </c>
      <c r="J826" t="s">
        <v>12</v>
      </c>
      <c r="K826" t="str">
        <f>_xlfn.XLOOKUP(order[[#This Row],[customer_id]],customer[customer_id],customer[city])</f>
        <v>Hyderabad</v>
      </c>
      <c r="L826" t="str">
        <f>_xlfn.XLOOKUP(order[[#This Row],[customer_id]],customer[customer_id],customer[state])</f>
        <v>Telangana</v>
      </c>
      <c r="M826" t="str">
        <f>_xlfn.XLOOKUP(order[[#This Row],[product_id]],products!$A$2:$A$11,products!$B$2:$B$11)</f>
        <v>Sony WH-1000XM4 Headphones</v>
      </c>
      <c r="N826" s="3" t="str">
        <f>_xlfn.XLOOKUP(order[[#This Row],[product_id]],products!$A$2:$A$11,products!$C$2:$C$11)</f>
        <v>Electronics</v>
      </c>
      <c r="O826" s="3">
        <f>_xlfn.XLOOKUP(order[[#This Row],[product_id]],Table4[product_id],Table4[cost_price])</f>
        <v>20000</v>
      </c>
      <c r="P826" s="11">
        <f>_xlfn.XLOOKUP(order[[#This Row],[order_id]],shipment[order_id],shipment[ship_date])</f>
        <v>45324</v>
      </c>
      <c r="Q826" s="11">
        <f>_xlfn.XLOOKUP(order[[#This Row],[order_id]],shipment[order_id],shipment[delivery_date])</f>
        <v>45334</v>
      </c>
      <c r="R826" s="3" t="str">
        <f>_xlfn.XLOOKUP(order[[#This Row],[order_id]],shipment[shipment_id],shipment[courier])</f>
        <v>Ekart</v>
      </c>
      <c r="S826" s="3">
        <f>order[[#This Row],[selling_price]]-order[[#This Row],[cost_price]]*order[[#This Row],[quantity]]-order[[#This Row],[discount]]</f>
        <v>-32328</v>
      </c>
      <c r="T826" s="3">
        <f>order[[#This Row],[quantity]]*order[[#This Row],[selling_price]]</f>
        <v>92244</v>
      </c>
    </row>
    <row r="827" spans="1:20" x14ac:dyDescent="0.3">
      <c r="A827">
        <v>198</v>
      </c>
      <c r="B827" s="11">
        <v>45586</v>
      </c>
      <c r="C827">
        <v>106</v>
      </c>
      <c r="D827" t="str">
        <f>_xlfn.XLOOKUP(order[[#This Row],[customer_id]],customer[customer_id],customer[customer_name])</f>
        <v>Pooja Nair</v>
      </c>
      <c r="E827">
        <v>207</v>
      </c>
      <c r="F827">
        <v>2</v>
      </c>
      <c r="G827">
        <v>6644</v>
      </c>
      <c r="H827">
        <v>3009</v>
      </c>
      <c r="I827" t="s">
        <v>11</v>
      </c>
      <c r="J827" t="s">
        <v>14</v>
      </c>
      <c r="K827" t="str">
        <f>_xlfn.XLOOKUP(order[[#This Row],[customer_id]],customer[customer_id],customer[city])</f>
        <v>Pune</v>
      </c>
      <c r="L827" t="str">
        <f>_xlfn.XLOOKUP(order[[#This Row],[customer_id]],customer[customer_id],customer[state])</f>
        <v>Maharashtra</v>
      </c>
      <c r="M827" t="str">
        <f>_xlfn.XLOOKUP(order[[#This Row],[product_id]],products!$A$2:$A$11,products!$B$2:$B$11)</f>
        <v>Sony WH-1000XM4 Headphones</v>
      </c>
      <c r="N827" s="3" t="str">
        <f>_xlfn.XLOOKUP(order[[#This Row],[product_id]],products!$A$2:$A$11,products!$C$2:$C$11)</f>
        <v>Electronics</v>
      </c>
      <c r="O827" s="3">
        <f>_xlfn.XLOOKUP(order[[#This Row],[product_id]],Table4[product_id],Table4[cost_price])</f>
        <v>20000</v>
      </c>
      <c r="P827" s="11">
        <f>_xlfn.XLOOKUP(order[[#This Row],[order_id]],shipment[order_id],shipment[ship_date])</f>
        <v>45394</v>
      </c>
      <c r="Q827" s="11">
        <f>_xlfn.XLOOKUP(order[[#This Row],[order_id]],shipment[order_id],shipment[delivery_date])</f>
        <v>45403</v>
      </c>
      <c r="R827" s="3" t="str">
        <f>_xlfn.XLOOKUP(order[[#This Row],[order_id]],shipment[shipment_id],shipment[courier])</f>
        <v>Delhivery</v>
      </c>
      <c r="S827" s="3">
        <f>order[[#This Row],[selling_price]]-order[[#This Row],[cost_price]]*order[[#This Row],[quantity]]-order[[#This Row],[discount]]</f>
        <v>-36365</v>
      </c>
      <c r="T827" s="3">
        <f>order[[#This Row],[quantity]]*order[[#This Row],[selling_price]]</f>
        <v>13288</v>
      </c>
    </row>
    <row r="828" spans="1:20" x14ac:dyDescent="0.3">
      <c r="A828">
        <v>827</v>
      </c>
      <c r="B828" s="11">
        <v>45559</v>
      </c>
      <c r="C828">
        <v>290</v>
      </c>
      <c r="D828" t="str">
        <f>_xlfn.XLOOKUP(order[[#This Row],[customer_id]],customer[customer_id],customer[customer_name])</f>
        <v>Karan Patel</v>
      </c>
      <c r="E828">
        <v>203</v>
      </c>
      <c r="F828">
        <v>2</v>
      </c>
      <c r="G828">
        <v>30907</v>
      </c>
      <c r="H828">
        <v>308</v>
      </c>
      <c r="I828" t="s">
        <v>9</v>
      </c>
      <c r="J828" t="s">
        <v>10</v>
      </c>
      <c r="K828" t="str">
        <f>_xlfn.XLOOKUP(order[[#This Row],[customer_id]],customer[customer_id],customer[city])</f>
        <v>Pune</v>
      </c>
      <c r="L828" t="str">
        <f>_xlfn.XLOOKUP(order[[#This Row],[customer_id]],customer[customer_id],customer[state])</f>
        <v>Maharashtra</v>
      </c>
      <c r="M828" t="str">
        <f>_xlfn.XLOOKUP(order[[#This Row],[product_id]],products!$A$2:$A$11,products!$B$2:$B$11)</f>
        <v>Nike Air Max Shoes</v>
      </c>
      <c r="N828" s="3" t="str">
        <f>_xlfn.XLOOKUP(order[[#This Row],[product_id]],products!$A$2:$A$11,products!$C$2:$C$11)</f>
        <v>Fashion</v>
      </c>
      <c r="O828" s="3">
        <f>_xlfn.XLOOKUP(order[[#This Row],[product_id]],Table4[product_id],Table4[cost_price])</f>
        <v>4000</v>
      </c>
      <c r="P828" s="11">
        <f>_xlfn.XLOOKUP(order[[#This Row],[order_id]],shipment[order_id],shipment[ship_date])</f>
        <v>45301</v>
      </c>
      <c r="Q828" s="11">
        <f>_xlfn.XLOOKUP(order[[#This Row],[order_id]],shipment[order_id],shipment[delivery_date])</f>
        <v>45309</v>
      </c>
      <c r="R828" s="3" t="str">
        <f>_xlfn.XLOOKUP(order[[#This Row],[order_id]],shipment[shipment_id],shipment[courier])</f>
        <v>BlueDart</v>
      </c>
      <c r="S828" s="3">
        <f>order[[#This Row],[selling_price]]-order[[#This Row],[cost_price]]*order[[#This Row],[quantity]]-order[[#This Row],[discount]]</f>
        <v>22599</v>
      </c>
      <c r="T828" s="3">
        <f>order[[#This Row],[quantity]]*order[[#This Row],[selling_price]]</f>
        <v>61814</v>
      </c>
    </row>
    <row r="829" spans="1:20" x14ac:dyDescent="0.3">
      <c r="A829">
        <v>367</v>
      </c>
      <c r="B829" s="11">
        <v>45417</v>
      </c>
      <c r="C829">
        <v>235</v>
      </c>
      <c r="D829" t="str">
        <f>_xlfn.XLOOKUP(order[[#This Row],[customer_id]],customer[customer_id],customer[customer_name])</f>
        <v>Neha Kapoor</v>
      </c>
      <c r="E829">
        <v>207</v>
      </c>
      <c r="F829">
        <v>2</v>
      </c>
      <c r="G829">
        <v>5272</v>
      </c>
      <c r="H829">
        <v>2994</v>
      </c>
      <c r="I829" t="s">
        <v>13</v>
      </c>
      <c r="J829" t="s">
        <v>12</v>
      </c>
      <c r="K829" t="str">
        <f>_xlfn.XLOOKUP(order[[#This Row],[customer_id]],customer[customer_id],customer[city])</f>
        <v>Pune</v>
      </c>
      <c r="L829" t="str">
        <f>_xlfn.XLOOKUP(order[[#This Row],[customer_id]],customer[customer_id],customer[state])</f>
        <v>Maharashtra</v>
      </c>
      <c r="M829" t="str">
        <f>_xlfn.XLOOKUP(order[[#This Row],[product_id]],products!$A$2:$A$11,products!$B$2:$B$11)</f>
        <v>Sony WH-1000XM4 Headphones</v>
      </c>
      <c r="N829" s="3" t="str">
        <f>_xlfn.XLOOKUP(order[[#This Row],[product_id]],products!$A$2:$A$11,products!$C$2:$C$11)</f>
        <v>Electronics</v>
      </c>
      <c r="O829" s="3">
        <f>_xlfn.XLOOKUP(order[[#This Row],[product_id]],Table4[product_id],Table4[cost_price])</f>
        <v>20000</v>
      </c>
      <c r="P829" s="11">
        <f>_xlfn.XLOOKUP(order[[#This Row],[order_id]],shipment[order_id],shipment[ship_date])</f>
        <v>45624</v>
      </c>
      <c r="Q829" s="11">
        <f>_xlfn.XLOOKUP(order[[#This Row],[order_id]],shipment[order_id],shipment[delivery_date])</f>
        <v>45627</v>
      </c>
      <c r="R829" s="3" t="str">
        <f>_xlfn.XLOOKUP(order[[#This Row],[order_id]],shipment[shipment_id],shipment[courier])</f>
        <v>DTDC</v>
      </c>
      <c r="S829" s="3">
        <f>order[[#This Row],[selling_price]]-order[[#This Row],[cost_price]]*order[[#This Row],[quantity]]-order[[#This Row],[discount]]</f>
        <v>-37722</v>
      </c>
      <c r="T829" s="3">
        <f>order[[#This Row],[quantity]]*order[[#This Row],[selling_price]]</f>
        <v>10544</v>
      </c>
    </row>
    <row r="830" spans="1:20" x14ac:dyDescent="0.3">
      <c r="A830">
        <v>829</v>
      </c>
      <c r="B830" s="11">
        <v>45462</v>
      </c>
      <c r="C830">
        <v>118</v>
      </c>
      <c r="D830" t="str">
        <f>_xlfn.XLOOKUP(order[[#This Row],[customer_id]],customer[customer_id],customer[customer_name])</f>
        <v>Ananya Gupta</v>
      </c>
      <c r="E830">
        <v>203</v>
      </c>
      <c r="F830">
        <v>2</v>
      </c>
      <c r="G830">
        <v>42672</v>
      </c>
      <c r="H830">
        <v>260</v>
      </c>
      <c r="I830" t="s">
        <v>11</v>
      </c>
      <c r="J830" t="s">
        <v>12</v>
      </c>
      <c r="K830" t="str">
        <f>_xlfn.XLOOKUP(order[[#This Row],[customer_id]],customer[customer_id],customer[city])</f>
        <v>Pune</v>
      </c>
      <c r="L830" t="str">
        <f>_xlfn.XLOOKUP(order[[#This Row],[customer_id]],customer[customer_id],customer[state])</f>
        <v>Maharashtra</v>
      </c>
      <c r="M830" t="str">
        <f>_xlfn.XLOOKUP(order[[#This Row],[product_id]],products!$A$2:$A$11,products!$B$2:$B$11)</f>
        <v>Nike Air Max Shoes</v>
      </c>
      <c r="N830" s="3" t="str">
        <f>_xlfn.XLOOKUP(order[[#This Row],[product_id]],products!$A$2:$A$11,products!$C$2:$C$11)</f>
        <v>Fashion</v>
      </c>
      <c r="O830" s="3">
        <f>_xlfn.XLOOKUP(order[[#This Row],[product_id]],Table4[product_id],Table4[cost_price])</f>
        <v>4000</v>
      </c>
      <c r="P830" s="11">
        <f>_xlfn.XLOOKUP(order[[#This Row],[order_id]],shipment[order_id],shipment[ship_date])</f>
        <v>45515</v>
      </c>
      <c r="Q830" s="11">
        <f>_xlfn.XLOOKUP(order[[#This Row],[order_id]],shipment[order_id],shipment[delivery_date])</f>
        <v>45523</v>
      </c>
      <c r="R830" s="3" t="str">
        <f>_xlfn.XLOOKUP(order[[#This Row],[order_id]],shipment[shipment_id],shipment[courier])</f>
        <v>Ekart</v>
      </c>
      <c r="S830" s="3">
        <f>order[[#This Row],[selling_price]]-order[[#This Row],[cost_price]]*order[[#This Row],[quantity]]-order[[#This Row],[discount]]</f>
        <v>34412</v>
      </c>
      <c r="T830" s="3">
        <f>order[[#This Row],[quantity]]*order[[#This Row],[selling_price]]</f>
        <v>85344</v>
      </c>
    </row>
    <row r="831" spans="1:20" x14ac:dyDescent="0.3">
      <c r="A831">
        <v>830</v>
      </c>
      <c r="B831" s="11">
        <v>45480</v>
      </c>
      <c r="C831">
        <v>115</v>
      </c>
      <c r="D831" t="str">
        <f>_xlfn.XLOOKUP(order[[#This Row],[customer_id]],customer[customer_id],customer[customer_name])</f>
        <v>Siddharth Jain</v>
      </c>
      <c r="E831">
        <v>209</v>
      </c>
      <c r="F831">
        <v>2</v>
      </c>
      <c r="G831">
        <v>58738</v>
      </c>
      <c r="H831">
        <v>3113</v>
      </c>
      <c r="I831" t="s">
        <v>15</v>
      </c>
      <c r="J831" t="s">
        <v>10</v>
      </c>
      <c r="K831" t="str">
        <f>_xlfn.XLOOKUP(order[[#This Row],[customer_id]],customer[customer_id],customer[city])</f>
        <v>Delhi</v>
      </c>
      <c r="L831" t="str">
        <f>_xlfn.XLOOKUP(order[[#This Row],[customer_id]],customer[customer_id],customer[state])</f>
        <v>Delhi</v>
      </c>
      <c r="M831" t="str">
        <f>_xlfn.XLOOKUP(order[[#This Row],[product_id]],products!$A$2:$A$11,products!$B$2:$B$11)</f>
        <v>Milton Thermosteel Bottle</v>
      </c>
      <c r="N831" s="3" t="str">
        <f>_xlfn.XLOOKUP(order[[#This Row],[product_id]],products!$A$2:$A$11,products!$C$2:$C$11)</f>
        <v>Home &amp; Kitchen</v>
      </c>
      <c r="O831" s="3">
        <f>_xlfn.XLOOKUP(order[[#This Row],[product_id]],Table4[product_id],Table4[cost_price])</f>
        <v>800</v>
      </c>
      <c r="P831" s="11">
        <f>_xlfn.XLOOKUP(order[[#This Row],[order_id]],shipment[order_id],shipment[ship_date])</f>
        <v>45397</v>
      </c>
      <c r="Q831" s="11">
        <f>_xlfn.XLOOKUP(order[[#This Row],[order_id]],shipment[order_id],shipment[delivery_date])</f>
        <v>45399</v>
      </c>
      <c r="R831" s="3" t="str">
        <f>_xlfn.XLOOKUP(order[[#This Row],[order_id]],shipment[shipment_id],shipment[courier])</f>
        <v>Delhivery</v>
      </c>
      <c r="S831" s="3">
        <f>order[[#This Row],[selling_price]]-order[[#This Row],[cost_price]]*order[[#This Row],[quantity]]-order[[#This Row],[discount]]</f>
        <v>54025</v>
      </c>
      <c r="T831" s="3">
        <f>order[[#This Row],[quantity]]*order[[#This Row],[selling_price]]</f>
        <v>117476</v>
      </c>
    </row>
    <row r="832" spans="1:20" x14ac:dyDescent="0.3">
      <c r="A832">
        <v>831</v>
      </c>
      <c r="B832" s="11">
        <v>45414</v>
      </c>
      <c r="C832">
        <v>225</v>
      </c>
      <c r="D832" t="str">
        <f>_xlfn.XLOOKUP(order[[#This Row],[customer_id]],customer[customer_id],customer[customer_name])</f>
        <v>Aarav Sharma</v>
      </c>
      <c r="E832">
        <v>205</v>
      </c>
      <c r="F832">
        <v>2</v>
      </c>
      <c r="G832">
        <v>37491</v>
      </c>
      <c r="H832">
        <v>543</v>
      </c>
      <c r="I832" t="s">
        <v>15</v>
      </c>
      <c r="J832" t="s">
        <v>12</v>
      </c>
      <c r="K832" t="str">
        <f>_xlfn.XLOOKUP(order[[#This Row],[customer_id]],customer[customer_id],customer[city])</f>
        <v>Bangalore</v>
      </c>
      <c r="L832" t="str">
        <f>_xlfn.XLOOKUP(order[[#This Row],[customer_id]],customer[customer_id],customer[state])</f>
        <v>Karnataka</v>
      </c>
      <c r="M832" t="str">
        <f>_xlfn.XLOOKUP(order[[#This Row],[product_id]],products!$A$2:$A$11,products!$B$2:$B$11)</f>
        <v>Prestige Pressure Cooker 5L</v>
      </c>
      <c r="N832" s="3" t="str">
        <f>_xlfn.XLOOKUP(order[[#This Row],[product_id]],products!$A$2:$A$11,products!$C$2:$C$11)</f>
        <v>Home &amp; Kitchen</v>
      </c>
      <c r="O832" s="3">
        <f>_xlfn.XLOOKUP(order[[#This Row],[product_id]],Table4[product_id],Table4[cost_price])</f>
        <v>1200</v>
      </c>
      <c r="P832" s="11">
        <f>_xlfn.XLOOKUP(order[[#This Row],[order_id]],shipment[order_id],shipment[ship_date])</f>
        <v>45418</v>
      </c>
      <c r="Q832" s="11">
        <f>_xlfn.XLOOKUP(order[[#This Row],[order_id]],shipment[order_id],shipment[delivery_date])</f>
        <v>45425</v>
      </c>
      <c r="R832" s="3" t="str">
        <f>_xlfn.XLOOKUP(order[[#This Row],[order_id]],shipment[shipment_id],shipment[courier])</f>
        <v>DTDC</v>
      </c>
      <c r="S832" s="3">
        <f>order[[#This Row],[selling_price]]-order[[#This Row],[cost_price]]*order[[#This Row],[quantity]]-order[[#This Row],[discount]]</f>
        <v>34548</v>
      </c>
      <c r="T832" s="3">
        <f>order[[#This Row],[quantity]]*order[[#This Row],[selling_price]]</f>
        <v>74982</v>
      </c>
    </row>
    <row r="833" spans="1:20" x14ac:dyDescent="0.3">
      <c r="A833">
        <v>832</v>
      </c>
      <c r="B833" s="11">
        <v>45546</v>
      </c>
      <c r="C833">
        <v>242</v>
      </c>
      <c r="D833" t="str">
        <f>_xlfn.XLOOKUP(order[[#This Row],[customer_id]],customer[customer_id],customer[customer_name])</f>
        <v>Arjun Nair</v>
      </c>
      <c r="E833">
        <v>204</v>
      </c>
      <c r="F833">
        <v>3</v>
      </c>
      <c r="G833">
        <v>46306</v>
      </c>
      <c r="H833">
        <v>3347</v>
      </c>
      <c r="I833" t="s">
        <v>11</v>
      </c>
      <c r="J833" t="s">
        <v>12</v>
      </c>
      <c r="K833" t="str">
        <f>_xlfn.XLOOKUP(order[[#This Row],[customer_id]],customer[customer_id],customer[city])</f>
        <v>Bangalore</v>
      </c>
      <c r="L833" t="str">
        <f>_xlfn.XLOOKUP(order[[#This Row],[customer_id]],customer[customer_id],customer[state])</f>
        <v>Karnataka</v>
      </c>
      <c r="M833" t="str">
        <f>_xlfn.XLOOKUP(order[[#This Row],[product_id]],products!$A$2:$A$11,products!$B$2:$B$11)</f>
        <v>Levi's Slim Fit Jeans</v>
      </c>
      <c r="N833" s="3" t="str">
        <f>_xlfn.XLOOKUP(order[[#This Row],[product_id]],products!$A$2:$A$11,products!$C$2:$C$11)</f>
        <v>Fashion</v>
      </c>
      <c r="O833" s="3">
        <f>_xlfn.XLOOKUP(order[[#This Row],[product_id]],Table4[product_id],Table4[cost_price])</f>
        <v>1800</v>
      </c>
      <c r="P833" s="11">
        <f>_xlfn.XLOOKUP(order[[#This Row],[order_id]],shipment[order_id],shipment[ship_date])</f>
        <v>45386</v>
      </c>
      <c r="Q833" s="11">
        <f>_xlfn.XLOOKUP(order[[#This Row],[order_id]],shipment[order_id],shipment[delivery_date])</f>
        <v>45389</v>
      </c>
      <c r="R833" s="3" t="str">
        <f>_xlfn.XLOOKUP(order[[#This Row],[order_id]],shipment[shipment_id],shipment[courier])</f>
        <v>Ekart</v>
      </c>
      <c r="S833" s="3">
        <f>order[[#This Row],[selling_price]]-order[[#This Row],[cost_price]]*order[[#This Row],[quantity]]-order[[#This Row],[discount]]</f>
        <v>37559</v>
      </c>
      <c r="T833" s="3">
        <f>order[[#This Row],[quantity]]*order[[#This Row],[selling_price]]</f>
        <v>138918</v>
      </c>
    </row>
    <row r="834" spans="1:20" x14ac:dyDescent="0.3">
      <c r="A834">
        <v>362</v>
      </c>
      <c r="B834" s="11">
        <v>45437</v>
      </c>
      <c r="C834">
        <v>161</v>
      </c>
      <c r="D834" t="str">
        <f>_xlfn.XLOOKUP(order[[#This Row],[customer_id]],customer[customer_id],customer[customer_name])</f>
        <v>Arjun Nair</v>
      </c>
      <c r="E834">
        <v>207</v>
      </c>
      <c r="F834">
        <v>4</v>
      </c>
      <c r="G834">
        <v>58127</v>
      </c>
      <c r="H834">
        <v>2841</v>
      </c>
      <c r="I834" t="s">
        <v>9</v>
      </c>
      <c r="J834" t="s">
        <v>10</v>
      </c>
      <c r="K834" t="str">
        <f>_xlfn.XLOOKUP(order[[#This Row],[customer_id]],customer[customer_id],customer[city])</f>
        <v>Hyderabad</v>
      </c>
      <c r="L834" t="str">
        <f>_xlfn.XLOOKUP(order[[#This Row],[customer_id]],customer[customer_id],customer[state])</f>
        <v>Telangana</v>
      </c>
      <c r="M834" t="str">
        <f>_xlfn.XLOOKUP(order[[#This Row],[product_id]],products!$A$2:$A$11,products!$B$2:$B$11)</f>
        <v>Sony WH-1000XM4 Headphones</v>
      </c>
      <c r="N834" s="3" t="str">
        <f>_xlfn.XLOOKUP(order[[#This Row],[product_id]],products!$A$2:$A$11,products!$C$2:$C$11)</f>
        <v>Electronics</v>
      </c>
      <c r="O834" s="3">
        <f>_xlfn.XLOOKUP(order[[#This Row],[product_id]],Table4[product_id],Table4[cost_price])</f>
        <v>20000</v>
      </c>
      <c r="P834" s="11">
        <f>_xlfn.XLOOKUP(order[[#This Row],[order_id]],shipment[order_id],shipment[ship_date])</f>
        <v>45342</v>
      </c>
      <c r="Q834" s="11">
        <f>_xlfn.XLOOKUP(order[[#This Row],[order_id]],shipment[order_id],shipment[delivery_date])</f>
        <v>45344</v>
      </c>
      <c r="R834" s="3" t="str">
        <f>_xlfn.XLOOKUP(order[[#This Row],[order_id]],shipment[shipment_id],shipment[courier])</f>
        <v>Ekart</v>
      </c>
      <c r="S834" s="3">
        <f>order[[#This Row],[selling_price]]-order[[#This Row],[cost_price]]*order[[#This Row],[quantity]]-order[[#This Row],[discount]]</f>
        <v>-24714</v>
      </c>
      <c r="T834" s="3">
        <f>order[[#This Row],[quantity]]*order[[#This Row],[selling_price]]</f>
        <v>232508</v>
      </c>
    </row>
    <row r="835" spans="1:20" x14ac:dyDescent="0.3">
      <c r="A835">
        <v>834</v>
      </c>
      <c r="B835" s="11">
        <v>45505</v>
      </c>
      <c r="C835">
        <v>180</v>
      </c>
      <c r="D835" t="str">
        <f>_xlfn.XLOOKUP(order[[#This Row],[customer_id]],customer[customer_id],customer[customer_name])</f>
        <v>Siddharth Jain</v>
      </c>
      <c r="E835">
        <v>205</v>
      </c>
      <c r="F835">
        <v>1</v>
      </c>
      <c r="G835">
        <v>20720</v>
      </c>
      <c r="H835">
        <v>1618</v>
      </c>
      <c r="I835" t="s">
        <v>9</v>
      </c>
      <c r="J835" t="s">
        <v>12</v>
      </c>
      <c r="K835" t="str">
        <f>_xlfn.XLOOKUP(order[[#This Row],[customer_id]],customer[customer_id],customer[city])</f>
        <v>Hyderabad</v>
      </c>
      <c r="L835" t="str">
        <f>_xlfn.XLOOKUP(order[[#This Row],[customer_id]],customer[customer_id],customer[state])</f>
        <v>Telangana</v>
      </c>
      <c r="M835" t="str">
        <f>_xlfn.XLOOKUP(order[[#This Row],[product_id]],products!$A$2:$A$11,products!$B$2:$B$11)</f>
        <v>Prestige Pressure Cooker 5L</v>
      </c>
      <c r="N835" s="3" t="str">
        <f>_xlfn.XLOOKUP(order[[#This Row],[product_id]],products!$A$2:$A$11,products!$C$2:$C$11)</f>
        <v>Home &amp; Kitchen</v>
      </c>
      <c r="O835" s="3">
        <f>_xlfn.XLOOKUP(order[[#This Row],[product_id]],Table4[product_id],Table4[cost_price])</f>
        <v>1200</v>
      </c>
      <c r="P835" s="11">
        <f>_xlfn.XLOOKUP(order[[#This Row],[order_id]],shipment[order_id],shipment[ship_date])</f>
        <v>45580</v>
      </c>
      <c r="Q835" s="11">
        <f>_xlfn.XLOOKUP(order[[#This Row],[order_id]],shipment[order_id],shipment[delivery_date])</f>
        <v>45581</v>
      </c>
      <c r="R835" s="3" t="str">
        <f>_xlfn.XLOOKUP(order[[#This Row],[order_id]],shipment[shipment_id],shipment[courier])</f>
        <v>Ekart</v>
      </c>
      <c r="S835" s="3">
        <f>order[[#This Row],[selling_price]]-order[[#This Row],[cost_price]]*order[[#This Row],[quantity]]-order[[#This Row],[discount]]</f>
        <v>17902</v>
      </c>
      <c r="T835" s="3">
        <f>order[[#This Row],[quantity]]*order[[#This Row],[selling_price]]</f>
        <v>20720</v>
      </c>
    </row>
    <row r="836" spans="1:20" x14ac:dyDescent="0.3">
      <c r="A836">
        <v>835</v>
      </c>
      <c r="B836" s="11">
        <v>45298</v>
      </c>
      <c r="C836">
        <v>296</v>
      </c>
      <c r="D836" t="str">
        <f>_xlfn.XLOOKUP(order[[#This Row],[customer_id]],customer[customer_id],customer[customer_name])</f>
        <v>Rohit Verma</v>
      </c>
      <c r="E836">
        <v>208</v>
      </c>
      <c r="F836">
        <v>1</v>
      </c>
      <c r="G836">
        <v>51461</v>
      </c>
      <c r="H836">
        <v>2036</v>
      </c>
      <c r="I836" t="s">
        <v>15</v>
      </c>
      <c r="J836" t="s">
        <v>14</v>
      </c>
      <c r="K836" t="str">
        <f>_xlfn.XLOOKUP(order[[#This Row],[customer_id]],customer[customer_id],customer[city])</f>
        <v>Pune</v>
      </c>
      <c r="L836" t="str">
        <f>_xlfn.XLOOKUP(order[[#This Row],[customer_id]],customer[customer_id],customer[state])</f>
        <v>Maharashtra</v>
      </c>
      <c r="M836" t="str">
        <f>_xlfn.XLOOKUP(order[[#This Row],[product_id]],products!$A$2:$A$11,products!$B$2:$B$11)</f>
        <v>Adidas Ultraboost Shoes</v>
      </c>
      <c r="N836" s="3" t="str">
        <f>_xlfn.XLOOKUP(order[[#This Row],[product_id]],products!$A$2:$A$11,products!$C$2:$C$11)</f>
        <v>Fashion</v>
      </c>
      <c r="O836" s="3">
        <f>_xlfn.XLOOKUP(order[[#This Row],[product_id]],Table4[product_id],Table4[cost_price])</f>
        <v>9000</v>
      </c>
      <c r="P836" s="11">
        <f>_xlfn.XLOOKUP(order[[#This Row],[order_id]],shipment[order_id],shipment[ship_date])</f>
        <v>45644</v>
      </c>
      <c r="Q836" s="11">
        <f>_xlfn.XLOOKUP(order[[#This Row],[order_id]],shipment[order_id],shipment[delivery_date])</f>
        <v>45650</v>
      </c>
      <c r="R836" s="3" t="str">
        <f>_xlfn.XLOOKUP(order[[#This Row],[order_id]],shipment[shipment_id],shipment[courier])</f>
        <v>BlueDart</v>
      </c>
      <c r="S836" s="3">
        <f>order[[#This Row],[selling_price]]-order[[#This Row],[cost_price]]*order[[#This Row],[quantity]]-order[[#This Row],[discount]]</f>
        <v>40425</v>
      </c>
      <c r="T836" s="3">
        <f>order[[#This Row],[quantity]]*order[[#This Row],[selling_price]]</f>
        <v>51461</v>
      </c>
    </row>
    <row r="837" spans="1:20" x14ac:dyDescent="0.3">
      <c r="A837">
        <v>1127</v>
      </c>
      <c r="B837" s="11">
        <v>45315</v>
      </c>
      <c r="C837">
        <v>181</v>
      </c>
      <c r="D837" t="str">
        <f>_xlfn.XLOOKUP(order[[#This Row],[customer_id]],customer[customer_id],customer[customer_name])</f>
        <v>Manish Yadav</v>
      </c>
      <c r="E837">
        <v>207</v>
      </c>
      <c r="F837">
        <v>2</v>
      </c>
      <c r="G837">
        <v>9201</v>
      </c>
      <c r="H837">
        <v>2766</v>
      </c>
      <c r="I837" t="s">
        <v>9</v>
      </c>
      <c r="J837" t="s">
        <v>10</v>
      </c>
      <c r="K837" t="str">
        <f>_xlfn.XLOOKUP(order[[#This Row],[customer_id]],customer[customer_id],customer[city])</f>
        <v>Delhi</v>
      </c>
      <c r="L837" t="str">
        <f>_xlfn.XLOOKUP(order[[#This Row],[customer_id]],customer[customer_id],customer[state])</f>
        <v>Delhi</v>
      </c>
      <c r="M837" t="str">
        <f>_xlfn.XLOOKUP(order[[#This Row],[product_id]],products!$A$2:$A$11,products!$B$2:$B$11)</f>
        <v>Sony WH-1000XM4 Headphones</v>
      </c>
      <c r="N837" s="3" t="str">
        <f>_xlfn.XLOOKUP(order[[#This Row],[product_id]],products!$A$2:$A$11,products!$C$2:$C$11)</f>
        <v>Electronics</v>
      </c>
      <c r="O837" s="3">
        <f>_xlfn.XLOOKUP(order[[#This Row],[product_id]],Table4[product_id],Table4[cost_price])</f>
        <v>20000</v>
      </c>
      <c r="P837" s="11">
        <f>_xlfn.XLOOKUP(order[[#This Row],[order_id]],shipment[order_id],shipment[ship_date])</f>
        <v>45435</v>
      </c>
      <c r="Q837" s="11">
        <f>_xlfn.XLOOKUP(order[[#This Row],[order_id]],shipment[order_id],shipment[delivery_date])</f>
        <v>45441</v>
      </c>
      <c r="R837" s="3" t="str">
        <f>_xlfn.XLOOKUP(order[[#This Row],[order_id]],shipment[shipment_id],shipment[courier])</f>
        <v>DTDC</v>
      </c>
      <c r="S837" s="3">
        <f>order[[#This Row],[selling_price]]-order[[#This Row],[cost_price]]*order[[#This Row],[quantity]]-order[[#This Row],[discount]]</f>
        <v>-33565</v>
      </c>
      <c r="T837" s="3">
        <f>order[[#This Row],[quantity]]*order[[#This Row],[selling_price]]</f>
        <v>18402</v>
      </c>
    </row>
    <row r="838" spans="1:20" x14ac:dyDescent="0.3">
      <c r="A838">
        <v>837</v>
      </c>
      <c r="B838" s="11">
        <v>45566</v>
      </c>
      <c r="C838">
        <v>205</v>
      </c>
      <c r="D838" t="str">
        <f>_xlfn.XLOOKUP(order[[#This Row],[customer_id]],customer[customer_id],customer[customer_name])</f>
        <v>Siddharth Jain</v>
      </c>
      <c r="E838">
        <v>204</v>
      </c>
      <c r="F838">
        <v>2</v>
      </c>
      <c r="G838">
        <v>23020</v>
      </c>
      <c r="H838">
        <v>727</v>
      </c>
      <c r="I838" t="s">
        <v>9</v>
      </c>
      <c r="J838" t="s">
        <v>10</v>
      </c>
      <c r="K838" t="str">
        <f>_xlfn.XLOOKUP(order[[#This Row],[customer_id]],customer[customer_id],customer[city])</f>
        <v>Hyderabad</v>
      </c>
      <c r="L838" t="str">
        <f>_xlfn.XLOOKUP(order[[#This Row],[customer_id]],customer[customer_id],customer[state])</f>
        <v>Telangana</v>
      </c>
      <c r="M838" t="str">
        <f>_xlfn.XLOOKUP(order[[#This Row],[product_id]],products!$A$2:$A$11,products!$B$2:$B$11)</f>
        <v>Levi's Slim Fit Jeans</v>
      </c>
      <c r="N838" s="3" t="str">
        <f>_xlfn.XLOOKUP(order[[#This Row],[product_id]],products!$A$2:$A$11,products!$C$2:$C$11)</f>
        <v>Fashion</v>
      </c>
      <c r="O838" s="3">
        <f>_xlfn.XLOOKUP(order[[#This Row],[product_id]],Table4[product_id],Table4[cost_price])</f>
        <v>1800</v>
      </c>
      <c r="P838" s="11">
        <f>_xlfn.XLOOKUP(order[[#This Row],[order_id]],shipment[order_id],shipment[ship_date])</f>
        <v>45319</v>
      </c>
      <c r="Q838" s="11">
        <f>_xlfn.XLOOKUP(order[[#This Row],[order_id]],shipment[order_id],shipment[delivery_date])</f>
        <v>45326</v>
      </c>
      <c r="R838" s="3" t="str">
        <f>_xlfn.XLOOKUP(order[[#This Row],[order_id]],shipment[shipment_id],shipment[courier])</f>
        <v>DTDC</v>
      </c>
      <c r="S838" s="3">
        <f>order[[#This Row],[selling_price]]-order[[#This Row],[cost_price]]*order[[#This Row],[quantity]]-order[[#This Row],[discount]]</f>
        <v>18693</v>
      </c>
      <c r="T838" s="3">
        <f>order[[#This Row],[quantity]]*order[[#This Row],[selling_price]]</f>
        <v>46040</v>
      </c>
    </row>
    <row r="839" spans="1:20" x14ac:dyDescent="0.3">
      <c r="A839">
        <v>838</v>
      </c>
      <c r="B839" s="11">
        <v>45394</v>
      </c>
      <c r="C839">
        <v>284</v>
      </c>
      <c r="D839" t="str">
        <f>_xlfn.XLOOKUP(order[[#This Row],[customer_id]],customer[customer_id],customer[customer_name])</f>
        <v>Siddharth Jain</v>
      </c>
      <c r="E839">
        <v>203</v>
      </c>
      <c r="F839">
        <v>1</v>
      </c>
      <c r="G839">
        <v>64199</v>
      </c>
      <c r="H839">
        <v>1218</v>
      </c>
      <c r="I839" t="s">
        <v>15</v>
      </c>
      <c r="J839" t="s">
        <v>10</v>
      </c>
      <c r="K839" t="str">
        <f>_xlfn.XLOOKUP(order[[#This Row],[customer_id]],customer[customer_id],customer[city])</f>
        <v>Delhi</v>
      </c>
      <c r="L839" t="str">
        <f>_xlfn.XLOOKUP(order[[#This Row],[customer_id]],customer[customer_id],customer[state])</f>
        <v>Delhi</v>
      </c>
      <c r="M839" t="str">
        <f>_xlfn.XLOOKUP(order[[#This Row],[product_id]],products!$A$2:$A$11,products!$B$2:$B$11)</f>
        <v>Nike Air Max Shoes</v>
      </c>
      <c r="N839" s="3" t="str">
        <f>_xlfn.XLOOKUP(order[[#This Row],[product_id]],products!$A$2:$A$11,products!$C$2:$C$11)</f>
        <v>Fashion</v>
      </c>
      <c r="O839" s="3">
        <f>_xlfn.XLOOKUP(order[[#This Row],[product_id]],Table4[product_id],Table4[cost_price])</f>
        <v>4000</v>
      </c>
      <c r="P839" s="11">
        <f>_xlfn.XLOOKUP(order[[#This Row],[order_id]],shipment[order_id],shipment[ship_date])</f>
        <v>45525</v>
      </c>
      <c r="Q839" s="11">
        <f>_xlfn.XLOOKUP(order[[#This Row],[order_id]],shipment[order_id],shipment[delivery_date])</f>
        <v>45526</v>
      </c>
      <c r="R839" s="3" t="str">
        <f>_xlfn.XLOOKUP(order[[#This Row],[order_id]],shipment[shipment_id],shipment[courier])</f>
        <v>DTDC</v>
      </c>
      <c r="S839" s="3">
        <f>order[[#This Row],[selling_price]]-order[[#This Row],[cost_price]]*order[[#This Row],[quantity]]-order[[#This Row],[discount]]</f>
        <v>58981</v>
      </c>
      <c r="T839" s="3">
        <f>order[[#This Row],[quantity]]*order[[#This Row],[selling_price]]</f>
        <v>64199</v>
      </c>
    </row>
    <row r="840" spans="1:20" x14ac:dyDescent="0.3">
      <c r="A840">
        <v>1182</v>
      </c>
      <c r="B840" s="11">
        <v>45545</v>
      </c>
      <c r="C840">
        <v>166</v>
      </c>
      <c r="D840" t="str">
        <f>_xlfn.XLOOKUP(order[[#This Row],[customer_id]],customer[customer_id],customer[customer_name])</f>
        <v>Meera Joshi</v>
      </c>
      <c r="E840">
        <v>207</v>
      </c>
      <c r="F840">
        <v>3</v>
      </c>
      <c r="G840">
        <v>17242</v>
      </c>
      <c r="H840">
        <v>2746</v>
      </c>
      <c r="I840" t="s">
        <v>11</v>
      </c>
      <c r="J840" t="s">
        <v>14</v>
      </c>
      <c r="K840" t="str">
        <f>_xlfn.XLOOKUP(order[[#This Row],[customer_id]],customer[customer_id],customer[city])</f>
        <v>Pune</v>
      </c>
      <c r="L840" t="str">
        <f>_xlfn.XLOOKUP(order[[#This Row],[customer_id]],customer[customer_id],customer[state])</f>
        <v>Maharashtra</v>
      </c>
      <c r="M840" t="str">
        <f>_xlfn.XLOOKUP(order[[#This Row],[product_id]],products!$A$2:$A$11,products!$B$2:$B$11)</f>
        <v>Sony WH-1000XM4 Headphones</v>
      </c>
      <c r="N840" s="3" t="str">
        <f>_xlfn.XLOOKUP(order[[#This Row],[product_id]],products!$A$2:$A$11,products!$C$2:$C$11)</f>
        <v>Electronics</v>
      </c>
      <c r="O840" s="3">
        <f>_xlfn.XLOOKUP(order[[#This Row],[product_id]],Table4[product_id],Table4[cost_price])</f>
        <v>20000</v>
      </c>
      <c r="P840" s="11">
        <f>_xlfn.XLOOKUP(order[[#This Row],[order_id]],shipment[order_id],shipment[ship_date])</f>
        <v>45418</v>
      </c>
      <c r="Q840" s="11">
        <f>_xlfn.XLOOKUP(order[[#This Row],[order_id]],shipment[order_id],shipment[delivery_date])</f>
        <v>45422</v>
      </c>
      <c r="R840" s="3" t="str">
        <f>_xlfn.XLOOKUP(order[[#This Row],[order_id]],shipment[shipment_id],shipment[courier])</f>
        <v>DTDC</v>
      </c>
      <c r="S840" s="3">
        <f>order[[#This Row],[selling_price]]-order[[#This Row],[cost_price]]*order[[#This Row],[quantity]]-order[[#This Row],[discount]]</f>
        <v>-45504</v>
      </c>
      <c r="T840" s="3">
        <f>order[[#This Row],[quantity]]*order[[#This Row],[selling_price]]</f>
        <v>51726</v>
      </c>
    </row>
    <row r="841" spans="1:20" x14ac:dyDescent="0.3">
      <c r="A841">
        <v>1195</v>
      </c>
      <c r="B841" s="11">
        <v>45513</v>
      </c>
      <c r="C841">
        <v>293</v>
      </c>
      <c r="D841" t="str">
        <f>_xlfn.XLOOKUP(order[[#This Row],[customer_id]],customer[customer_id],customer[customer_name])</f>
        <v>Sneha Iyer</v>
      </c>
      <c r="E841">
        <v>207</v>
      </c>
      <c r="F841">
        <v>3</v>
      </c>
      <c r="G841">
        <v>9248</v>
      </c>
      <c r="H841">
        <v>2645</v>
      </c>
      <c r="I841" t="s">
        <v>15</v>
      </c>
      <c r="J841" t="s">
        <v>10</v>
      </c>
      <c r="K841" t="str">
        <f>_xlfn.XLOOKUP(order[[#This Row],[customer_id]],customer[customer_id],customer[city])</f>
        <v>Pune</v>
      </c>
      <c r="L841" t="str">
        <f>_xlfn.XLOOKUP(order[[#This Row],[customer_id]],customer[customer_id],customer[state])</f>
        <v>Maharashtra</v>
      </c>
      <c r="M841" t="str">
        <f>_xlfn.XLOOKUP(order[[#This Row],[product_id]],products!$A$2:$A$11,products!$B$2:$B$11)</f>
        <v>Sony WH-1000XM4 Headphones</v>
      </c>
      <c r="N841" s="3" t="str">
        <f>_xlfn.XLOOKUP(order[[#This Row],[product_id]],products!$A$2:$A$11,products!$C$2:$C$11)</f>
        <v>Electronics</v>
      </c>
      <c r="O841" s="3">
        <f>_xlfn.XLOOKUP(order[[#This Row],[product_id]],Table4[product_id],Table4[cost_price])</f>
        <v>20000</v>
      </c>
      <c r="P841" s="11">
        <f>_xlfn.XLOOKUP(order[[#This Row],[order_id]],shipment[order_id],shipment[ship_date])</f>
        <v>45312</v>
      </c>
      <c r="Q841" s="11">
        <f>_xlfn.XLOOKUP(order[[#This Row],[order_id]],shipment[order_id],shipment[delivery_date])</f>
        <v>45321</v>
      </c>
      <c r="R841" s="3" t="str">
        <f>_xlfn.XLOOKUP(order[[#This Row],[order_id]],shipment[shipment_id],shipment[courier])</f>
        <v>Delhivery</v>
      </c>
      <c r="S841" s="3">
        <f>order[[#This Row],[selling_price]]-order[[#This Row],[cost_price]]*order[[#This Row],[quantity]]-order[[#This Row],[discount]]</f>
        <v>-53397</v>
      </c>
      <c r="T841" s="3">
        <f>order[[#This Row],[quantity]]*order[[#This Row],[selling_price]]</f>
        <v>27744</v>
      </c>
    </row>
    <row r="842" spans="1:20" x14ac:dyDescent="0.3">
      <c r="A842">
        <v>841</v>
      </c>
      <c r="B842" s="11">
        <v>45450</v>
      </c>
      <c r="C842">
        <v>125</v>
      </c>
      <c r="D842" t="str">
        <f>_xlfn.XLOOKUP(order[[#This Row],[customer_id]],customer[customer_id],customer[customer_name])</f>
        <v>Vikram Singh</v>
      </c>
      <c r="E842">
        <v>205</v>
      </c>
      <c r="F842">
        <v>3</v>
      </c>
      <c r="G842">
        <v>36071</v>
      </c>
      <c r="H842">
        <v>4664</v>
      </c>
      <c r="I842" t="s">
        <v>13</v>
      </c>
      <c r="J842" t="s">
        <v>10</v>
      </c>
      <c r="K842" t="str">
        <f>_xlfn.XLOOKUP(order[[#This Row],[customer_id]],customer[customer_id],customer[city])</f>
        <v>Chennai</v>
      </c>
      <c r="L842" t="str">
        <f>_xlfn.XLOOKUP(order[[#This Row],[customer_id]],customer[customer_id],customer[state])</f>
        <v>Tamil Nadu</v>
      </c>
      <c r="M842" t="str">
        <f>_xlfn.XLOOKUP(order[[#This Row],[product_id]],products!$A$2:$A$11,products!$B$2:$B$11)</f>
        <v>Prestige Pressure Cooker 5L</v>
      </c>
      <c r="N842" s="3" t="str">
        <f>_xlfn.XLOOKUP(order[[#This Row],[product_id]],products!$A$2:$A$11,products!$C$2:$C$11)</f>
        <v>Home &amp; Kitchen</v>
      </c>
      <c r="O842" s="3">
        <f>_xlfn.XLOOKUP(order[[#This Row],[product_id]],Table4[product_id],Table4[cost_price])</f>
        <v>1200</v>
      </c>
      <c r="P842" s="11">
        <f>_xlfn.XLOOKUP(order[[#This Row],[order_id]],shipment[order_id],shipment[ship_date])</f>
        <v>45328</v>
      </c>
      <c r="Q842" s="11">
        <f>_xlfn.XLOOKUP(order[[#This Row],[order_id]],shipment[order_id],shipment[delivery_date])</f>
        <v>45333</v>
      </c>
      <c r="R842" s="3" t="str">
        <f>_xlfn.XLOOKUP(order[[#This Row],[order_id]],shipment[shipment_id],shipment[courier])</f>
        <v>DTDC</v>
      </c>
      <c r="S842" s="3">
        <f>order[[#This Row],[selling_price]]-order[[#This Row],[cost_price]]*order[[#This Row],[quantity]]-order[[#This Row],[discount]]</f>
        <v>27807</v>
      </c>
      <c r="T842" s="3">
        <f>order[[#This Row],[quantity]]*order[[#This Row],[selling_price]]</f>
        <v>108213</v>
      </c>
    </row>
    <row r="843" spans="1:20" x14ac:dyDescent="0.3">
      <c r="A843">
        <v>842</v>
      </c>
      <c r="B843" s="11">
        <v>45425</v>
      </c>
      <c r="C843">
        <v>246</v>
      </c>
      <c r="D843" t="str">
        <f>_xlfn.XLOOKUP(order[[#This Row],[customer_id]],customer[customer_id],customer[customer_name])</f>
        <v>Priya Reddy</v>
      </c>
      <c r="E843">
        <v>204</v>
      </c>
      <c r="F843">
        <v>1</v>
      </c>
      <c r="G843">
        <v>30451</v>
      </c>
      <c r="H843">
        <v>581</v>
      </c>
      <c r="I843" t="s">
        <v>11</v>
      </c>
      <c r="J843" t="s">
        <v>10</v>
      </c>
      <c r="K843" t="str">
        <f>_xlfn.XLOOKUP(order[[#This Row],[customer_id]],customer[customer_id],customer[city])</f>
        <v>Pune</v>
      </c>
      <c r="L843" t="str">
        <f>_xlfn.XLOOKUP(order[[#This Row],[customer_id]],customer[customer_id],customer[state])</f>
        <v>Maharashtra</v>
      </c>
      <c r="M843" t="str">
        <f>_xlfn.XLOOKUP(order[[#This Row],[product_id]],products!$A$2:$A$11,products!$B$2:$B$11)</f>
        <v>Levi's Slim Fit Jeans</v>
      </c>
      <c r="N843" s="3" t="str">
        <f>_xlfn.XLOOKUP(order[[#This Row],[product_id]],products!$A$2:$A$11,products!$C$2:$C$11)</f>
        <v>Fashion</v>
      </c>
      <c r="O843" s="3">
        <f>_xlfn.XLOOKUP(order[[#This Row],[product_id]],Table4[product_id],Table4[cost_price])</f>
        <v>1800</v>
      </c>
      <c r="P843" s="11">
        <f>_xlfn.XLOOKUP(order[[#This Row],[order_id]],shipment[order_id],shipment[ship_date])</f>
        <v>45350</v>
      </c>
      <c r="Q843" s="11">
        <f>_xlfn.XLOOKUP(order[[#This Row],[order_id]],shipment[order_id],shipment[delivery_date])</f>
        <v>45352</v>
      </c>
      <c r="R843" s="3" t="str">
        <f>_xlfn.XLOOKUP(order[[#This Row],[order_id]],shipment[shipment_id],shipment[courier])</f>
        <v>DTDC</v>
      </c>
      <c r="S843" s="3">
        <f>order[[#This Row],[selling_price]]-order[[#This Row],[cost_price]]*order[[#This Row],[quantity]]-order[[#This Row],[discount]]</f>
        <v>28070</v>
      </c>
      <c r="T843" s="3">
        <f>order[[#This Row],[quantity]]*order[[#This Row],[selling_price]]</f>
        <v>30451</v>
      </c>
    </row>
    <row r="844" spans="1:20" x14ac:dyDescent="0.3">
      <c r="A844">
        <v>1060</v>
      </c>
      <c r="B844" s="11">
        <v>45447</v>
      </c>
      <c r="C844">
        <v>132</v>
      </c>
      <c r="D844" t="str">
        <f>_xlfn.XLOOKUP(order[[#This Row],[customer_id]],customer[customer_id],customer[customer_name])</f>
        <v>Sneha Iyer</v>
      </c>
      <c r="E844">
        <v>207</v>
      </c>
      <c r="F844">
        <v>3</v>
      </c>
      <c r="G844">
        <v>22960</v>
      </c>
      <c r="H844">
        <v>2578</v>
      </c>
      <c r="I844" t="s">
        <v>13</v>
      </c>
      <c r="J844" t="s">
        <v>14</v>
      </c>
      <c r="K844" t="str">
        <f>_xlfn.XLOOKUP(order[[#This Row],[customer_id]],customer[customer_id],customer[city])</f>
        <v>Hyderabad</v>
      </c>
      <c r="L844" t="str">
        <f>_xlfn.XLOOKUP(order[[#This Row],[customer_id]],customer[customer_id],customer[state])</f>
        <v>Telangana</v>
      </c>
      <c r="M844" t="str">
        <f>_xlfn.XLOOKUP(order[[#This Row],[product_id]],products!$A$2:$A$11,products!$B$2:$B$11)</f>
        <v>Sony WH-1000XM4 Headphones</v>
      </c>
      <c r="N844" s="3" t="str">
        <f>_xlfn.XLOOKUP(order[[#This Row],[product_id]],products!$A$2:$A$11,products!$C$2:$C$11)</f>
        <v>Electronics</v>
      </c>
      <c r="O844" s="3">
        <f>_xlfn.XLOOKUP(order[[#This Row],[product_id]],Table4[product_id],Table4[cost_price])</f>
        <v>20000</v>
      </c>
      <c r="P844" s="11">
        <f>_xlfn.XLOOKUP(order[[#This Row],[order_id]],shipment[order_id],shipment[ship_date])</f>
        <v>45320</v>
      </c>
      <c r="Q844" s="11">
        <f>_xlfn.XLOOKUP(order[[#This Row],[order_id]],shipment[order_id],shipment[delivery_date])</f>
        <v>45325</v>
      </c>
      <c r="R844" s="3" t="str">
        <f>_xlfn.XLOOKUP(order[[#This Row],[order_id]],shipment[shipment_id],shipment[courier])</f>
        <v>Ekart</v>
      </c>
      <c r="S844" s="3">
        <f>order[[#This Row],[selling_price]]-order[[#This Row],[cost_price]]*order[[#This Row],[quantity]]-order[[#This Row],[discount]]</f>
        <v>-39618</v>
      </c>
      <c r="T844" s="3">
        <f>order[[#This Row],[quantity]]*order[[#This Row],[selling_price]]</f>
        <v>68880</v>
      </c>
    </row>
    <row r="845" spans="1:20" x14ac:dyDescent="0.3">
      <c r="A845">
        <v>844</v>
      </c>
      <c r="B845" s="11">
        <v>45344</v>
      </c>
      <c r="C845">
        <v>126</v>
      </c>
      <c r="D845" t="str">
        <f>_xlfn.XLOOKUP(order[[#This Row],[customer_id]],customer[customer_id],customer[customer_name])</f>
        <v>Meera Joshi</v>
      </c>
      <c r="E845">
        <v>203</v>
      </c>
      <c r="F845">
        <v>2</v>
      </c>
      <c r="G845">
        <v>48555</v>
      </c>
      <c r="H845">
        <v>2399</v>
      </c>
      <c r="I845" t="s">
        <v>11</v>
      </c>
      <c r="J845" t="s">
        <v>12</v>
      </c>
      <c r="K845" t="str">
        <f>_xlfn.XLOOKUP(order[[#This Row],[customer_id]],customer[customer_id],customer[city])</f>
        <v>Mumbai</v>
      </c>
      <c r="L845" t="str">
        <f>_xlfn.XLOOKUP(order[[#This Row],[customer_id]],customer[customer_id],customer[state])</f>
        <v>Maharashtra</v>
      </c>
      <c r="M845" t="str">
        <f>_xlfn.XLOOKUP(order[[#This Row],[product_id]],products!$A$2:$A$11,products!$B$2:$B$11)</f>
        <v>Nike Air Max Shoes</v>
      </c>
      <c r="N845" s="3" t="str">
        <f>_xlfn.XLOOKUP(order[[#This Row],[product_id]],products!$A$2:$A$11,products!$C$2:$C$11)</f>
        <v>Fashion</v>
      </c>
      <c r="O845" s="3">
        <f>_xlfn.XLOOKUP(order[[#This Row],[product_id]],Table4[product_id],Table4[cost_price])</f>
        <v>4000</v>
      </c>
      <c r="P845" s="11">
        <f>_xlfn.XLOOKUP(order[[#This Row],[order_id]],shipment[order_id],shipment[ship_date])</f>
        <v>45612</v>
      </c>
      <c r="Q845" s="11">
        <f>_xlfn.XLOOKUP(order[[#This Row],[order_id]],shipment[order_id],shipment[delivery_date])</f>
        <v>45614</v>
      </c>
      <c r="R845" s="3" t="str">
        <f>_xlfn.XLOOKUP(order[[#This Row],[order_id]],shipment[shipment_id],shipment[courier])</f>
        <v>DTDC</v>
      </c>
      <c r="S845" s="3">
        <f>order[[#This Row],[selling_price]]-order[[#This Row],[cost_price]]*order[[#This Row],[quantity]]-order[[#This Row],[discount]]</f>
        <v>38156</v>
      </c>
      <c r="T845" s="3">
        <f>order[[#This Row],[quantity]]*order[[#This Row],[selling_price]]</f>
        <v>97110</v>
      </c>
    </row>
    <row r="846" spans="1:20" x14ac:dyDescent="0.3">
      <c r="A846">
        <v>845</v>
      </c>
      <c r="B846" s="11">
        <v>45405</v>
      </c>
      <c r="C846">
        <v>130</v>
      </c>
      <c r="D846" t="str">
        <f>_xlfn.XLOOKUP(order[[#This Row],[customer_id]],customer[customer_id],customer[customer_name])</f>
        <v>Siddharth Jain</v>
      </c>
      <c r="E846">
        <v>204</v>
      </c>
      <c r="F846">
        <v>3</v>
      </c>
      <c r="G846">
        <v>19880</v>
      </c>
      <c r="H846">
        <v>727</v>
      </c>
      <c r="I846" t="s">
        <v>15</v>
      </c>
      <c r="J846" t="s">
        <v>12</v>
      </c>
      <c r="K846" t="str">
        <f>_xlfn.XLOOKUP(order[[#This Row],[customer_id]],customer[customer_id],customer[city])</f>
        <v>Mumbai</v>
      </c>
      <c r="L846" t="str">
        <f>_xlfn.XLOOKUP(order[[#This Row],[customer_id]],customer[customer_id],customer[state])</f>
        <v>Maharashtra</v>
      </c>
      <c r="M846" t="str">
        <f>_xlfn.XLOOKUP(order[[#This Row],[product_id]],products!$A$2:$A$11,products!$B$2:$B$11)</f>
        <v>Levi's Slim Fit Jeans</v>
      </c>
      <c r="N846" s="3" t="str">
        <f>_xlfn.XLOOKUP(order[[#This Row],[product_id]],products!$A$2:$A$11,products!$C$2:$C$11)</f>
        <v>Fashion</v>
      </c>
      <c r="O846" s="3">
        <f>_xlfn.XLOOKUP(order[[#This Row],[product_id]],Table4[product_id],Table4[cost_price])</f>
        <v>1800</v>
      </c>
      <c r="P846" s="11">
        <f>_xlfn.XLOOKUP(order[[#This Row],[order_id]],shipment[order_id],shipment[ship_date])</f>
        <v>45487</v>
      </c>
      <c r="Q846" s="11">
        <f>_xlfn.XLOOKUP(order[[#This Row],[order_id]],shipment[order_id],shipment[delivery_date])</f>
        <v>45497</v>
      </c>
      <c r="R846" s="3" t="str">
        <f>_xlfn.XLOOKUP(order[[#This Row],[order_id]],shipment[shipment_id],shipment[courier])</f>
        <v>DTDC</v>
      </c>
      <c r="S846" s="3">
        <f>order[[#This Row],[selling_price]]-order[[#This Row],[cost_price]]*order[[#This Row],[quantity]]-order[[#This Row],[discount]]</f>
        <v>13753</v>
      </c>
      <c r="T846" s="3">
        <f>order[[#This Row],[quantity]]*order[[#This Row],[selling_price]]</f>
        <v>59640</v>
      </c>
    </row>
    <row r="847" spans="1:20" x14ac:dyDescent="0.3">
      <c r="A847">
        <v>1028</v>
      </c>
      <c r="B847" s="11">
        <v>45478</v>
      </c>
      <c r="C847">
        <v>298</v>
      </c>
      <c r="D847" t="str">
        <f>_xlfn.XLOOKUP(order[[#This Row],[customer_id]],customer[customer_id],customer[customer_name])</f>
        <v>Karan Patel</v>
      </c>
      <c r="E847">
        <v>207</v>
      </c>
      <c r="F847">
        <v>3</v>
      </c>
      <c r="G847">
        <v>51838</v>
      </c>
      <c r="H847">
        <v>2543</v>
      </c>
      <c r="I847" t="s">
        <v>11</v>
      </c>
      <c r="J847" t="s">
        <v>10</v>
      </c>
      <c r="K847" t="str">
        <f>_xlfn.XLOOKUP(order[[#This Row],[customer_id]],customer[customer_id],customer[city])</f>
        <v>Bangalore</v>
      </c>
      <c r="L847" t="str">
        <f>_xlfn.XLOOKUP(order[[#This Row],[customer_id]],customer[customer_id],customer[state])</f>
        <v>Karnataka</v>
      </c>
      <c r="M847" t="str">
        <f>_xlfn.XLOOKUP(order[[#This Row],[product_id]],products!$A$2:$A$11,products!$B$2:$B$11)</f>
        <v>Sony WH-1000XM4 Headphones</v>
      </c>
      <c r="N847" s="3" t="str">
        <f>_xlfn.XLOOKUP(order[[#This Row],[product_id]],products!$A$2:$A$11,products!$C$2:$C$11)</f>
        <v>Electronics</v>
      </c>
      <c r="O847" s="3">
        <f>_xlfn.XLOOKUP(order[[#This Row],[product_id]],Table4[product_id],Table4[cost_price])</f>
        <v>20000</v>
      </c>
      <c r="P847" s="11">
        <f>_xlfn.XLOOKUP(order[[#This Row],[order_id]],shipment[order_id],shipment[ship_date])</f>
        <v>45432</v>
      </c>
      <c r="Q847" s="11">
        <f>_xlfn.XLOOKUP(order[[#This Row],[order_id]],shipment[order_id],shipment[delivery_date])</f>
        <v>45433</v>
      </c>
      <c r="R847" s="3" t="str">
        <f>_xlfn.XLOOKUP(order[[#This Row],[order_id]],shipment[shipment_id],shipment[courier])</f>
        <v>BlueDart</v>
      </c>
      <c r="S847" s="3">
        <f>order[[#This Row],[selling_price]]-order[[#This Row],[cost_price]]*order[[#This Row],[quantity]]-order[[#This Row],[discount]]</f>
        <v>-10705</v>
      </c>
      <c r="T847" s="3">
        <f>order[[#This Row],[quantity]]*order[[#This Row],[selling_price]]</f>
        <v>155514</v>
      </c>
    </row>
    <row r="848" spans="1:20" x14ac:dyDescent="0.3">
      <c r="A848">
        <v>1122</v>
      </c>
      <c r="B848" s="11">
        <v>45384</v>
      </c>
      <c r="C848">
        <v>196</v>
      </c>
      <c r="D848" t="str">
        <f>_xlfn.XLOOKUP(order[[#This Row],[customer_id]],customer[customer_id],customer[customer_name])</f>
        <v>Pooja Nair</v>
      </c>
      <c r="E848">
        <v>207</v>
      </c>
      <c r="F848">
        <v>3</v>
      </c>
      <c r="G848">
        <v>12692</v>
      </c>
      <c r="H848">
        <v>2351</v>
      </c>
      <c r="I848" t="s">
        <v>15</v>
      </c>
      <c r="J848" t="s">
        <v>10</v>
      </c>
      <c r="K848" t="str">
        <f>_xlfn.XLOOKUP(order[[#This Row],[customer_id]],customer[customer_id],customer[city])</f>
        <v>Pune</v>
      </c>
      <c r="L848" t="str">
        <f>_xlfn.XLOOKUP(order[[#This Row],[customer_id]],customer[customer_id],customer[state])</f>
        <v>Maharashtra</v>
      </c>
      <c r="M848" t="str">
        <f>_xlfn.XLOOKUP(order[[#This Row],[product_id]],products!$A$2:$A$11,products!$B$2:$B$11)</f>
        <v>Sony WH-1000XM4 Headphones</v>
      </c>
      <c r="N848" s="3" t="str">
        <f>_xlfn.XLOOKUP(order[[#This Row],[product_id]],products!$A$2:$A$11,products!$C$2:$C$11)</f>
        <v>Electronics</v>
      </c>
      <c r="O848" s="3">
        <f>_xlfn.XLOOKUP(order[[#This Row],[product_id]],Table4[product_id],Table4[cost_price])</f>
        <v>20000</v>
      </c>
      <c r="P848" s="11">
        <f>_xlfn.XLOOKUP(order[[#This Row],[order_id]],shipment[order_id],shipment[ship_date])</f>
        <v>45313</v>
      </c>
      <c r="Q848" s="11">
        <f>_xlfn.XLOOKUP(order[[#This Row],[order_id]],shipment[order_id],shipment[delivery_date])</f>
        <v>45314</v>
      </c>
      <c r="R848" s="3" t="str">
        <f>_xlfn.XLOOKUP(order[[#This Row],[order_id]],shipment[shipment_id],shipment[courier])</f>
        <v>DTDC</v>
      </c>
      <c r="S848" s="3">
        <f>order[[#This Row],[selling_price]]-order[[#This Row],[cost_price]]*order[[#This Row],[quantity]]-order[[#This Row],[discount]]</f>
        <v>-49659</v>
      </c>
      <c r="T848" s="3">
        <f>order[[#This Row],[quantity]]*order[[#This Row],[selling_price]]</f>
        <v>38076</v>
      </c>
    </row>
    <row r="849" spans="1:20" x14ac:dyDescent="0.3">
      <c r="A849">
        <v>848</v>
      </c>
      <c r="B849" s="11">
        <v>45575</v>
      </c>
      <c r="C849">
        <v>223</v>
      </c>
      <c r="D849" t="str">
        <f>_xlfn.XLOOKUP(order[[#This Row],[customer_id]],customer[customer_id],customer[customer_name])</f>
        <v>Manish Yadav</v>
      </c>
      <c r="E849">
        <v>209</v>
      </c>
      <c r="F849">
        <v>2</v>
      </c>
      <c r="G849">
        <v>57623</v>
      </c>
      <c r="H849">
        <v>3242</v>
      </c>
      <c r="I849" t="s">
        <v>13</v>
      </c>
      <c r="J849" t="s">
        <v>10</v>
      </c>
      <c r="K849" t="str">
        <f>_xlfn.XLOOKUP(order[[#This Row],[customer_id]],customer[customer_id],customer[city])</f>
        <v>Delhi</v>
      </c>
      <c r="L849" t="str">
        <f>_xlfn.XLOOKUP(order[[#This Row],[customer_id]],customer[customer_id],customer[state])</f>
        <v>Delhi</v>
      </c>
      <c r="M849" t="str">
        <f>_xlfn.XLOOKUP(order[[#This Row],[product_id]],products!$A$2:$A$11,products!$B$2:$B$11)</f>
        <v>Milton Thermosteel Bottle</v>
      </c>
      <c r="N849" s="3" t="str">
        <f>_xlfn.XLOOKUP(order[[#This Row],[product_id]],products!$A$2:$A$11,products!$C$2:$C$11)</f>
        <v>Home &amp; Kitchen</v>
      </c>
      <c r="O849" s="3">
        <f>_xlfn.XLOOKUP(order[[#This Row],[product_id]],Table4[product_id],Table4[cost_price])</f>
        <v>800</v>
      </c>
      <c r="P849" s="11">
        <f>_xlfn.XLOOKUP(order[[#This Row],[order_id]],shipment[order_id],shipment[ship_date])</f>
        <v>45473</v>
      </c>
      <c r="Q849" s="11">
        <f>_xlfn.XLOOKUP(order[[#This Row],[order_id]],shipment[order_id],shipment[delivery_date])</f>
        <v>45477</v>
      </c>
      <c r="R849" s="3" t="str">
        <f>_xlfn.XLOOKUP(order[[#This Row],[order_id]],shipment[shipment_id],shipment[courier])</f>
        <v>Delhivery</v>
      </c>
      <c r="S849" s="3">
        <f>order[[#This Row],[selling_price]]-order[[#This Row],[cost_price]]*order[[#This Row],[quantity]]-order[[#This Row],[discount]]</f>
        <v>52781</v>
      </c>
      <c r="T849" s="3">
        <f>order[[#This Row],[quantity]]*order[[#This Row],[selling_price]]</f>
        <v>115246</v>
      </c>
    </row>
    <row r="850" spans="1:20" x14ac:dyDescent="0.3">
      <c r="A850">
        <v>1100</v>
      </c>
      <c r="B850" s="11">
        <v>45405</v>
      </c>
      <c r="C850">
        <v>299</v>
      </c>
      <c r="D850" t="str">
        <f>_xlfn.XLOOKUP(order[[#This Row],[customer_id]],customer[customer_id],customer[customer_name])</f>
        <v>Sneha Iyer</v>
      </c>
      <c r="E850">
        <v>207</v>
      </c>
      <c r="F850">
        <v>3</v>
      </c>
      <c r="G850">
        <v>41896</v>
      </c>
      <c r="H850">
        <v>2343</v>
      </c>
      <c r="I850" t="s">
        <v>11</v>
      </c>
      <c r="J850" t="s">
        <v>10</v>
      </c>
      <c r="K850" t="str">
        <f>_xlfn.XLOOKUP(order[[#This Row],[customer_id]],customer[customer_id],customer[city])</f>
        <v>Hyderabad</v>
      </c>
      <c r="L850" t="str">
        <f>_xlfn.XLOOKUP(order[[#This Row],[customer_id]],customer[customer_id],customer[state])</f>
        <v>Telangana</v>
      </c>
      <c r="M850" t="str">
        <f>_xlfn.XLOOKUP(order[[#This Row],[product_id]],products!$A$2:$A$11,products!$B$2:$B$11)</f>
        <v>Sony WH-1000XM4 Headphones</v>
      </c>
      <c r="N850" s="3" t="str">
        <f>_xlfn.XLOOKUP(order[[#This Row],[product_id]],products!$A$2:$A$11,products!$C$2:$C$11)</f>
        <v>Electronics</v>
      </c>
      <c r="O850" s="3">
        <f>_xlfn.XLOOKUP(order[[#This Row],[product_id]],Table4[product_id],Table4[cost_price])</f>
        <v>20000</v>
      </c>
      <c r="P850" s="11">
        <f>_xlfn.XLOOKUP(order[[#This Row],[order_id]],shipment[order_id],shipment[ship_date])</f>
        <v>45479</v>
      </c>
      <c r="Q850" s="11">
        <f>_xlfn.XLOOKUP(order[[#This Row],[order_id]],shipment[order_id],shipment[delivery_date])</f>
        <v>45487</v>
      </c>
      <c r="R850" s="3" t="str">
        <f>_xlfn.XLOOKUP(order[[#This Row],[order_id]],shipment[shipment_id],shipment[courier])</f>
        <v>DTDC</v>
      </c>
      <c r="S850" s="3">
        <f>order[[#This Row],[selling_price]]-order[[#This Row],[cost_price]]*order[[#This Row],[quantity]]-order[[#This Row],[discount]]</f>
        <v>-20447</v>
      </c>
      <c r="T850" s="3">
        <f>order[[#This Row],[quantity]]*order[[#This Row],[selling_price]]</f>
        <v>125688</v>
      </c>
    </row>
    <row r="851" spans="1:20" x14ac:dyDescent="0.3">
      <c r="A851">
        <v>850</v>
      </c>
      <c r="B851" s="11">
        <v>45364</v>
      </c>
      <c r="C851">
        <v>156</v>
      </c>
      <c r="D851" t="str">
        <f>_xlfn.XLOOKUP(order[[#This Row],[customer_id]],customer[customer_id],customer[customer_name])</f>
        <v>Arjun Nair</v>
      </c>
      <c r="E851">
        <v>206</v>
      </c>
      <c r="F851">
        <v>2</v>
      </c>
      <c r="G851">
        <v>63625</v>
      </c>
      <c r="H851">
        <v>1170</v>
      </c>
      <c r="I851" t="s">
        <v>9</v>
      </c>
      <c r="J851" t="s">
        <v>14</v>
      </c>
      <c r="K851" t="str">
        <f>_xlfn.XLOOKUP(order[[#This Row],[customer_id]],customer[customer_id],customer[city])</f>
        <v>Bangalore</v>
      </c>
      <c r="L851" t="str">
        <f>_xlfn.XLOOKUP(order[[#This Row],[customer_id]],customer[customer_id],customer[state])</f>
        <v>Karnataka</v>
      </c>
      <c r="M851" t="str">
        <f>_xlfn.XLOOKUP(order[[#This Row],[product_id]],products!$A$2:$A$11,products!$B$2:$B$11)</f>
        <v>Philips Air Fryer</v>
      </c>
      <c r="N851" s="3" t="str">
        <f>_xlfn.XLOOKUP(order[[#This Row],[product_id]],products!$A$2:$A$11,products!$C$2:$C$11)</f>
        <v>Home &amp; Kitchen</v>
      </c>
      <c r="O851" s="3">
        <f>_xlfn.XLOOKUP(order[[#This Row],[product_id]],Table4[product_id],Table4[cost_price])</f>
        <v>7000</v>
      </c>
      <c r="P851" s="11">
        <f>_xlfn.XLOOKUP(order[[#This Row],[order_id]],shipment[order_id],shipment[ship_date])</f>
        <v>45653</v>
      </c>
      <c r="Q851" s="11">
        <f>_xlfn.XLOOKUP(order[[#This Row],[order_id]],shipment[order_id],shipment[delivery_date])</f>
        <v>45658</v>
      </c>
      <c r="R851" s="3" t="str">
        <f>_xlfn.XLOOKUP(order[[#This Row],[order_id]],shipment[shipment_id],shipment[courier])</f>
        <v>Ekart</v>
      </c>
      <c r="S851" s="3">
        <f>order[[#This Row],[selling_price]]-order[[#This Row],[cost_price]]*order[[#This Row],[quantity]]-order[[#This Row],[discount]]</f>
        <v>48455</v>
      </c>
      <c r="T851" s="3">
        <f>order[[#This Row],[quantity]]*order[[#This Row],[selling_price]]</f>
        <v>127250</v>
      </c>
    </row>
    <row r="852" spans="1:20" x14ac:dyDescent="0.3">
      <c r="A852">
        <v>851</v>
      </c>
      <c r="B852" s="11">
        <v>45336</v>
      </c>
      <c r="C852">
        <v>133</v>
      </c>
      <c r="D852" t="str">
        <f>_xlfn.XLOOKUP(order[[#This Row],[customer_id]],customer[customer_id],customer[customer_name])</f>
        <v>Manish Yadav</v>
      </c>
      <c r="E852">
        <v>208</v>
      </c>
      <c r="F852">
        <v>3</v>
      </c>
      <c r="G852">
        <v>58132</v>
      </c>
      <c r="H852">
        <v>2694</v>
      </c>
      <c r="I852" t="s">
        <v>11</v>
      </c>
      <c r="J852" t="s">
        <v>10</v>
      </c>
      <c r="K852" t="str">
        <f>_xlfn.XLOOKUP(order[[#This Row],[customer_id]],customer[customer_id],customer[city])</f>
        <v>Hyderabad</v>
      </c>
      <c r="L852" t="str">
        <f>_xlfn.XLOOKUP(order[[#This Row],[customer_id]],customer[customer_id],customer[state])</f>
        <v>Telangana</v>
      </c>
      <c r="M852" t="str">
        <f>_xlfn.XLOOKUP(order[[#This Row],[product_id]],products!$A$2:$A$11,products!$B$2:$B$11)</f>
        <v>Adidas Ultraboost Shoes</v>
      </c>
      <c r="N852" s="3" t="str">
        <f>_xlfn.XLOOKUP(order[[#This Row],[product_id]],products!$A$2:$A$11,products!$C$2:$C$11)</f>
        <v>Fashion</v>
      </c>
      <c r="O852" s="3">
        <f>_xlfn.XLOOKUP(order[[#This Row],[product_id]],Table4[product_id],Table4[cost_price])</f>
        <v>9000</v>
      </c>
      <c r="P852" s="11">
        <f>_xlfn.XLOOKUP(order[[#This Row],[order_id]],shipment[order_id],shipment[ship_date])</f>
        <v>45383</v>
      </c>
      <c r="Q852" s="11">
        <f>_xlfn.XLOOKUP(order[[#This Row],[order_id]],shipment[order_id],shipment[delivery_date])</f>
        <v>45386</v>
      </c>
      <c r="R852" s="3" t="str">
        <f>_xlfn.XLOOKUP(order[[#This Row],[order_id]],shipment[shipment_id],shipment[courier])</f>
        <v>Delhivery</v>
      </c>
      <c r="S852" s="3">
        <f>order[[#This Row],[selling_price]]-order[[#This Row],[cost_price]]*order[[#This Row],[quantity]]-order[[#This Row],[discount]]</f>
        <v>28438</v>
      </c>
      <c r="T852" s="3">
        <f>order[[#This Row],[quantity]]*order[[#This Row],[selling_price]]</f>
        <v>174396</v>
      </c>
    </row>
    <row r="853" spans="1:20" x14ac:dyDescent="0.3">
      <c r="A853">
        <v>852</v>
      </c>
      <c r="B853" s="11">
        <v>45431</v>
      </c>
      <c r="C853">
        <v>135</v>
      </c>
      <c r="D853" t="str">
        <f>_xlfn.XLOOKUP(order[[#This Row],[customer_id]],customer[customer_id],customer[customer_name])</f>
        <v>Manish Yadav</v>
      </c>
      <c r="E853">
        <v>208</v>
      </c>
      <c r="F853">
        <v>3</v>
      </c>
      <c r="G853">
        <v>46931</v>
      </c>
      <c r="H853">
        <v>4032</v>
      </c>
      <c r="I853" t="s">
        <v>9</v>
      </c>
      <c r="J853" t="s">
        <v>14</v>
      </c>
      <c r="K853" t="str">
        <f>_xlfn.XLOOKUP(order[[#This Row],[customer_id]],customer[customer_id],customer[city])</f>
        <v>Bangalore</v>
      </c>
      <c r="L853" t="str">
        <f>_xlfn.XLOOKUP(order[[#This Row],[customer_id]],customer[customer_id],customer[state])</f>
        <v>Karnataka</v>
      </c>
      <c r="M853" t="str">
        <f>_xlfn.XLOOKUP(order[[#This Row],[product_id]],products!$A$2:$A$11,products!$B$2:$B$11)</f>
        <v>Adidas Ultraboost Shoes</v>
      </c>
      <c r="N853" s="3" t="str">
        <f>_xlfn.XLOOKUP(order[[#This Row],[product_id]],products!$A$2:$A$11,products!$C$2:$C$11)</f>
        <v>Fashion</v>
      </c>
      <c r="O853" s="3">
        <f>_xlfn.XLOOKUP(order[[#This Row],[product_id]],Table4[product_id],Table4[cost_price])</f>
        <v>9000</v>
      </c>
      <c r="P853" s="11">
        <f>_xlfn.XLOOKUP(order[[#This Row],[order_id]],shipment[order_id],shipment[ship_date])</f>
        <v>45339</v>
      </c>
      <c r="Q853" s="11">
        <f>_xlfn.XLOOKUP(order[[#This Row],[order_id]],shipment[order_id],shipment[delivery_date])</f>
        <v>45349</v>
      </c>
      <c r="R853" s="3" t="str">
        <f>_xlfn.XLOOKUP(order[[#This Row],[order_id]],shipment[shipment_id],shipment[courier])</f>
        <v>Delhivery</v>
      </c>
      <c r="S853" s="3">
        <f>order[[#This Row],[selling_price]]-order[[#This Row],[cost_price]]*order[[#This Row],[quantity]]-order[[#This Row],[discount]]</f>
        <v>15899</v>
      </c>
      <c r="T853" s="3">
        <f>order[[#This Row],[quantity]]*order[[#This Row],[selling_price]]</f>
        <v>140793</v>
      </c>
    </row>
    <row r="854" spans="1:20" x14ac:dyDescent="0.3">
      <c r="A854">
        <v>853</v>
      </c>
      <c r="B854" s="11">
        <v>45432</v>
      </c>
      <c r="C854">
        <v>116</v>
      </c>
      <c r="D854" t="str">
        <f>_xlfn.XLOOKUP(order[[#This Row],[customer_id]],customer[customer_id],customer[customer_name])</f>
        <v>Arjun Nair</v>
      </c>
      <c r="E854">
        <v>206</v>
      </c>
      <c r="F854">
        <v>2</v>
      </c>
      <c r="G854">
        <v>30261</v>
      </c>
      <c r="H854">
        <v>1351</v>
      </c>
      <c r="I854" t="s">
        <v>11</v>
      </c>
      <c r="J854" t="s">
        <v>10</v>
      </c>
      <c r="K854" t="str">
        <f>_xlfn.XLOOKUP(order[[#This Row],[customer_id]],customer[customer_id],customer[city])</f>
        <v>Hyderabad</v>
      </c>
      <c r="L854" t="str">
        <f>_xlfn.XLOOKUP(order[[#This Row],[customer_id]],customer[customer_id],customer[state])</f>
        <v>Telangana</v>
      </c>
      <c r="M854" t="str">
        <f>_xlfn.XLOOKUP(order[[#This Row],[product_id]],products!$A$2:$A$11,products!$B$2:$B$11)</f>
        <v>Philips Air Fryer</v>
      </c>
      <c r="N854" s="3" t="str">
        <f>_xlfn.XLOOKUP(order[[#This Row],[product_id]],products!$A$2:$A$11,products!$C$2:$C$11)</f>
        <v>Home &amp; Kitchen</v>
      </c>
      <c r="O854" s="3">
        <f>_xlfn.XLOOKUP(order[[#This Row],[product_id]],Table4[product_id],Table4[cost_price])</f>
        <v>7000</v>
      </c>
      <c r="P854" s="11">
        <f>_xlfn.XLOOKUP(order[[#This Row],[order_id]],shipment[order_id],shipment[ship_date])</f>
        <v>45358</v>
      </c>
      <c r="Q854" s="11">
        <f>_xlfn.XLOOKUP(order[[#This Row],[order_id]],shipment[order_id],shipment[delivery_date])</f>
        <v>45365</v>
      </c>
      <c r="R854" s="3" t="str">
        <f>_xlfn.XLOOKUP(order[[#This Row],[order_id]],shipment[shipment_id],shipment[courier])</f>
        <v>Ekart</v>
      </c>
      <c r="S854" s="3">
        <f>order[[#This Row],[selling_price]]-order[[#This Row],[cost_price]]*order[[#This Row],[quantity]]-order[[#This Row],[discount]]</f>
        <v>14910</v>
      </c>
      <c r="T854" s="3">
        <f>order[[#This Row],[quantity]]*order[[#This Row],[selling_price]]</f>
        <v>60522</v>
      </c>
    </row>
    <row r="855" spans="1:20" x14ac:dyDescent="0.3">
      <c r="A855">
        <v>667</v>
      </c>
      <c r="B855" s="11">
        <v>45358</v>
      </c>
      <c r="C855">
        <v>140</v>
      </c>
      <c r="D855" t="str">
        <f>_xlfn.XLOOKUP(order[[#This Row],[customer_id]],customer[customer_id],customer[customer_name])</f>
        <v>Neha Kapoor</v>
      </c>
      <c r="E855">
        <v>207</v>
      </c>
      <c r="F855">
        <v>4</v>
      </c>
      <c r="G855">
        <v>52712</v>
      </c>
      <c r="H855">
        <v>2311</v>
      </c>
      <c r="I855" t="s">
        <v>11</v>
      </c>
      <c r="J855" t="s">
        <v>14</v>
      </c>
      <c r="K855" t="str">
        <f>_xlfn.XLOOKUP(order[[#This Row],[customer_id]],customer[customer_id],customer[city])</f>
        <v>Chennai</v>
      </c>
      <c r="L855" t="str">
        <f>_xlfn.XLOOKUP(order[[#This Row],[customer_id]],customer[customer_id],customer[state])</f>
        <v>Tamil Nadu</v>
      </c>
      <c r="M855" t="str">
        <f>_xlfn.XLOOKUP(order[[#This Row],[product_id]],products!$A$2:$A$11,products!$B$2:$B$11)</f>
        <v>Sony WH-1000XM4 Headphones</v>
      </c>
      <c r="N855" s="3" t="str">
        <f>_xlfn.XLOOKUP(order[[#This Row],[product_id]],products!$A$2:$A$11,products!$C$2:$C$11)</f>
        <v>Electronics</v>
      </c>
      <c r="O855" s="3">
        <f>_xlfn.XLOOKUP(order[[#This Row],[product_id]],Table4[product_id],Table4[cost_price])</f>
        <v>20000</v>
      </c>
      <c r="P855" s="11">
        <f>_xlfn.XLOOKUP(order[[#This Row],[order_id]],shipment[order_id],shipment[ship_date])</f>
        <v>45447</v>
      </c>
      <c r="Q855" s="11">
        <f>_xlfn.XLOOKUP(order[[#This Row],[order_id]],shipment[order_id],shipment[delivery_date])</f>
        <v>45452</v>
      </c>
      <c r="R855" s="3" t="str">
        <f>_xlfn.XLOOKUP(order[[#This Row],[order_id]],shipment[shipment_id],shipment[courier])</f>
        <v>DTDC</v>
      </c>
      <c r="S855" s="3">
        <f>order[[#This Row],[selling_price]]-order[[#This Row],[cost_price]]*order[[#This Row],[quantity]]-order[[#This Row],[discount]]</f>
        <v>-29599</v>
      </c>
      <c r="T855" s="3">
        <f>order[[#This Row],[quantity]]*order[[#This Row],[selling_price]]</f>
        <v>210848</v>
      </c>
    </row>
    <row r="856" spans="1:20" x14ac:dyDescent="0.3">
      <c r="A856">
        <v>1144</v>
      </c>
      <c r="B856" s="11">
        <v>45347</v>
      </c>
      <c r="C856">
        <v>278</v>
      </c>
      <c r="D856" t="str">
        <f>_xlfn.XLOOKUP(order[[#This Row],[customer_id]],customer[customer_id],customer[customer_name])</f>
        <v>Neha Kapoor</v>
      </c>
      <c r="E856">
        <v>207</v>
      </c>
      <c r="F856">
        <v>4</v>
      </c>
      <c r="G856">
        <v>41284</v>
      </c>
      <c r="H856">
        <v>2289</v>
      </c>
      <c r="I856" t="s">
        <v>13</v>
      </c>
      <c r="J856" t="s">
        <v>12</v>
      </c>
      <c r="K856" t="str">
        <f>_xlfn.XLOOKUP(order[[#This Row],[customer_id]],customer[customer_id],customer[city])</f>
        <v>Hyderabad</v>
      </c>
      <c r="L856" t="str">
        <f>_xlfn.XLOOKUP(order[[#This Row],[customer_id]],customer[customer_id],customer[state])</f>
        <v>Telangana</v>
      </c>
      <c r="M856" t="str">
        <f>_xlfn.XLOOKUP(order[[#This Row],[product_id]],products!$A$2:$A$11,products!$B$2:$B$11)</f>
        <v>Sony WH-1000XM4 Headphones</v>
      </c>
      <c r="N856" s="3" t="str">
        <f>_xlfn.XLOOKUP(order[[#This Row],[product_id]],products!$A$2:$A$11,products!$C$2:$C$11)</f>
        <v>Electronics</v>
      </c>
      <c r="O856" s="3">
        <f>_xlfn.XLOOKUP(order[[#This Row],[product_id]],Table4[product_id],Table4[cost_price])</f>
        <v>20000</v>
      </c>
      <c r="P856" s="11">
        <f>_xlfn.XLOOKUP(order[[#This Row],[order_id]],shipment[order_id],shipment[ship_date])</f>
        <v>45361</v>
      </c>
      <c r="Q856" s="11">
        <f>_xlfn.XLOOKUP(order[[#This Row],[order_id]],shipment[order_id],shipment[delivery_date])</f>
        <v>45368</v>
      </c>
      <c r="R856" s="3" t="str">
        <f>_xlfn.XLOOKUP(order[[#This Row],[order_id]],shipment[shipment_id],shipment[courier])</f>
        <v>Ekart</v>
      </c>
      <c r="S856" s="3">
        <f>order[[#This Row],[selling_price]]-order[[#This Row],[cost_price]]*order[[#This Row],[quantity]]-order[[#This Row],[discount]]</f>
        <v>-41005</v>
      </c>
      <c r="T856" s="3">
        <f>order[[#This Row],[quantity]]*order[[#This Row],[selling_price]]</f>
        <v>165136</v>
      </c>
    </row>
    <row r="857" spans="1:20" x14ac:dyDescent="0.3">
      <c r="A857">
        <v>856</v>
      </c>
      <c r="B857" s="11">
        <v>45469</v>
      </c>
      <c r="C857">
        <v>248</v>
      </c>
      <c r="D857" t="str">
        <f>_xlfn.XLOOKUP(order[[#This Row],[customer_id]],customer[customer_id],customer[customer_name])</f>
        <v>Siddharth Jain</v>
      </c>
      <c r="E857">
        <v>208</v>
      </c>
      <c r="F857">
        <v>4</v>
      </c>
      <c r="G857">
        <v>55477</v>
      </c>
      <c r="H857">
        <v>3819</v>
      </c>
      <c r="I857" t="s">
        <v>9</v>
      </c>
      <c r="J857" t="s">
        <v>10</v>
      </c>
      <c r="K857" t="str">
        <f>_xlfn.XLOOKUP(order[[#This Row],[customer_id]],customer[customer_id],customer[city])</f>
        <v>Ahmedabad</v>
      </c>
      <c r="L857" t="str">
        <f>_xlfn.XLOOKUP(order[[#This Row],[customer_id]],customer[customer_id],customer[state])</f>
        <v>Gujarat</v>
      </c>
      <c r="M857" t="str">
        <f>_xlfn.XLOOKUP(order[[#This Row],[product_id]],products!$A$2:$A$11,products!$B$2:$B$11)</f>
        <v>Adidas Ultraboost Shoes</v>
      </c>
      <c r="N857" s="3" t="str">
        <f>_xlfn.XLOOKUP(order[[#This Row],[product_id]],products!$A$2:$A$11,products!$C$2:$C$11)</f>
        <v>Fashion</v>
      </c>
      <c r="O857" s="3">
        <f>_xlfn.XLOOKUP(order[[#This Row],[product_id]],Table4[product_id],Table4[cost_price])</f>
        <v>9000</v>
      </c>
      <c r="P857" s="11">
        <f>_xlfn.XLOOKUP(order[[#This Row],[order_id]],shipment[order_id],shipment[ship_date])</f>
        <v>45501</v>
      </c>
      <c r="Q857" s="11">
        <f>_xlfn.XLOOKUP(order[[#This Row],[order_id]],shipment[order_id],shipment[delivery_date])</f>
        <v>45505</v>
      </c>
      <c r="R857" s="3" t="str">
        <f>_xlfn.XLOOKUP(order[[#This Row],[order_id]],shipment[shipment_id],shipment[courier])</f>
        <v>Delhivery</v>
      </c>
      <c r="S857" s="3">
        <f>order[[#This Row],[selling_price]]-order[[#This Row],[cost_price]]*order[[#This Row],[quantity]]-order[[#This Row],[discount]]</f>
        <v>15658</v>
      </c>
      <c r="T857" s="3">
        <f>order[[#This Row],[quantity]]*order[[#This Row],[selling_price]]</f>
        <v>221908</v>
      </c>
    </row>
    <row r="858" spans="1:20" x14ac:dyDescent="0.3">
      <c r="A858">
        <v>770</v>
      </c>
      <c r="B858" s="11">
        <v>45536</v>
      </c>
      <c r="C858">
        <v>126</v>
      </c>
      <c r="D858" t="str">
        <f>_xlfn.XLOOKUP(order[[#This Row],[customer_id]],customer[customer_id],customer[customer_name])</f>
        <v>Meera Joshi</v>
      </c>
      <c r="E858">
        <v>207</v>
      </c>
      <c r="F858">
        <v>3</v>
      </c>
      <c r="G858">
        <v>10390</v>
      </c>
      <c r="H858">
        <v>2254</v>
      </c>
      <c r="I858" t="s">
        <v>13</v>
      </c>
      <c r="J858" t="s">
        <v>14</v>
      </c>
      <c r="K858" t="str">
        <f>_xlfn.XLOOKUP(order[[#This Row],[customer_id]],customer[customer_id],customer[city])</f>
        <v>Mumbai</v>
      </c>
      <c r="L858" t="str">
        <f>_xlfn.XLOOKUP(order[[#This Row],[customer_id]],customer[customer_id],customer[state])</f>
        <v>Maharashtra</v>
      </c>
      <c r="M858" t="str">
        <f>_xlfn.XLOOKUP(order[[#This Row],[product_id]],products!$A$2:$A$11,products!$B$2:$B$11)</f>
        <v>Sony WH-1000XM4 Headphones</v>
      </c>
      <c r="N858" s="3" t="str">
        <f>_xlfn.XLOOKUP(order[[#This Row],[product_id]],products!$A$2:$A$11,products!$C$2:$C$11)</f>
        <v>Electronics</v>
      </c>
      <c r="O858" s="3">
        <f>_xlfn.XLOOKUP(order[[#This Row],[product_id]],Table4[product_id],Table4[cost_price])</f>
        <v>20000</v>
      </c>
      <c r="P858" s="11">
        <f>_xlfn.XLOOKUP(order[[#This Row],[order_id]],shipment[order_id],shipment[ship_date])</f>
        <v>45389</v>
      </c>
      <c r="Q858" s="11">
        <f>_xlfn.XLOOKUP(order[[#This Row],[order_id]],shipment[order_id],shipment[delivery_date])</f>
        <v>45396</v>
      </c>
      <c r="R858" s="3" t="str">
        <f>_xlfn.XLOOKUP(order[[#This Row],[order_id]],shipment[shipment_id],shipment[courier])</f>
        <v>Delhivery</v>
      </c>
      <c r="S858" s="3">
        <f>order[[#This Row],[selling_price]]-order[[#This Row],[cost_price]]*order[[#This Row],[quantity]]-order[[#This Row],[discount]]</f>
        <v>-51864</v>
      </c>
      <c r="T858" s="3">
        <f>order[[#This Row],[quantity]]*order[[#This Row],[selling_price]]</f>
        <v>31170</v>
      </c>
    </row>
    <row r="859" spans="1:20" x14ac:dyDescent="0.3">
      <c r="A859">
        <v>858</v>
      </c>
      <c r="B859" s="11">
        <v>45472</v>
      </c>
      <c r="C859">
        <v>232</v>
      </c>
      <c r="D859" t="str">
        <f>_xlfn.XLOOKUP(order[[#This Row],[customer_id]],customer[customer_id],customer[customer_name])</f>
        <v>Vikram Singh</v>
      </c>
      <c r="E859">
        <v>202</v>
      </c>
      <c r="F859">
        <v>1</v>
      </c>
      <c r="G859">
        <v>68383</v>
      </c>
      <c r="H859">
        <v>3010</v>
      </c>
      <c r="I859" t="s">
        <v>9</v>
      </c>
      <c r="J859" t="s">
        <v>12</v>
      </c>
      <c r="K859" t="str">
        <f>_xlfn.XLOOKUP(order[[#This Row],[customer_id]],customer[customer_id],customer[city])</f>
        <v>Chennai</v>
      </c>
      <c r="L859" t="str">
        <f>_xlfn.XLOOKUP(order[[#This Row],[customer_id]],customer[customer_id],customer[state])</f>
        <v>Tamil Nadu</v>
      </c>
      <c r="M859" t="str">
        <f>_xlfn.XLOOKUP(order[[#This Row],[product_id]],products!$A$2:$A$11,products!$B$2:$B$11)</f>
        <v>Samsung Galaxy S21</v>
      </c>
      <c r="N859" s="3" t="str">
        <f>_xlfn.XLOOKUP(order[[#This Row],[product_id]],products!$A$2:$A$11,products!$C$2:$C$11)</f>
        <v>Electronics</v>
      </c>
      <c r="O859" s="3">
        <f>_xlfn.XLOOKUP(order[[#This Row],[product_id]],Table4[product_id],Table4[cost_price])</f>
        <v>45000</v>
      </c>
      <c r="P859" s="11">
        <f>_xlfn.XLOOKUP(order[[#This Row],[order_id]],shipment[order_id],shipment[ship_date])</f>
        <v>45391</v>
      </c>
      <c r="Q859" s="11">
        <f>_xlfn.XLOOKUP(order[[#This Row],[order_id]],shipment[order_id],shipment[delivery_date])</f>
        <v>45398</v>
      </c>
      <c r="R859" s="3" t="str">
        <f>_xlfn.XLOOKUP(order[[#This Row],[order_id]],shipment[shipment_id],shipment[courier])</f>
        <v>Delhivery</v>
      </c>
      <c r="S859" s="3">
        <f>order[[#This Row],[selling_price]]-order[[#This Row],[cost_price]]*order[[#This Row],[quantity]]-order[[#This Row],[discount]]</f>
        <v>20373</v>
      </c>
      <c r="T859" s="3">
        <f>order[[#This Row],[quantity]]*order[[#This Row],[selling_price]]</f>
        <v>68383</v>
      </c>
    </row>
    <row r="860" spans="1:20" x14ac:dyDescent="0.3">
      <c r="A860">
        <v>859</v>
      </c>
      <c r="B860" s="11">
        <v>45305</v>
      </c>
      <c r="C860">
        <v>282</v>
      </c>
      <c r="D860" t="str">
        <f>_xlfn.XLOOKUP(order[[#This Row],[customer_id]],customer[customer_id],customer[customer_name])</f>
        <v>Siddharth Jain</v>
      </c>
      <c r="E860">
        <v>208</v>
      </c>
      <c r="F860">
        <v>4</v>
      </c>
      <c r="G860">
        <v>67505</v>
      </c>
      <c r="H860">
        <v>239</v>
      </c>
      <c r="I860" t="s">
        <v>9</v>
      </c>
      <c r="J860" t="s">
        <v>14</v>
      </c>
      <c r="K860" t="str">
        <f>_xlfn.XLOOKUP(order[[#This Row],[customer_id]],customer[customer_id],customer[city])</f>
        <v>Delhi</v>
      </c>
      <c r="L860" t="str">
        <f>_xlfn.XLOOKUP(order[[#This Row],[customer_id]],customer[customer_id],customer[state])</f>
        <v>Delhi</v>
      </c>
      <c r="M860" t="str">
        <f>_xlfn.XLOOKUP(order[[#This Row],[product_id]],products!$A$2:$A$11,products!$B$2:$B$11)</f>
        <v>Adidas Ultraboost Shoes</v>
      </c>
      <c r="N860" s="3" t="str">
        <f>_xlfn.XLOOKUP(order[[#This Row],[product_id]],products!$A$2:$A$11,products!$C$2:$C$11)</f>
        <v>Fashion</v>
      </c>
      <c r="O860" s="3">
        <f>_xlfn.XLOOKUP(order[[#This Row],[product_id]],Table4[product_id],Table4[cost_price])</f>
        <v>9000</v>
      </c>
      <c r="P860" s="11">
        <f>_xlfn.XLOOKUP(order[[#This Row],[order_id]],shipment[order_id],shipment[ship_date])</f>
        <v>45547</v>
      </c>
      <c r="Q860" s="11">
        <f>_xlfn.XLOOKUP(order[[#This Row],[order_id]],shipment[order_id],shipment[delivery_date])</f>
        <v>45551</v>
      </c>
      <c r="R860" s="3" t="str">
        <f>_xlfn.XLOOKUP(order[[#This Row],[order_id]],shipment[shipment_id],shipment[courier])</f>
        <v>BlueDart</v>
      </c>
      <c r="S860" s="3">
        <f>order[[#This Row],[selling_price]]-order[[#This Row],[cost_price]]*order[[#This Row],[quantity]]-order[[#This Row],[discount]]</f>
        <v>31266</v>
      </c>
      <c r="T860" s="3">
        <f>order[[#This Row],[quantity]]*order[[#This Row],[selling_price]]</f>
        <v>270020</v>
      </c>
    </row>
    <row r="861" spans="1:20" x14ac:dyDescent="0.3">
      <c r="A861">
        <v>860</v>
      </c>
      <c r="B861" s="11">
        <v>45570</v>
      </c>
      <c r="C861">
        <v>255</v>
      </c>
      <c r="D861" t="str">
        <f>_xlfn.XLOOKUP(order[[#This Row],[customer_id]],customer[customer_id],customer[customer_name])</f>
        <v>Meera Joshi</v>
      </c>
      <c r="E861">
        <v>209</v>
      </c>
      <c r="F861">
        <v>2</v>
      </c>
      <c r="G861">
        <v>21624</v>
      </c>
      <c r="H861">
        <v>2074</v>
      </c>
      <c r="I861" t="s">
        <v>13</v>
      </c>
      <c r="J861" t="s">
        <v>12</v>
      </c>
      <c r="K861" t="str">
        <f>_xlfn.XLOOKUP(order[[#This Row],[customer_id]],customer[customer_id],customer[city])</f>
        <v>Ahmedabad</v>
      </c>
      <c r="L861" t="str">
        <f>_xlfn.XLOOKUP(order[[#This Row],[customer_id]],customer[customer_id],customer[state])</f>
        <v>Gujarat</v>
      </c>
      <c r="M861" t="str">
        <f>_xlfn.XLOOKUP(order[[#This Row],[product_id]],products!$A$2:$A$11,products!$B$2:$B$11)</f>
        <v>Milton Thermosteel Bottle</v>
      </c>
      <c r="N861" s="3" t="str">
        <f>_xlfn.XLOOKUP(order[[#This Row],[product_id]],products!$A$2:$A$11,products!$C$2:$C$11)</f>
        <v>Home &amp; Kitchen</v>
      </c>
      <c r="O861" s="3">
        <f>_xlfn.XLOOKUP(order[[#This Row],[product_id]],Table4[product_id],Table4[cost_price])</f>
        <v>800</v>
      </c>
      <c r="P861" s="11">
        <f>_xlfn.XLOOKUP(order[[#This Row],[order_id]],shipment[order_id],shipment[ship_date])</f>
        <v>45603</v>
      </c>
      <c r="Q861" s="11">
        <f>_xlfn.XLOOKUP(order[[#This Row],[order_id]],shipment[order_id],shipment[delivery_date])</f>
        <v>45609</v>
      </c>
      <c r="R861" s="3" t="str">
        <f>_xlfn.XLOOKUP(order[[#This Row],[order_id]],shipment[shipment_id],shipment[courier])</f>
        <v>DTDC</v>
      </c>
      <c r="S861" s="3">
        <f>order[[#This Row],[selling_price]]-order[[#This Row],[cost_price]]*order[[#This Row],[quantity]]-order[[#This Row],[discount]]</f>
        <v>17950</v>
      </c>
      <c r="T861" s="3">
        <f>order[[#This Row],[quantity]]*order[[#This Row],[selling_price]]</f>
        <v>43248</v>
      </c>
    </row>
    <row r="862" spans="1:20" x14ac:dyDescent="0.3">
      <c r="A862">
        <v>1185</v>
      </c>
      <c r="B862" s="11">
        <v>45295</v>
      </c>
      <c r="C862">
        <v>117</v>
      </c>
      <c r="D862" t="str">
        <f>_xlfn.XLOOKUP(order[[#This Row],[customer_id]],customer[customer_id],customer[customer_name])</f>
        <v>Rohit Verma</v>
      </c>
      <c r="E862">
        <v>207</v>
      </c>
      <c r="F862">
        <v>4</v>
      </c>
      <c r="G862">
        <v>59723</v>
      </c>
      <c r="H862">
        <v>2208</v>
      </c>
      <c r="I862" t="s">
        <v>15</v>
      </c>
      <c r="J862" t="s">
        <v>10</v>
      </c>
      <c r="K862" t="str">
        <f>_xlfn.XLOOKUP(order[[#This Row],[customer_id]],customer[customer_id],customer[city])</f>
        <v>Bangalore</v>
      </c>
      <c r="L862" t="str">
        <f>_xlfn.XLOOKUP(order[[#This Row],[customer_id]],customer[customer_id],customer[state])</f>
        <v>Karnataka</v>
      </c>
      <c r="M862" t="str">
        <f>_xlfn.XLOOKUP(order[[#This Row],[product_id]],products!$A$2:$A$11,products!$B$2:$B$11)</f>
        <v>Sony WH-1000XM4 Headphones</v>
      </c>
      <c r="N862" s="3" t="str">
        <f>_xlfn.XLOOKUP(order[[#This Row],[product_id]],products!$A$2:$A$11,products!$C$2:$C$11)</f>
        <v>Electronics</v>
      </c>
      <c r="O862" s="3">
        <f>_xlfn.XLOOKUP(order[[#This Row],[product_id]],Table4[product_id],Table4[cost_price])</f>
        <v>20000</v>
      </c>
      <c r="P862" s="11">
        <f>_xlfn.XLOOKUP(order[[#This Row],[order_id]],shipment[order_id],shipment[ship_date])</f>
        <v>45588</v>
      </c>
      <c r="Q862" s="11">
        <f>_xlfn.XLOOKUP(order[[#This Row],[order_id]],shipment[order_id],shipment[delivery_date])</f>
        <v>45595</v>
      </c>
      <c r="R862" s="3" t="str">
        <f>_xlfn.XLOOKUP(order[[#This Row],[order_id]],shipment[shipment_id],shipment[courier])</f>
        <v>Delhivery</v>
      </c>
      <c r="S862" s="3">
        <f>order[[#This Row],[selling_price]]-order[[#This Row],[cost_price]]*order[[#This Row],[quantity]]-order[[#This Row],[discount]]</f>
        <v>-22485</v>
      </c>
      <c r="T862" s="3">
        <f>order[[#This Row],[quantity]]*order[[#This Row],[selling_price]]</f>
        <v>238892</v>
      </c>
    </row>
    <row r="863" spans="1:20" x14ac:dyDescent="0.3">
      <c r="A863">
        <v>329</v>
      </c>
      <c r="B863" s="11">
        <v>45582</v>
      </c>
      <c r="C863">
        <v>261</v>
      </c>
      <c r="D863" t="str">
        <f>_xlfn.XLOOKUP(order[[#This Row],[customer_id]],customer[customer_id],customer[customer_name])</f>
        <v>Siddharth Jain</v>
      </c>
      <c r="E863">
        <v>207</v>
      </c>
      <c r="F863">
        <v>4</v>
      </c>
      <c r="G863">
        <v>55386</v>
      </c>
      <c r="H863">
        <v>2102</v>
      </c>
      <c r="I863" t="s">
        <v>9</v>
      </c>
      <c r="J863" t="s">
        <v>10</v>
      </c>
      <c r="K863" t="str">
        <f>_xlfn.XLOOKUP(order[[#This Row],[customer_id]],customer[customer_id],customer[city])</f>
        <v>Hyderabad</v>
      </c>
      <c r="L863" t="str">
        <f>_xlfn.XLOOKUP(order[[#This Row],[customer_id]],customer[customer_id],customer[state])</f>
        <v>Telangana</v>
      </c>
      <c r="M863" t="str">
        <f>_xlfn.XLOOKUP(order[[#This Row],[product_id]],products!$A$2:$A$11,products!$B$2:$B$11)</f>
        <v>Sony WH-1000XM4 Headphones</v>
      </c>
      <c r="N863" s="3" t="str">
        <f>_xlfn.XLOOKUP(order[[#This Row],[product_id]],products!$A$2:$A$11,products!$C$2:$C$11)</f>
        <v>Electronics</v>
      </c>
      <c r="O863" s="3">
        <f>_xlfn.XLOOKUP(order[[#This Row],[product_id]],Table4[product_id],Table4[cost_price])</f>
        <v>20000</v>
      </c>
      <c r="P863" s="11">
        <f>_xlfn.XLOOKUP(order[[#This Row],[order_id]],shipment[order_id],shipment[ship_date])</f>
        <v>45552</v>
      </c>
      <c r="Q863" s="11">
        <f>_xlfn.XLOOKUP(order[[#This Row],[order_id]],shipment[order_id],shipment[delivery_date])</f>
        <v>45559</v>
      </c>
      <c r="R863" s="3" t="str">
        <f>_xlfn.XLOOKUP(order[[#This Row],[order_id]],shipment[shipment_id],shipment[courier])</f>
        <v>Ekart</v>
      </c>
      <c r="S863" s="3">
        <f>order[[#This Row],[selling_price]]-order[[#This Row],[cost_price]]*order[[#This Row],[quantity]]-order[[#This Row],[discount]]</f>
        <v>-26716</v>
      </c>
      <c r="T863" s="3">
        <f>order[[#This Row],[quantity]]*order[[#This Row],[selling_price]]</f>
        <v>221544</v>
      </c>
    </row>
    <row r="864" spans="1:20" x14ac:dyDescent="0.3">
      <c r="A864">
        <v>863</v>
      </c>
      <c r="B864" s="11">
        <v>45385</v>
      </c>
      <c r="C864">
        <v>247</v>
      </c>
      <c r="D864" t="str">
        <f>_xlfn.XLOOKUP(order[[#This Row],[customer_id]],customer[customer_id],customer[customer_name])</f>
        <v>Pooja Nair</v>
      </c>
      <c r="E864">
        <v>209</v>
      </c>
      <c r="F864">
        <v>1</v>
      </c>
      <c r="G864">
        <v>61435</v>
      </c>
      <c r="H864">
        <v>1779</v>
      </c>
      <c r="I864" t="s">
        <v>13</v>
      </c>
      <c r="J864" t="s">
        <v>12</v>
      </c>
      <c r="K864" t="str">
        <f>_xlfn.XLOOKUP(order[[#This Row],[customer_id]],customer[customer_id],customer[city])</f>
        <v>Pune</v>
      </c>
      <c r="L864" t="str">
        <f>_xlfn.XLOOKUP(order[[#This Row],[customer_id]],customer[customer_id],customer[state])</f>
        <v>Maharashtra</v>
      </c>
      <c r="M864" t="str">
        <f>_xlfn.XLOOKUP(order[[#This Row],[product_id]],products!$A$2:$A$11,products!$B$2:$B$11)</f>
        <v>Milton Thermosteel Bottle</v>
      </c>
      <c r="N864" s="3" t="str">
        <f>_xlfn.XLOOKUP(order[[#This Row],[product_id]],products!$A$2:$A$11,products!$C$2:$C$11)</f>
        <v>Home &amp; Kitchen</v>
      </c>
      <c r="O864" s="3">
        <f>_xlfn.XLOOKUP(order[[#This Row],[product_id]],Table4[product_id],Table4[cost_price])</f>
        <v>800</v>
      </c>
      <c r="P864" s="11">
        <f>_xlfn.XLOOKUP(order[[#This Row],[order_id]],shipment[order_id],shipment[ship_date])</f>
        <v>45504</v>
      </c>
      <c r="Q864" s="11">
        <f>_xlfn.XLOOKUP(order[[#This Row],[order_id]],shipment[order_id],shipment[delivery_date])</f>
        <v>45508</v>
      </c>
      <c r="R864" s="3" t="str">
        <f>_xlfn.XLOOKUP(order[[#This Row],[order_id]],shipment[shipment_id],shipment[courier])</f>
        <v>BlueDart</v>
      </c>
      <c r="S864" s="3">
        <f>order[[#This Row],[selling_price]]-order[[#This Row],[cost_price]]*order[[#This Row],[quantity]]-order[[#This Row],[discount]]</f>
        <v>58856</v>
      </c>
      <c r="T864" s="3">
        <f>order[[#This Row],[quantity]]*order[[#This Row],[selling_price]]</f>
        <v>61435</v>
      </c>
    </row>
    <row r="865" spans="1:20" x14ac:dyDescent="0.3">
      <c r="A865">
        <v>319</v>
      </c>
      <c r="B865" s="11">
        <v>45580</v>
      </c>
      <c r="C865">
        <v>235</v>
      </c>
      <c r="D865" t="str">
        <f>_xlfn.XLOOKUP(order[[#This Row],[customer_id]],customer[customer_id],customer[customer_name])</f>
        <v>Neha Kapoor</v>
      </c>
      <c r="E865">
        <v>207</v>
      </c>
      <c r="F865">
        <v>4</v>
      </c>
      <c r="G865">
        <v>6461</v>
      </c>
      <c r="H865">
        <v>2055</v>
      </c>
      <c r="I865" t="s">
        <v>15</v>
      </c>
      <c r="J865" t="s">
        <v>14</v>
      </c>
      <c r="K865" t="str">
        <f>_xlfn.XLOOKUP(order[[#This Row],[customer_id]],customer[customer_id],customer[city])</f>
        <v>Pune</v>
      </c>
      <c r="L865" t="str">
        <f>_xlfn.XLOOKUP(order[[#This Row],[customer_id]],customer[customer_id],customer[state])</f>
        <v>Maharashtra</v>
      </c>
      <c r="M865" t="str">
        <f>_xlfn.XLOOKUP(order[[#This Row],[product_id]],products!$A$2:$A$11,products!$B$2:$B$11)</f>
        <v>Sony WH-1000XM4 Headphones</v>
      </c>
      <c r="N865" s="3" t="str">
        <f>_xlfn.XLOOKUP(order[[#This Row],[product_id]],products!$A$2:$A$11,products!$C$2:$C$11)</f>
        <v>Electronics</v>
      </c>
      <c r="O865" s="3">
        <f>_xlfn.XLOOKUP(order[[#This Row],[product_id]],Table4[product_id],Table4[cost_price])</f>
        <v>20000</v>
      </c>
      <c r="P865" s="11">
        <f>_xlfn.XLOOKUP(order[[#This Row],[order_id]],shipment[order_id],shipment[ship_date])</f>
        <v>45617</v>
      </c>
      <c r="Q865" s="11">
        <f>_xlfn.XLOOKUP(order[[#This Row],[order_id]],shipment[order_id],shipment[delivery_date])</f>
        <v>45625</v>
      </c>
      <c r="R865" s="3" t="str">
        <f>_xlfn.XLOOKUP(order[[#This Row],[order_id]],shipment[shipment_id],shipment[courier])</f>
        <v>BlueDart</v>
      </c>
      <c r="S865" s="3">
        <f>order[[#This Row],[selling_price]]-order[[#This Row],[cost_price]]*order[[#This Row],[quantity]]-order[[#This Row],[discount]]</f>
        <v>-75594</v>
      </c>
      <c r="T865" s="3">
        <f>order[[#This Row],[quantity]]*order[[#This Row],[selling_price]]</f>
        <v>25844</v>
      </c>
    </row>
    <row r="866" spans="1:20" x14ac:dyDescent="0.3">
      <c r="A866">
        <v>903</v>
      </c>
      <c r="B866" s="11">
        <v>45371</v>
      </c>
      <c r="C866">
        <v>118</v>
      </c>
      <c r="D866" t="str">
        <f>_xlfn.XLOOKUP(order[[#This Row],[customer_id]],customer[customer_id],customer[customer_name])</f>
        <v>Ananya Gupta</v>
      </c>
      <c r="E866">
        <v>207</v>
      </c>
      <c r="F866">
        <v>2</v>
      </c>
      <c r="G866">
        <v>31377</v>
      </c>
      <c r="H866">
        <v>1974</v>
      </c>
      <c r="I866" t="s">
        <v>11</v>
      </c>
      <c r="J866" t="s">
        <v>10</v>
      </c>
      <c r="K866" t="str">
        <f>_xlfn.XLOOKUP(order[[#This Row],[customer_id]],customer[customer_id],customer[city])</f>
        <v>Pune</v>
      </c>
      <c r="L866" t="str">
        <f>_xlfn.XLOOKUP(order[[#This Row],[customer_id]],customer[customer_id],customer[state])</f>
        <v>Maharashtra</v>
      </c>
      <c r="M866" t="str">
        <f>_xlfn.XLOOKUP(order[[#This Row],[product_id]],products!$A$2:$A$11,products!$B$2:$B$11)</f>
        <v>Sony WH-1000XM4 Headphones</v>
      </c>
      <c r="N866" s="3" t="str">
        <f>_xlfn.XLOOKUP(order[[#This Row],[product_id]],products!$A$2:$A$11,products!$C$2:$C$11)</f>
        <v>Electronics</v>
      </c>
      <c r="O866" s="3">
        <f>_xlfn.XLOOKUP(order[[#This Row],[product_id]],Table4[product_id],Table4[cost_price])</f>
        <v>20000</v>
      </c>
      <c r="P866" s="11">
        <f>_xlfn.XLOOKUP(order[[#This Row],[order_id]],shipment[order_id],shipment[ship_date])</f>
        <v>45392</v>
      </c>
      <c r="Q866" s="11">
        <f>_xlfn.XLOOKUP(order[[#This Row],[order_id]],shipment[order_id],shipment[delivery_date])</f>
        <v>45399</v>
      </c>
      <c r="R866" s="3" t="str">
        <f>_xlfn.XLOOKUP(order[[#This Row],[order_id]],shipment[shipment_id],shipment[courier])</f>
        <v>Ekart</v>
      </c>
      <c r="S866" s="3">
        <f>order[[#This Row],[selling_price]]-order[[#This Row],[cost_price]]*order[[#This Row],[quantity]]-order[[#This Row],[discount]]</f>
        <v>-10597</v>
      </c>
      <c r="T866" s="3">
        <f>order[[#This Row],[quantity]]*order[[#This Row],[selling_price]]</f>
        <v>62754</v>
      </c>
    </row>
    <row r="867" spans="1:20" x14ac:dyDescent="0.3">
      <c r="A867">
        <v>866</v>
      </c>
      <c r="B867" s="11">
        <v>45633</v>
      </c>
      <c r="C867">
        <v>236</v>
      </c>
      <c r="D867" t="str">
        <f>_xlfn.XLOOKUP(order[[#This Row],[customer_id]],customer[customer_id],customer[customer_name])</f>
        <v>Priya Reddy</v>
      </c>
      <c r="E867">
        <v>206</v>
      </c>
      <c r="F867">
        <v>1</v>
      </c>
      <c r="G867">
        <v>29808</v>
      </c>
      <c r="H867">
        <v>3137</v>
      </c>
      <c r="I867" t="s">
        <v>13</v>
      </c>
      <c r="J867" t="s">
        <v>14</v>
      </c>
      <c r="K867" t="str">
        <f>_xlfn.XLOOKUP(order[[#This Row],[customer_id]],customer[customer_id],customer[city])</f>
        <v>Ahmedabad</v>
      </c>
      <c r="L867" t="str">
        <f>_xlfn.XLOOKUP(order[[#This Row],[customer_id]],customer[customer_id],customer[state])</f>
        <v>Gujarat</v>
      </c>
      <c r="M867" t="str">
        <f>_xlfn.XLOOKUP(order[[#This Row],[product_id]],products!$A$2:$A$11,products!$B$2:$B$11)</f>
        <v>Philips Air Fryer</v>
      </c>
      <c r="N867" s="3" t="str">
        <f>_xlfn.XLOOKUP(order[[#This Row],[product_id]],products!$A$2:$A$11,products!$C$2:$C$11)</f>
        <v>Home &amp; Kitchen</v>
      </c>
      <c r="O867" s="3">
        <f>_xlfn.XLOOKUP(order[[#This Row],[product_id]],Table4[product_id],Table4[cost_price])</f>
        <v>7000</v>
      </c>
      <c r="P867" s="11">
        <f>_xlfn.XLOOKUP(order[[#This Row],[order_id]],shipment[order_id],shipment[ship_date])</f>
        <v>45539</v>
      </c>
      <c r="Q867" s="11">
        <f>_xlfn.XLOOKUP(order[[#This Row],[order_id]],shipment[order_id],shipment[delivery_date])</f>
        <v>45544</v>
      </c>
      <c r="R867" s="3" t="str">
        <f>_xlfn.XLOOKUP(order[[#This Row],[order_id]],shipment[shipment_id],shipment[courier])</f>
        <v>Ekart</v>
      </c>
      <c r="S867" s="3">
        <f>order[[#This Row],[selling_price]]-order[[#This Row],[cost_price]]*order[[#This Row],[quantity]]-order[[#This Row],[discount]]</f>
        <v>19671</v>
      </c>
      <c r="T867" s="3">
        <f>order[[#This Row],[quantity]]*order[[#This Row],[selling_price]]</f>
        <v>29808</v>
      </c>
    </row>
    <row r="868" spans="1:20" x14ac:dyDescent="0.3">
      <c r="A868">
        <v>486</v>
      </c>
      <c r="B868" s="11">
        <v>45366</v>
      </c>
      <c r="C868">
        <v>113</v>
      </c>
      <c r="D868" t="str">
        <f>_xlfn.XLOOKUP(order[[#This Row],[customer_id]],customer[customer_id],customer[customer_name])</f>
        <v>Meera Joshi</v>
      </c>
      <c r="E868">
        <v>207</v>
      </c>
      <c r="F868">
        <v>4</v>
      </c>
      <c r="G868">
        <v>64227</v>
      </c>
      <c r="H868">
        <v>1950</v>
      </c>
      <c r="I868" t="s">
        <v>9</v>
      </c>
      <c r="J868" t="s">
        <v>12</v>
      </c>
      <c r="K868" t="str">
        <f>_xlfn.XLOOKUP(order[[#This Row],[customer_id]],customer[customer_id],customer[city])</f>
        <v>Hyderabad</v>
      </c>
      <c r="L868" t="str">
        <f>_xlfn.XLOOKUP(order[[#This Row],[customer_id]],customer[customer_id],customer[state])</f>
        <v>Telangana</v>
      </c>
      <c r="M868" t="str">
        <f>_xlfn.XLOOKUP(order[[#This Row],[product_id]],products!$A$2:$A$11,products!$B$2:$B$11)</f>
        <v>Sony WH-1000XM4 Headphones</v>
      </c>
      <c r="N868" s="3" t="str">
        <f>_xlfn.XLOOKUP(order[[#This Row],[product_id]],products!$A$2:$A$11,products!$C$2:$C$11)</f>
        <v>Electronics</v>
      </c>
      <c r="O868" s="3">
        <f>_xlfn.XLOOKUP(order[[#This Row],[product_id]],Table4[product_id],Table4[cost_price])</f>
        <v>20000</v>
      </c>
      <c r="P868" s="11">
        <f>_xlfn.XLOOKUP(order[[#This Row],[order_id]],shipment[order_id],shipment[ship_date])</f>
        <v>45604</v>
      </c>
      <c r="Q868" s="11">
        <f>_xlfn.XLOOKUP(order[[#This Row],[order_id]],shipment[order_id],shipment[delivery_date])</f>
        <v>45610</v>
      </c>
      <c r="R868" s="3" t="str">
        <f>_xlfn.XLOOKUP(order[[#This Row],[order_id]],shipment[shipment_id],shipment[courier])</f>
        <v>Delhivery</v>
      </c>
      <c r="S868" s="3">
        <f>order[[#This Row],[selling_price]]-order[[#This Row],[cost_price]]*order[[#This Row],[quantity]]-order[[#This Row],[discount]]</f>
        <v>-17723</v>
      </c>
      <c r="T868" s="3">
        <f>order[[#This Row],[quantity]]*order[[#This Row],[selling_price]]</f>
        <v>256908</v>
      </c>
    </row>
    <row r="869" spans="1:20" x14ac:dyDescent="0.3">
      <c r="A869">
        <v>589</v>
      </c>
      <c r="B869" s="11">
        <v>45506</v>
      </c>
      <c r="C869">
        <v>158</v>
      </c>
      <c r="D869" t="str">
        <f>_xlfn.XLOOKUP(order[[#This Row],[customer_id]],customer[customer_id],customer[customer_name])</f>
        <v>Vikram Singh</v>
      </c>
      <c r="E869">
        <v>207</v>
      </c>
      <c r="F869">
        <v>3</v>
      </c>
      <c r="G869">
        <v>48021</v>
      </c>
      <c r="H869">
        <v>1934</v>
      </c>
      <c r="I869" t="s">
        <v>9</v>
      </c>
      <c r="J869" t="s">
        <v>10</v>
      </c>
      <c r="K869" t="str">
        <f>_xlfn.XLOOKUP(order[[#This Row],[customer_id]],customer[customer_id],customer[city])</f>
        <v>Delhi</v>
      </c>
      <c r="L869" t="str">
        <f>_xlfn.XLOOKUP(order[[#This Row],[customer_id]],customer[customer_id],customer[state])</f>
        <v>Delhi</v>
      </c>
      <c r="M869" t="str">
        <f>_xlfn.XLOOKUP(order[[#This Row],[product_id]],products!$A$2:$A$11,products!$B$2:$B$11)</f>
        <v>Sony WH-1000XM4 Headphones</v>
      </c>
      <c r="N869" s="3" t="str">
        <f>_xlfn.XLOOKUP(order[[#This Row],[product_id]],products!$A$2:$A$11,products!$C$2:$C$11)</f>
        <v>Electronics</v>
      </c>
      <c r="O869" s="3">
        <f>_xlfn.XLOOKUP(order[[#This Row],[product_id]],Table4[product_id],Table4[cost_price])</f>
        <v>20000</v>
      </c>
      <c r="P869" s="11">
        <f>_xlfn.XLOOKUP(order[[#This Row],[order_id]],shipment[order_id],shipment[ship_date])</f>
        <v>45298</v>
      </c>
      <c r="Q869" s="11">
        <f>_xlfn.XLOOKUP(order[[#This Row],[order_id]],shipment[order_id],shipment[delivery_date])</f>
        <v>45304</v>
      </c>
      <c r="R869" s="3" t="str">
        <f>_xlfn.XLOOKUP(order[[#This Row],[order_id]],shipment[shipment_id],shipment[courier])</f>
        <v>Ekart</v>
      </c>
      <c r="S869" s="3">
        <f>order[[#This Row],[selling_price]]-order[[#This Row],[cost_price]]*order[[#This Row],[quantity]]-order[[#This Row],[discount]]</f>
        <v>-13913</v>
      </c>
      <c r="T869" s="3">
        <f>order[[#This Row],[quantity]]*order[[#This Row],[selling_price]]</f>
        <v>144063</v>
      </c>
    </row>
    <row r="870" spans="1:20" x14ac:dyDescent="0.3">
      <c r="A870">
        <v>1045</v>
      </c>
      <c r="B870" s="11">
        <v>45468</v>
      </c>
      <c r="C870">
        <v>184</v>
      </c>
      <c r="D870" t="str">
        <f>_xlfn.XLOOKUP(order[[#This Row],[customer_id]],customer[customer_id],customer[customer_name])</f>
        <v>Arjun Nair</v>
      </c>
      <c r="E870">
        <v>207</v>
      </c>
      <c r="F870">
        <v>2</v>
      </c>
      <c r="G870">
        <v>32635</v>
      </c>
      <c r="H870">
        <v>1797</v>
      </c>
      <c r="I870" t="s">
        <v>15</v>
      </c>
      <c r="J870" t="s">
        <v>12</v>
      </c>
      <c r="K870" t="str">
        <f>_xlfn.XLOOKUP(order[[#This Row],[customer_id]],customer[customer_id],customer[city])</f>
        <v>Delhi</v>
      </c>
      <c r="L870" t="str">
        <f>_xlfn.XLOOKUP(order[[#This Row],[customer_id]],customer[customer_id],customer[state])</f>
        <v>Delhi</v>
      </c>
      <c r="M870" t="str">
        <f>_xlfn.XLOOKUP(order[[#This Row],[product_id]],products!$A$2:$A$11,products!$B$2:$B$11)</f>
        <v>Sony WH-1000XM4 Headphones</v>
      </c>
      <c r="N870" s="3" t="str">
        <f>_xlfn.XLOOKUP(order[[#This Row],[product_id]],products!$A$2:$A$11,products!$C$2:$C$11)</f>
        <v>Electronics</v>
      </c>
      <c r="O870" s="3">
        <f>_xlfn.XLOOKUP(order[[#This Row],[product_id]],Table4[product_id],Table4[cost_price])</f>
        <v>20000</v>
      </c>
      <c r="P870" s="11">
        <f>_xlfn.XLOOKUP(order[[#This Row],[order_id]],shipment[order_id],shipment[ship_date])</f>
        <v>45458</v>
      </c>
      <c r="Q870" s="11">
        <f>_xlfn.XLOOKUP(order[[#This Row],[order_id]],shipment[order_id],shipment[delivery_date])</f>
        <v>45460</v>
      </c>
      <c r="R870" s="3" t="str">
        <f>_xlfn.XLOOKUP(order[[#This Row],[order_id]],shipment[shipment_id],shipment[courier])</f>
        <v>Delhivery</v>
      </c>
      <c r="S870" s="3">
        <f>order[[#This Row],[selling_price]]-order[[#This Row],[cost_price]]*order[[#This Row],[quantity]]-order[[#This Row],[discount]]</f>
        <v>-9162</v>
      </c>
      <c r="T870" s="3">
        <f>order[[#This Row],[quantity]]*order[[#This Row],[selling_price]]</f>
        <v>65270</v>
      </c>
    </row>
    <row r="871" spans="1:20" x14ac:dyDescent="0.3">
      <c r="A871">
        <v>258</v>
      </c>
      <c r="B871" s="11">
        <v>45608</v>
      </c>
      <c r="C871">
        <v>296</v>
      </c>
      <c r="D871" t="str">
        <f>_xlfn.XLOOKUP(order[[#This Row],[customer_id]],customer[customer_id],customer[customer_name])</f>
        <v>Rohit Verma</v>
      </c>
      <c r="E871">
        <v>207</v>
      </c>
      <c r="F871">
        <v>3</v>
      </c>
      <c r="G871">
        <v>36060</v>
      </c>
      <c r="H871">
        <v>1790</v>
      </c>
      <c r="I871" t="s">
        <v>9</v>
      </c>
      <c r="J871" t="s">
        <v>12</v>
      </c>
      <c r="K871" t="str">
        <f>_xlfn.XLOOKUP(order[[#This Row],[customer_id]],customer[customer_id],customer[city])</f>
        <v>Pune</v>
      </c>
      <c r="L871" t="str">
        <f>_xlfn.XLOOKUP(order[[#This Row],[customer_id]],customer[customer_id],customer[state])</f>
        <v>Maharashtra</v>
      </c>
      <c r="M871" t="str">
        <f>_xlfn.XLOOKUP(order[[#This Row],[product_id]],products!$A$2:$A$11,products!$B$2:$B$11)</f>
        <v>Sony WH-1000XM4 Headphones</v>
      </c>
      <c r="N871" s="3" t="str">
        <f>_xlfn.XLOOKUP(order[[#This Row],[product_id]],products!$A$2:$A$11,products!$C$2:$C$11)</f>
        <v>Electronics</v>
      </c>
      <c r="O871" s="3">
        <f>_xlfn.XLOOKUP(order[[#This Row],[product_id]],Table4[product_id],Table4[cost_price])</f>
        <v>20000</v>
      </c>
      <c r="P871" s="11">
        <f>_xlfn.XLOOKUP(order[[#This Row],[order_id]],shipment[order_id],shipment[ship_date])</f>
        <v>45294</v>
      </c>
      <c r="Q871" s="11">
        <f>_xlfn.XLOOKUP(order[[#This Row],[order_id]],shipment[order_id],shipment[delivery_date])</f>
        <v>45303</v>
      </c>
      <c r="R871" s="3" t="str">
        <f>_xlfn.XLOOKUP(order[[#This Row],[order_id]],shipment[shipment_id],shipment[courier])</f>
        <v>Delhivery</v>
      </c>
      <c r="S871" s="3">
        <f>order[[#This Row],[selling_price]]-order[[#This Row],[cost_price]]*order[[#This Row],[quantity]]-order[[#This Row],[discount]]</f>
        <v>-25730</v>
      </c>
      <c r="T871" s="3">
        <f>order[[#This Row],[quantity]]*order[[#This Row],[selling_price]]</f>
        <v>108180</v>
      </c>
    </row>
    <row r="872" spans="1:20" x14ac:dyDescent="0.3">
      <c r="A872">
        <v>1091</v>
      </c>
      <c r="B872" s="11">
        <v>45496</v>
      </c>
      <c r="C872">
        <v>163</v>
      </c>
      <c r="D872" t="str">
        <f>_xlfn.XLOOKUP(order[[#This Row],[customer_id]],customer[customer_id],customer[customer_name])</f>
        <v>Ananya Gupta</v>
      </c>
      <c r="E872">
        <v>207</v>
      </c>
      <c r="F872">
        <v>3</v>
      </c>
      <c r="G872">
        <v>2025</v>
      </c>
      <c r="H872">
        <v>1680</v>
      </c>
      <c r="I872" t="s">
        <v>15</v>
      </c>
      <c r="J872" t="s">
        <v>14</v>
      </c>
      <c r="K872" t="str">
        <f>_xlfn.XLOOKUP(order[[#This Row],[customer_id]],customer[customer_id],customer[city])</f>
        <v>Chennai</v>
      </c>
      <c r="L872" t="str">
        <f>_xlfn.XLOOKUP(order[[#This Row],[customer_id]],customer[customer_id],customer[state])</f>
        <v>Tamil Nadu</v>
      </c>
      <c r="M872" t="str">
        <f>_xlfn.XLOOKUP(order[[#This Row],[product_id]],products!$A$2:$A$11,products!$B$2:$B$11)</f>
        <v>Sony WH-1000XM4 Headphones</v>
      </c>
      <c r="N872" s="3" t="str">
        <f>_xlfn.XLOOKUP(order[[#This Row],[product_id]],products!$A$2:$A$11,products!$C$2:$C$11)</f>
        <v>Electronics</v>
      </c>
      <c r="O872" s="3">
        <f>_xlfn.XLOOKUP(order[[#This Row],[product_id]],Table4[product_id],Table4[cost_price])</f>
        <v>20000</v>
      </c>
      <c r="P872" s="11">
        <f>_xlfn.XLOOKUP(order[[#This Row],[order_id]],shipment[order_id],shipment[ship_date])</f>
        <v>45304</v>
      </c>
      <c r="Q872" s="11">
        <f>_xlfn.XLOOKUP(order[[#This Row],[order_id]],shipment[order_id],shipment[delivery_date])</f>
        <v>45309</v>
      </c>
      <c r="R872" s="3" t="str">
        <f>_xlfn.XLOOKUP(order[[#This Row],[order_id]],shipment[shipment_id],shipment[courier])</f>
        <v>Ekart</v>
      </c>
      <c r="S872" s="3">
        <f>order[[#This Row],[selling_price]]-order[[#This Row],[cost_price]]*order[[#This Row],[quantity]]-order[[#This Row],[discount]]</f>
        <v>-59655</v>
      </c>
      <c r="T872" s="3">
        <f>order[[#This Row],[quantity]]*order[[#This Row],[selling_price]]</f>
        <v>6075</v>
      </c>
    </row>
    <row r="873" spans="1:20" x14ac:dyDescent="0.3">
      <c r="A873">
        <v>872</v>
      </c>
      <c r="B873" s="11">
        <v>45376</v>
      </c>
      <c r="C873">
        <v>127</v>
      </c>
      <c r="D873" t="str">
        <f>_xlfn.XLOOKUP(order[[#This Row],[customer_id]],customer[customer_id],customer[customer_name])</f>
        <v>Neha Kapoor</v>
      </c>
      <c r="E873">
        <v>205</v>
      </c>
      <c r="F873">
        <v>1</v>
      </c>
      <c r="G873">
        <v>69677</v>
      </c>
      <c r="H873">
        <v>2541</v>
      </c>
      <c r="I873" t="s">
        <v>13</v>
      </c>
      <c r="J873" t="s">
        <v>10</v>
      </c>
      <c r="K873" t="str">
        <f>_xlfn.XLOOKUP(order[[#This Row],[customer_id]],customer[customer_id],customer[city])</f>
        <v>Hyderabad</v>
      </c>
      <c r="L873" t="str">
        <f>_xlfn.XLOOKUP(order[[#This Row],[customer_id]],customer[customer_id],customer[state])</f>
        <v>Telangana</v>
      </c>
      <c r="M873" t="str">
        <f>_xlfn.XLOOKUP(order[[#This Row],[product_id]],products!$A$2:$A$11,products!$B$2:$B$11)</f>
        <v>Prestige Pressure Cooker 5L</v>
      </c>
      <c r="N873" s="3" t="str">
        <f>_xlfn.XLOOKUP(order[[#This Row],[product_id]],products!$A$2:$A$11,products!$C$2:$C$11)</f>
        <v>Home &amp; Kitchen</v>
      </c>
      <c r="O873" s="3">
        <f>_xlfn.XLOOKUP(order[[#This Row],[product_id]],Table4[product_id],Table4[cost_price])</f>
        <v>1200</v>
      </c>
      <c r="P873" s="11">
        <f>_xlfn.XLOOKUP(order[[#This Row],[order_id]],shipment[order_id],shipment[ship_date])</f>
        <v>45322</v>
      </c>
      <c r="Q873" s="11">
        <f>_xlfn.XLOOKUP(order[[#This Row],[order_id]],shipment[order_id],shipment[delivery_date])</f>
        <v>45326</v>
      </c>
      <c r="R873" s="3" t="str">
        <f>_xlfn.XLOOKUP(order[[#This Row],[order_id]],shipment[shipment_id],shipment[courier])</f>
        <v>Delhivery</v>
      </c>
      <c r="S873" s="3">
        <f>order[[#This Row],[selling_price]]-order[[#This Row],[cost_price]]*order[[#This Row],[quantity]]-order[[#This Row],[discount]]</f>
        <v>65936</v>
      </c>
      <c r="T873" s="3">
        <f>order[[#This Row],[quantity]]*order[[#This Row],[selling_price]]</f>
        <v>69677</v>
      </c>
    </row>
    <row r="874" spans="1:20" x14ac:dyDescent="0.3">
      <c r="A874">
        <v>873</v>
      </c>
      <c r="B874" s="11">
        <v>45506</v>
      </c>
      <c r="C874">
        <v>105</v>
      </c>
      <c r="D874" t="str">
        <f>_xlfn.XLOOKUP(order[[#This Row],[customer_id]],customer[customer_id],customer[customer_name])</f>
        <v>Vikram Singh</v>
      </c>
      <c r="E874">
        <v>204</v>
      </c>
      <c r="F874">
        <v>4</v>
      </c>
      <c r="G874">
        <v>57829</v>
      </c>
      <c r="H874">
        <v>692</v>
      </c>
      <c r="I874" t="s">
        <v>13</v>
      </c>
      <c r="J874" t="s">
        <v>12</v>
      </c>
      <c r="K874" t="str">
        <f>_xlfn.XLOOKUP(order[[#This Row],[customer_id]],customer[customer_id],customer[city])</f>
        <v>Pune</v>
      </c>
      <c r="L874" t="str">
        <f>_xlfn.XLOOKUP(order[[#This Row],[customer_id]],customer[customer_id],customer[state])</f>
        <v>Maharashtra</v>
      </c>
      <c r="M874" t="str">
        <f>_xlfn.XLOOKUP(order[[#This Row],[product_id]],products!$A$2:$A$11,products!$B$2:$B$11)</f>
        <v>Levi's Slim Fit Jeans</v>
      </c>
      <c r="N874" s="3" t="str">
        <f>_xlfn.XLOOKUP(order[[#This Row],[product_id]],products!$A$2:$A$11,products!$C$2:$C$11)</f>
        <v>Fashion</v>
      </c>
      <c r="O874" s="3">
        <f>_xlfn.XLOOKUP(order[[#This Row],[product_id]],Table4[product_id],Table4[cost_price])</f>
        <v>1800</v>
      </c>
      <c r="P874" s="11">
        <f>_xlfn.XLOOKUP(order[[#This Row],[order_id]],shipment[order_id],shipment[ship_date])</f>
        <v>45628</v>
      </c>
      <c r="Q874" s="11">
        <f>_xlfn.XLOOKUP(order[[#This Row],[order_id]],shipment[order_id],shipment[delivery_date])</f>
        <v>45631</v>
      </c>
      <c r="R874" s="3" t="str">
        <f>_xlfn.XLOOKUP(order[[#This Row],[order_id]],shipment[shipment_id],shipment[courier])</f>
        <v>BlueDart</v>
      </c>
      <c r="S874" s="3">
        <f>order[[#This Row],[selling_price]]-order[[#This Row],[cost_price]]*order[[#This Row],[quantity]]-order[[#This Row],[discount]]</f>
        <v>49937</v>
      </c>
      <c r="T874" s="3">
        <f>order[[#This Row],[quantity]]*order[[#This Row],[selling_price]]</f>
        <v>231316</v>
      </c>
    </row>
    <row r="875" spans="1:20" x14ac:dyDescent="0.3">
      <c r="A875">
        <v>874</v>
      </c>
      <c r="B875" s="11">
        <v>45499</v>
      </c>
      <c r="C875">
        <v>268</v>
      </c>
      <c r="D875" t="str">
        <f>_xlfn.XLOOKUP(order[[#This Row],[customer_id]],customer[customer_id],customer[customer_name])</f>
        <v>Rahul Mehta</v>
      </c>
      <c r="E875">
        <v>203</v>
      </c>
      <c r="F875">
        <v>1</v>
      </c>
      <c r="G875">
        <v>19238</v>
      </c>
      <c r="H875">
        <v>4955</v>
      </c>
      <c r="I875" t="s">
        <v>13</v>
      </c>
      <c r="J875" t="s">
        <v>10</v>
      </c>
      <c r="K875" t="str">
        <f>_xlfn.XLOOKUP(order[[#This Row],[customer_id]],customer[customer_id],customer[city])</f>
        <v>Mumbai</v>
      </c>
      <c r="L875" t="str">
        <f>_xlfn.XLOOKUP(order[[#This Row],[customer_id]],customer[customer_id],customer[state])</f>
        <v>Maharashtra</v>
      </c>
      <c r="M875" t="str">
        <f>_xlfn.XLOOKUP(order[[#This Row],[product_id]],products!$A$2:$A$11,products!$B$2:$B$11)</f>
        <v>Nike Air Max Shoes</v>
      </c>
      <c r="N875" s="3" t="str">
        <f>_xlfn.XLOOKUP(order[[#This Row],[product_id]],products!$A$2:$A$11,products!$C$2:$C$11)</f>
        <v>Fashion</v>
      </c>
      <c r="O875" s="3">
        <f>_xlfn.XLOOKUP(order[[#This Row],[product_id]],Table4[product_id],Table4[cost_price])</f>
        <v>4000</v>
      </c>
      <c r="P875" s="11">
        <f>_xlfn.XLOOKUP(order[[#This Row],[order_id]],shipment[order_id],shipment[ship_date])</f>
        <v>45421</v>
      </c>
      <c r="Q875" s="11">
        <f>_xlfn.XLOOKUP(order[[#This Row],[order_id]],shipment[order_id],shipment[delivery_date])</f>
        <v>45427</v>
      </c>
      <c r="R875" s="3" t="str">
        <f>_xlfn.XLOOKUP(order[[#This Row],[order_id]],shipment[shipment_id],shipment[courier])</f>
        <v>DTDC</v>
      </c>
      <c r="S875" s="3">
        <f>order[[#This Row],[selling_price]]-order[[#This Row],[cost_price]]*order[[#This Row],[quantity]]-order[[#This Row],[discount]]</f>
        <v>10283</v>
      </c>
      <c r="T875" s="3">
        <f>order[[#This Row],[quantity]]*order[[#This Row],[selling_price]]</f>
        <v>19238</v>
      </c>
    </row>
    <row r="876" spans="1:20" x14ac:dyDescent="0.3">
      <c r="A876">
        <v>1118</v>
      </c>
      <c r="B876" s="11">
        <v>45609</v>
      </c>
      <c r="C876">
        <v>259</v>
      </c>
      <c r="D876" t="str">
        <f>_xlfn.XLOOKUP(order[[#This Row],[customer_id]],customer[customer_id],customer[customer_name])</f>
        <v>Siddharth Jain</v>
      </c>
      <c r="E876">
        <v>207</v>
      </c>
      <c r="F876">
        <v>4</v>
      </c>
      <c r="G876">
        <v>39651</v>
      </c>
      <c r="H876">
        <v>1627</v>
      </c>
      <c r="I876" t="s">
        <v>9</v>
      </c>
      <c r="J876" t="s">
        <v>12</v>
      </c>
      <c r="K876" t="str">
        <f>_xlfn.XLOOKUP(order[[#This Row],[customer_id]],customer[customer_id],customer[city])</f>
        <v>Hyderabad</v>
      </c>
      <c r="L876" t="str">
        <f>_xlfn.XLOOKUP(order[[#This Row],[customer_id]],customer[customer_id],customer[state])</f>
        <v>Telangana</v>
      </c>
      <c r="M876" t="str">
        <f>_xlfn.XLOOKUP(order[[#This Row],[product_id]],products!$A$2:$A$11,products!$B$2:$B$11)</f>
        <v>Sony WH-1000XM4 Headphones</v>
      </c>
      <c r="N876" s="3" t="str">
        <f>_xlfn.XLOOKUP(order[[#This Row],[product_id]],products!$A$2:$A$11,products!$C$2:$C$11)</f>
        <v>Electronics</v>
      </c>
      <c r="O876" s="3">
        <f>_xlfn.XLOOKUP(order[[#This Row],[product_id]],Table4[product_id],Table4[cost_price])</f>
        <v>20000</v>
      </c>
      <c r="P876" s="11">
        <f>_xlfn.XLOOKUP(order[[#This Row],[order_id]],shipment[order_id],shipment[ship_date])</f>
        <v>45339</v>
      </c>
      <c r="Q876" s="11">
        <f>_xlfn.XLOOKUP(order[[#This Row],[order_id]],shipment[order_id],shipment[delivery_date])</f>
        <v>45341</v>
      </c>
      <c r="R876" s="3" t="str">
        <f>_xlfn.XLOOKUP(order[[#This Row],[order_id]],shipment[shipment_id],shipment[courier])</f>
        <v>BlueDart</v>
      </c>
      <c r="S876" s="3">
        <f>order[[#This Row],[selling_price]]-order[[#This Row],[cost_price]]*order[[#This Row],[quantity]]-order[[#This Row],[discount]]</f>
        <v>-41976</v>
      </c>
      <c r="T876" s="3">
        <f>order[[#This Row],[quantity]]*order[[#This Row],[selling_price]]</f>
        <v>158604</v>
      </c>
    </row>
    <row r="877" spans="1:20" x14ac:dyDescent="0.3">
      <c r="A877">
        <v>1166</v>
      </c>
      <c r="B877" s="11">
        <v>45308</v>
      </c>
      <c r="C877">
        <v>201</v>
      </c>
      <c r="D877" t="str">
        <f>_xlfn.XLOOKUP(order[[#This Row],[customer_id]],customer[customer_id],customer[customer_name])</f>
        <v>Ishita Bose</v>
      </c>
      <c r="E877">
        <v>207</v>
      </c>
      <c r="F877">
        <v>2</v>
      </c>
      <c r="G877">
        <v>25732</v>
      </c>
      <c r="H877">
        <v>1616</v>
      </c>
      <c r="I877" t="s">
        <v>9</v>
      </c>
      <c r="J877" t="s">
        <v>12</v>
      </c>
      <c r="K877" t="str">
        <f>_xlfn.XLOOKUP(order[[#This Row],[customer_id]],customer[customer_id],customer[city])</f>
        <v>Hyderabad</v>
      </c>
      <c r="L877" t="str">
        <f>_xlfn.XLOOKUP(order[[#This Row],[customer_id]],customer[customer_id],customer[state])</f>
        <v>Telangana</v>
      </c>
      <c r="M877" t="str">
        <f>_xlfn.XLOOKUP(order[[#This Row],[product_id]],products!$A$2:$A$11,products!$B$2:$B$11)</f>
        <v>Sony WH-1000XM4 Headphones</v>
      </c>
      <c r="N877" s="3" t="str">
        <f>_xlfn.XLOOKUP(order[[#This Row],[product_id]],products!$A$2:$A$11,products!$C$2:$C$11)</f>
        <v>Electronics</v>
      </c>
      <c r="O877" s="3">
        <f>_xlfn.XLOOKUP(order[[#This Row],[product_id]],Table4[product_id],Table4[cost_price])</f>
        <v>20000</v>
      </c>
      <c r="P877" s="11">
        <f>_xlfn.XLOOKUP(order[[#This Row],[order_id]],shipment[order_id],shipment[ship_date])</f>
        <v>45415</v>
      </c>
      <c r="Q877" s="11">
        <f>_xlfn.XLOOKUP(order[[#This Row],[order_id]],shipment[order_id],shipment[delivery_date])</f>
        <v>45421</v>
      </c>
      <c r="R877" s="3" t="str">
        <f>_xlfn.XLOOKUP(order[[#This Row],[order_id]],shipment[shipment_id],shipment[courier])</f>
        <v>BlueDart</v>
      </c>
      <c r="S877" s="3">
        <f>order[[#This Row],[selling_price]]-order[[#This Row],[cost_price]]*order[[#This Row],[quantity]]-order[[#This Row],[discount]]</f>
        <v>-15884</v>
      </c>
      <c r="T877" s="3">
        <f>order[[#This Row],[quantity]]*order[[#This Row],[selling_price]]</f>
        <v>51464</v>
      </c>
    </row>
    <row r="878" spans="1:20" x14ac:dyDescent="0.3">
      <c r="A878">
        <v>1171</v>
      </c>
      <c r="B878" s="11">
        <v>45516</v>
      </c>
      <c r="C878">
        <v>111</v>
      </c>
      <c r="D878" t="str">
        <f>_xlfn.XLOOKUP(order[[#This Row],[customer_id]],customer[customer_id],customer[customer_name])</f>
        <v>Ishita Bose</v>
      </c>
      <c r="E878">
        <v>207</v>
      </c>
      <c r="F878">
        <v>4</v>
      </c>
      <c r="G878">
        <v>46507</v>
      </c>
      <c r="H878">
        <v>1606</v>
      </c>
      <c r="I878" t="s">
        <v>15</v>
      </c>
      <c r="J878" t="s">
        <v>14</v>
      </c>
      <c r="K878" t="str">
        <f>_xlfn.XLOOKUP(order[[#This Row],[customer_id]],customer[customer_id],customer[city])</f>
        <v>Ahmedabad</v>
      </c>
      <c r="L878" t="str">
        <f>_xlfn.XLOOKUP(order[[#This Row],[customer_id]],customer[customer_id],customer[state])</f>
        <v>Gujarat</v>
      </c>
      <c r="M878" t="str">
        <f>_xlfn.XLOOKUP(order[[#This Row],[product_id]],products!$A$2:$A$11,products!$B$2:$B$11)</f>
        <v>Sony WH-1000XM4 Headphones</v>
      </c>
      <c r="N878" s="3" t="str">
        <f>_xlfn.XLOOKUP(order[[#This Row],[product_id]],products!$A$2:$A$11,products!$C$2:$C$11)</f>
        <v>Electronics</v>
      </c>
      <c r="O878" s="3">
        <f>_xlfn.XLOOKUP(order[[#This Row],[product_id]],Table4[product_id],Table4[cost_price])</f>
        <v>20000</v>
      </c>
      <c r="P878" s="11">
        <f>_xlfn.XLOOKUP(order[[#This Row],[order_id]],shipment[order_id],shipment[ship_date])</f>
        <v>45517</v>
      </c>
      <c r="Q878" s="11">
        <f>_xlfn.XLOOKUP(order[[#This Row],[order_id]],shipment[order_id],shipment[delivery_date])</f>
        <v>45519</v>
      </c>
      <c r="R878" s="3" t="str">
        <f>_xlfn.XLOOKUP(order[[#This Row],[order_id]],shipment[shipment_id],shipment[courier])</f>
        <v>DTDC</v>
      </c>
      <c r="S878" s="3">
        <f>order[[#This Row],[selling_price]]-order[[#This Row],[cost_price]]*order[[#This Row],[quantity]]-order[[#This Row],[discount]]</f>
        <v>-35099</v>
      </c>
      <c r="T878" s="3">
        <f>order[[#This Row],[quantity]]*order[[#This Row],[selling_price]]</f>
        <v>186028</v>
      </c>
    </row>
    <row r="879" spans="1:20" x14ac:dyDescent="0.3">
      <c r="A879">
        <v>321</v>
      </c>
      <c r="B879" s="11">
        <v>45377</v>
      </c>
      <c r="C879">
        <v>189</v>
      </c>
      <c r="D879" t="str">
        <f>_xlfn.XLOOKUP(order[[#This Row],[customer_id]],customer[customer_id],customer[customer_name])</f>
        <v>Karan Patel</v>
      </c>
      <c r="E879">
        <v>207</v>
      </c>
      <c r="F879">
        <v>3</v>
      </c>
      <c r="G879">
        <v>48320</v>
      </c>
      <c r="H879">
        <v>1545</v>
      </c>
      <c r="I879" t="s">
        <v>13</v>
      </c>
      <c r="J879" t="s">
        <v>12</v>
      </c>
      <c r="K879" t="str">
        <f>_xlfn.XLOOKUP(order[[#This Row],[customer_id]],customer[customer_id],customer[city])</f>
        <v>Bangalore</v>
      </c>
      <c r="L879" t="str">
        <f>_xlfn.XLOOKUP(order[[#This Row],[customer_id]],customer[customer_id],customer[state])</f>
        <v>Karnataka</v>
      </c>
      <c r="M879" t="str">
        <f>_xlfn.XLOOKUP(order[[#This Row],[product_id]],products!$A$2:$A$11,products!$B$2:$B$11)</f>
        <v>Sony WH-1000XM4 Headphones</v>
      </c>
      <c r="N879" s="3" t="str">
        <f>_xlfn.XLOOKUP(order[[#This Row],[product_id]],products!$A$2:$A$11,products!$C$2:$C$11)</f>
        <v>Electronics</v>
      </c>
      <c r="O879" s="3">
        <f>_xlfn.XLOOKUP(order[[#This Row],[product_id]],Table4[product_id],Table4[cost_price])</f>
        <v>20000</v>
      </c>
      <c r="P879" s="11">
        <f>_xlfn.XLOOKUP(order[[#This Row],[order_id]],shipment[order_id],shipment[ship_date])</f>
        <v>45486</v>
      </c>
      <c r="Q879" s="11">
        <f>_xlfn.XLOOKUP(order[[#This Row],[order_id]],shipment[order_id],shipment[delivery_date])</f>
        <v>45489</v>
      </c>
      <c r="R879" s="3" t="str">
        <f>_xlfn.XLOOKUP(order[[#This Row],[order_id]],shipment[shipment_id],shipment[courier])</f>
        <v>Delhivery</v>
      </c>
      <c r="S879" s="3">
        <f>order[[#This Row],[selling_price]]-order[[#This Row],[cost_price]]*order[[#This Row],[quantity]]-order[[#This Row],[discount]]</f>
        <v>-13225</v>
      </c>
      <c r="T879" s="3">
        <f>order[[#This Row],[quantity]]*order[[#This Row],[selling_price]]</f>
        <v>144960</v>
      </c>
    </row>
    <row r="880" spans="1:20" x14ac:dyDescent="0.3">
      <c r="A880">
        <v>879</v>
      </c>
      <c r="B880" s="11">
        <v>45649</v>
      </c>
      <c r="C880">
        <v>183</v>
      </c>
      <c r="D880" t="str">
        <f>_xlfn.XLOOKUP(order[[#This Row],[customer_id]],customer[customer_id],customer[customer_name])</f>
        <v>Rohit Verma</v>
      </c>
      <c r="E880">
        <v>205</v>
      </c>
      <c r="F880">
        <v>1</v>
      </c>
      <c r="G880">
        <v>35371</v>
      </c>
      <c r="H880">
        <v>4909</v>
      </c>
      <c r="I880" t="s">
        <v>11</v>
      </c>
      <c r="J880" t="s">
        <v>14</v>
      </c>
      <c r="K880" t="str">
        <f>_xlfn.XLOOKUP(order[[#This Row],[customer_id]],customer[customer_id],customer[city])</f>
        <v>Bangalore</v>
      </c>
      <c r="L880" t="str">
        <f>_xlfn.XLOOKUP(order[[#This Row],[customer_id]],customer[customer_id],customer[state])</f>
        <v>Karnataka</v>
      </c>
      <c r="M880" t="str">
        <f>_xlfn.XLOOKUP(order[[#This Row],[product_id]],products!$A$2:$A$11,products!$B$2:$B$11)</f>
        <v>Prestige Pressure Cooker 5L</v>
      </c>
      <c r="N880" s="3" t="str">
        <f>_xlfn.XLOOKUP(order[[#This Row],[product_id]],products!$A$2:$A$11,products!$C$2:$C$11)</f>
        <v>Home &amp; Kitchen</v>
      </c>
      <c r="O880" s="3">
        <f>_xlfn.XLOOKUP(order[[#This Row],[product_id]],Table4[product_id],Table4[cost_price])</f>
        <v>1200</v>
      </c>
      <c r="P880" s="11">
        <f>_xlfn.XLOOKUP(order[[#This Row],[order_id]],shipment[order_id],shipment[ship_date])</f>
        <v>45366</v>
      </c>
      <c r="Q880" s="11">
        <f>_xlfn.XLOOKUP(order[[#This Row],[order_id]],shipment[order_id],shipment[delivery_date])</f>
        <v>45373</v>
      </c>
      <c r="R880" s="3" t="str">
        <f>_xlfn.XLOOKUP(order[[#This Row],[order_id]],shipment[shipment_id],shipment[courier])</f>
        <v>Ekart</v>
      </c>
      <c r="S880" s="3">
        <f>order[[#This Row],[selling_price]]-order[[#This Row],[cost_price]]*order[[#This Row],[quantity]]-order[[#This Row],[discount]]</f>
        <v>29262</v>
      </c>
      <c r="T880" s="3">
        <f>order[[#This Row],[quantity]]*order[[#This Row],[selling_price]]</f>
        <v>35371</v>
      </c>
    </row>
    <row r="881" spans="1:20" x14ac:dyDescent="0.3">
      <c r="A881">
        <v>880</v>
      </c>
      <c r="B881" s="11">
        <v>45439</v>
      </c>
      <c r="C881">
        <v>270</v>
      </c>
      <c r="D881" t="str">
        <f>_xlfn.XLOOKUP(order[[#This Row],[customer_id]],customer[customer_id],customer[customer_name])</f>
        <v>Karan Patel</v>
      </c>
      <c r="E881">
        <v>204</v>
      </c>
      <c r="F881">
        <v>2</v>
      </c>
      <c r="G881">
        <v>8866</v>
      </c>
      <c r="H881">
        <v>3952</v>
      </c>
      <c r="I881" t="s">
        <v>9</v>
      </c>
      <c r="J881" t="s">
        <v>10</v>
      </c>
      <c r="K881" t="str">
        <f>_xlfn.XLOOKUP(order[[#This Row],[customer_id]],customer[customer_id],customer[city])</f>
        <v>Mumbai</v>
      </c>
      <c r="L881" t="str">
        <f>_xlfn.XLOOKUP(order[[#This Row],[customer_id]],customer[customer_id],customer[state])</f>
        <v>Maharashtra</v>
      </c>
      <c r="M881" t="str">
        <f>_xlfn.XLOOKUP(order[[#This Row],[product_id]],products!$A$2:$A$11,products!$B$2:$B$11)</f>
        <v>Levi's Slim Fit Jeans</v>
      </c>
      <c r="N881" s="3" t="str">
        <f>_xlfn.XLOOKUP(order[[#This Row],[product_id]],products!$A$2:$A$11,products!$C$2:$C$11)</f>
        <v>Fashion</v>
      </c>
      <c r="O881" s="3">
        <f>_xlfn.XLOOKUP(order[[#This Row],[product_id]],Table4[product_id],Table4[cost_price])</f>
        <v>1800</v>
      </c>
      <c r="P881" s="11">
        <f>_xlfn.XLOOKUP(order[[#This Row],[order_id]],shipment[order_id],shipment[ship_date])</f>
        <v>45571</v>
      </c>
      <c r="Q881" s="11">
        <f>_xlfn.XLOOKUP(order[[#This Row],[order_id]],shipment[order_id],shipment[delivery_date])</f>
        <v>45573</v>
      </c>
      <c r="R881" s="3" t="str">
        <f>_xlfn.XLOOKUP(order[[#This Row],[order_id]],shipment[shipment_id],shipment[courier])</f>
        <v>Delhivery</v>
      </c>
      <c r="S881" s="3">
        <f>order[[#This Row],[selling_price]]-order[[#This Row],[cost_price]]*order[[#This Row],[quantity]]-order[[#This Row],[discount]]</f>
        <v>1314</v>
      </c>
      <c r="T881" s="3">
        <f>order[[#This Row],[quantity]]*order[[#This Row],[selling_price]]</f>
        <v>17732</v>
      </c>
    </row>
    <row r="882" spans="1:20" x14ac:dyDescent="0.3">
      <c r="A882">
        <v>881</v>
      </c>
      <c r="B882" s="11">
        <v>45494</v>
      </c>
      <c r="C882">
        <v>144</v>
      </c>
      <c r="D882" t="str">
        <f>_xlfn.XLOOKUP(order[[#This Row],[customer_id]],customer[customer_id],customer[customer_name])</f>
        <v>Priya Reddy</v>
      </c>
      <c r="E882">
        <v>206</v>
      </c>
      <c r="F882">
        <v>2</v>
      </c>
      <c r="G882">
        <v>46922</v>
      </c>
      <c r="H882">
        <v>1426</v>
      </c>
      <c r="I882" t="s">
        <v>9</v>
      </c>
      <c r="J882" t="s">
        <v>10</v>
      </c>
      <c r="K882" t="str">
        <f>_xlfn.XLOOKUP(order[[#This Row],[customer_id]],customer[customer_id],customer[city])</f>
        <v>Bangalore</v>
      </c>
      <c r="L882" t="str">
        <f>_xlfn.XLOOKUP(order[[#This Row],[customer_id]],customer[customer_id],customer[state])</f>
        <v>Karnataka</v>
      </c>
      <c r="M882" t="str">
        <f>_xlfn.XLOOKUP(order[[#This Row],[product_id]],products!$A$2:$A$11,products!$B$2:$B$11)</f>
        <v>Philips Air Fryer</v>
      </c>
      <c r="N882" s="3" t="str">
        <f>_xlfn.XLOOKUP(order[[#This Row],[product_id]],products!$A$2:$A$11,products!$C$2:$C$11)</f>
        <v>Home &amp; Kitchen</v>
      </c>
      <c r="O882" s="3">
        <f>_xlfn.XLOOKUP(order[[#This Row],[product_id]],Table4[product_id],Table4[cost_price])</f>
        <v>7000</v>
      </c>
      <c r="P882" s="11">
        <f>_xlfn.XLOOKUP(order[[#This Row],[order_id]],shipment[order_id],shipment[ship_date])</f>
        <v>45403</v>
      </c>
      <c r="Q882" s="11">
        <f>_xlfn.XLOOKUP(order[[#This Row],[order_id]],shipment[order_id],shipment[delivery_date])</f>
        <v>45407</v>
      </c>
      <c r="R882" s="3" t="str">
        <f>_xlfn.XLOOKUP(order[[#This Row],[order_id]],shipment[shipment_id],shipment[courier])</f>
        <v>DTDC</v>
      </c>
      <c r="S882" s="3">
        <f>order[[#This Row],[selling_price]]-order[[#This Row],[cost_price]]*order[[#This Row],[quantity]]-order[[#This Row],[discount]]</f>
        <v>31496</v>
      </c>
      <c r="T882" s="3">
        <f>order[[#This Row],[quantity]]*order[[#This Row],[selling_price]]</f>
        <v>93844</v>
      </c>
    </row>
    <row r="883" spans="1:20" x14ac:dyDescent="0.3">
      <c r="A883">
        <v>882</v>
      </c>
      <c r="B883" s="11">
        <v>45379</v>
      </c>
      <c r="C883">
        <v>215</v>
      </c>
      <c r="D883" t="str">
        <f>_xlfn.XLOOKUP(order[[#This Row],[customer_id]],customer[customer_id],customer[customer_name])</f>
        <v>Priya Reddy</v>
      </c>
      <c r="E883">
        <v>208</v>
      </c>
      <c r="F883">
        <v>1</v>
      </c>
      <c r="G883">
        <v>61562</v>
      </c>
      <c r="H883">
        <v>718</v>
      </c>
      <c r="I883" t="s">
        <v>9</v>
      </c>
      <c r="J883" t="s">
        <v>14</v>
      </c>
      <c r="K883" t="str">
        <f>_xlfn.XLOOKUP(order[[#This Row],[customer_id]],customer[customer_id],customer[city])</f>
        <v>Chennai</v>
      </c>
      <c r="L883" t="str">
        <f>_xlfn.XLOOKUP(order[[#This Row],[customer_id]],customer[customer_id],customer[state])</f>
        <v>Tamil Nadu</v>
      </c>
      <c r="M883" t="str">
        <f>_xlfn.XLOOKUP(order[[#This Row],[product_id]],products!$A$2:$A$11,products!$B$2:$B$11)</f>
        <v>Adidas Ultraboost Shoes</v>
      </c>
      <c r="N883" s="3" t="str">
        <f>_xlfn.XLOOKUP(order[[#This Row],[product_id]],products!$A$2:$A$11,products!$C$2:$C$11)</f>
        <v>Fashion</v>
      </c>
      <c r="O883" s="3">
        <f>_xlfn.XLOOKUP(order[[#This Row],[product_id]],Table4[product_id],Table4[cost_price])</f>
        <v>9000</v>
      </c>
      <c r="P883" s="11">
        <f>_xlfn.XLOOKUP(order[[#This Row],[order_id]],shipment[order_id],shipment[ship_date])</f>
        <v>45386</v>
      </c>
      <c r="Q883" s="11">
        <f>_xlfn.XLOOKUP(order[[#This Row],[order_id]],shipment[order_id],shipment[delivery_date])</f>
        <v>45396</v>
      </c>
      <c r="R883" s="3" t="str">
        <f>_xlfn.XLOOKUP(order[[#This Row],[order_id]],shipment[shipment_id],shipment[courier])</f>
        <v>DTDC</v>
      </c>
      <c r="S883" s="3">
        <f>order[[#This Row],[selling_price]]-order[[#This Row],[cost_price]]*order[[#This Row],[quantity]]-order[[#This Row],[discount]]</f>
        <v>51844</v>
      </c>
      <c r="T883" s="3">
        <f>order[[#This Row],[quantity]]*order[[#This Row],[selling_price]]</f>
        <v>61562</v>
      </c>
    </row>
    <row r="884" spans="1:20" x14ac:dyDescent="0.3">
      <c r="A884">
        <v>883</v>
      </c>
      <c r="B884" s="11">
        <v>45325</v>
      </c>
      <c r="C884">
        <v>261</v>
      </c>
      <c r="D884" t="str">
        <f>_xlfn.XLOOKUP(order[[#This Row],[customer_id]],customer[customer_id],customer[customer_name])</f>
        <v>Siddharth Jain</v>
      </c>
      <c r="E884">
        <v>204</v>
      </c>
      <c r="F884">
        <v>4</v>
      </c>
      <c r="G884">
        <v>38823</v>
      </c>
      <c r="H884">
        <v>288</v>
      </c>
      <c r="I884" t="s">
        <v>15</v>
      </c>
      <c r="J884" t="s">
        <v>10</v>
      </c>
      <c r="K884" t="str">
        <f>_xlfn.XLOOKUP(order[[#This Row],[customer_id]],customer[customer_id],customer[city])</f>
        <v>Hyderabad</v>
      </c>
      <c r="L884" t="str">
        <f>_xlfn.XLOOKUP(order[[#This Row],[customer_id]],customer[customer_id],customer[state])</f>
        <v>Telangana</v>
      </c>
      <c r="M884" t="str">
        <f>_xlfn.XLOOKUP(order[[#This Row],[product_id]],products!$A$2:$A$11,products!$B$2:$B$11)</f>
        <v>Levi's Slim Fit Jeans</v>
      </c>
      <c r="N884" s="3" t="str">
        <f>_xlfn.XLOOKUP(order[[#This Row],[product_id]],products!$A$2:$A$11,products!$C$2:$C$11)</f>
        <v>Fashion</v>
      </c>
      <c r="O884" s="3">
        <f>_xlfn.XLOOKUP(order[[#This Row],[product_id]],Table4[product_id],Table4[cost_price])</f>
        <v>1800</v>
      </c>
      <c r="P884" s="11">
        <f>_xlfn.XLOOKUP(order[[#This Row],[order_id]],shipment[order_id],shipment[ship_date])</f>
        <v>45359</v>
      </c>
      <c r="Q884" s="11">
        <f>_xlfn.XLOOKUP(order[[#This Row],[order_id]],shipment[order_id],shipment[delivery_date])</f>
        <v>45360</v>
      </c>
      <c r="R884" s="3" t="str">
        <f>_xlfn.XLOOKUP(order[[#This Row],[order_id]],shipment[shipment_id],shipment[courier])</f>
        <v>Ekart</v>
      </c>
      <c r="S884" s="3">
        <f>order[[#This Row],[selling_price]]-order[[#This Row],[cost_price]]*order[[#This Row],[quantity]]-order[[#This Row],[discount]]</f>
        <v>31335</v>
      </c>
      <c r="T884" s="3">
        <f>order[[#This Row],[quantity]]*order[[#This Row],[selling_price]]</f>
        <v>155292</v>
      </c>
    </row>
    <row r="885" spans="1:20" x14ac:dyDescent="0.3">
      <c r="A885">
        <v>1082</v>
      </c>
      <c r="B885" s="11">
        <v>45457</v>
      </c>
      <c r="C885">
        <v>158</v>
      </c>
      <c r="D885" t="str">
        <f>_xlfn.XLOOKUP(order[[#This Row],[customer_id]],customer[customer_id],customer[customer_name])</f>
        <v>Vikram Singh</v>
      </c>
      <c r="E885">
        <v>207</v>
      </c>
      <c r="F885">
        <v>2</v>
      </c>
      <c r="G885">
        <v>26844</v>
      </c>
      <c r="H885">
        <v>1415</v>
      </c>
      <c r="I885" t="s">
        <v>13</v>
      </c>
      <c r="J885" t="s">
        <v>14</v>
      </c>
      <c r="K885" t="str">
        <f>_xlfn.XLOOKUP(order[[#This Row],[customer_id]],customer[customer_id],customer[city])</f>
        <v>Delhi</v>
      </c>
      <c r="L885" t="str">
        <f>_xlfn.XLOOKUP(order[[#This Row],[customer_id]],customer[customer_id],customer[state])</f>
        <v>Delhi</v>
      </c>
      <c r="M885" t="str">
        <f>_xlfn.XLOOKUP(order[[#This Row],[product_id]],products!$A$2:$A$11,products!$B$2:$B$11)</f>
        <v>Sony WH-1000XM4 Headphones</v>
      </c>
      <c r="N885" s="3" t="str">
        <f>_xlfn.XLOOKUP(order[[#This Row],[product_id]],products!$A$2:$A$11,products!$C$2:$C$11)</f>
        <v>Electronics</v>
      </c>
      <c r="O885" s="3">
        <f>_xlfn.XLOOKUP(order[[#This Row],[product_id]],Table4[product_id],Table4[cost_price])</f>
        <v>20000</v>
      </c>
      <c r="P885" s="11">
        <f>_xlfn.XLOOKUP(order[[#This Row],[order_id]],shipment[order_id],shipment[ship_date])</f>
        <v>45325</v>
      </c>
      <c r="Q885" s="11">
        <f>_xlfn.XLOOKUP(order[[#This Row],[order_id]],shipment[order_id],shipment[delivery_date])</f>
        <v>45334</v>
      </c>
      <c r="R885" s="3" t="str">
        <f>_xlfn.XLOOKUP(order[[#This Row],[order_id]],shipment[shipment_id],shipment[courier])</f>
        <v>Delhivery</v>
      </c>
      <c r="S885" s="3">
        <f>order[[#This Row],[selling_price]]-order[[#This Row],[cost_price]]*order[[#This Row],[quantity]]-order[[#This Row],[discount]]</f>
        <v>-14571</v>
      </c>
      <c r="T885" s="3">
        <f>order[[#This Row],[quantity]]*order[[#This Row],[selling_price]]</f>
        <v>53688</v>
      </c>
    </row>
    <row r="886" spans="1:20" x14ac:dyDescent="0.3">
      <c r="A886">
        <v>885</v>
      </c>
      <c r="B886" s="11">
        <v>45478</v>
      </c>
      <c r="C886">
        <v>162</v>
      </c>
      <c r="D886" t="str">
        <f>_xlfn.XLOOKUP(order[[#This Row],[customer_id]],customer[customer_id],customer[customer_name])</f>
        <v>Ananya Gupta</v>
      </c>
      <c r="E886">
        <v>208</v>
      </c>
      <c r="F886">
        <v>2</v>
      </c>
      <c r="G886">
        <v>58035</v>
      </c>
      <c r="H886">
        <v>398</v>
      </c>
      <c r="I886" t="s">
        <v>11</v>
      </c>
      <c r="J886" t="s">
        <v>14</v>
      </c>
      <c r="K886" t="str">
        <f>_xlfn.XLOOKUP(order[[#This Row],[customer_id]],customer[customer_id],customer[city])</f>
        <v>Ahmedabad</v>
      </c>
      <c r="L886" t="str">
        <f>_xlfn.XLOOKUP(order[[#This Row],[customer_id]],customer[customer_id],customer[state])</f>
        <v>Gujarat</v>
      </c>
      <c r="M886" t="str">
        <f>_xlfn.XLOOKUP(order[[#This Row],[product_id]],products!$A$2:$A$11,products!$B$2:$B$11)</f>
        <v>Adidas Ultraboost Shoes</v>
      </c>
      <c r="N886" s="3" t="str">
        <f>_xlfn.XLOOKUP(order[[#This Row],[product_id]],products!$A$2:$A$11,products!$C$2:$C$11)</f>
        <v>Fashion</v>
      </c>
      <c r="O886" s="3">
        <f>_xlfn.XLOOKUP(order[[#This Row],[product_id]],Table4[product_id],Table4[cost_price])</f>
        <v>9000</v>
      </c>
      <c r="P886" s="11">
        <f>_xlfn.XLOOKUP(order[[#This Row],[order_id]],shipment[order_id],shipment[ship_date])</f>
        <v>45355</v>
      </c>
      <c r="Q886" s="11">
        <f>_xlfn.XLOOKUP(order[[#This Row],[order_id]],shipment[order_id],shipment[delivery_date])</f>
        <v>45361</v>
      </c>
      <c r="R886" s="3" t="str">
        <f>_xlfn.XLOOKUP(order[[#This Row],[order_id]],shipment[shipment_id],shipment[courier])</f>
        <v>DTDC</v>
      </c>
      <c r="S886" s="3">
        <f>order[[#This Row],[selling_price]]-order[[#This Row],[cost_price]]*order[[#This Row],[quantity]]-order[[#This Row],[discount]]</f>
        <v>39637</v>
      </c>
      <c r="T886" s="3">
        <f>order[[#This Row],[quantity]]*order[[#This Row],[selling_price]]</f>
        <v>116070</v>
      </c>
    </row>
    <row r="887" spans="1:20" x14ac:dyDescent="0.3">
      <c r="A887">
        <v>540</v>
      </c>
      <c r="B887" s="11">
        <v>45619</v>
      </c>
      <c r="C887">
        <v>230</v>
      </c>
      <c r="D887" t="str">
        <f>_xlfn.XLOOKUP(order[[#This Row],[customer_id]],customer[customer_id],customer[customer_name])</f>
        <v>Rohit Verma</v>
      </c>
      <c r="E887">
        <v>207</v>
      </c>
      <c r="F887">
        <v>3</v>
      </c>
      <c r="G887">
        <v>26717</v>
      </c>
      <c r="H887">
        <v>1269</v>
      </c>
      <c r="I887" t="s">
        <v>13</v>
      </c>
      <c r="J887" t="s">
        <v>14</v>
      </c>
      <c r="K887" t="str">
        <f>_xlfn.XLOOKUP(order[[#This Row],[customer_id]],customer[customer_id],customer[city])</f>
        <v>Mumbai</v>
      </c>
      <c r="L887" t="str">
        <f>_xlfn.XLOOKUP(order[[#This Row],[customer_id]],customer[customer_id],customer[state])</f>
        <v>Maharashtra</v>
      </c>
      <c r="M887" t="str">
        <f>_xlfn.XLOOKUP(order[[#This Row],[product_id]],products!$A$2:$A$11,products!$B$2:$B$11)</f>
        <v>Sony WH-1000XM4 Headphones</v>
      </c>
      <c r="N887" s="3" t="str">
        <f>_xlfn.XLOOKUP(order[[#This Row],[product_id]],products!$A$2:$A$11,products!$C$2:$C$11)</f>
        <v>Electronics</v>
      </c>
      <c r="O887" s="3">
        <f>_xlfn.XLOOKUP(order[[#This Row],[product_id]],Table4[product_id],Table4[cost_price])</f>
        <v>20000</v>
      </c>
      <c r="P887" s="11">
        <f>_xlfn.XLOOKUP(order[[#This Row],[order_id]],shipment[order_id],shipment[ship_date])</f>
        <v>45441</v>
      </c>
      <c r="Q887" s="11">
        <f>_xlfn.XLOOKUP(order[[#This Row],[order_id]],shipment[order_id],shipment[delivery_date])</f>
        <v>45445</v>
      </c>
      <c r="R887" s="3" t="str">
        <f>_xlfn.XLOOKUP(order[[#This Row],[order_id]],shipment[shipment_id],shipment[courier])</f>
        <v>Ekart</v>
      </c>
      <c r="S887" s="3">
        <f>order[[#This Row],[selling_price]]-order[[#This Row],[cost_price]]*order[[#This Row],[quantity]]-order[[#This Row],[discount]]</f>
        <v>-34552</v>
      </c>
      <c r="T887" s="3">
        <f>order[[#This Row],[quantity]]*order[[#This Row],[selling_price]]</f>
        <v>80151</v>
      </c>
    </row>
    <row r="888" spans="1:20" x14ac:dyDescent="0.3">
      <c r="A888">
        <v>887</v>
      </c>
      <c r="B888" s="11">
        <v>45325</v>
      </c>
      <c r="C888">
        <v>150</v>
      </c>
      <c r="D888" t="str">
        <f>_xlfn.XLOOKUP(order[[#This Row],[customer_id]],customer[customer_id],customer[customer_name])</f>
        <v>Vikram Singh</v>
      </c>
      <c r="E888">
        <v>206</v>
      </c>
      <c r="F888">
        <v>2</v>
      </c>
      <c r="G888">
        <v>20984</v>
      </c>
      <c r="H888">
        <v>1209</v>
      </c>
      <c r="I888" t="s">
        <v>9</v>
      </c>
      <c r="J888" t="s">
        <v>12</v>
      </c>
      <c r="K888" t="str">
        <f>_xlfn.XLOOKUP(order[[#This Row],[customer_id]],customer[customer_id],customer[city])</f>
        <v>Mumbai</v>
      </c>
      <c r="L888" t="str">
        <f>_xlfn.XLOOKUP(order[[#This Row],[customer_id]],customer[customer_id],customer[state])</f>
        <v>Maharashtra</v>
      </c>
      <c r="M888" t="str">
        <f>_xlfn.XLOOKUP(order[[#This Row],[product_id]],products!$A$2:$A$11,products!$B$2:$B$11)</f>
        <v>Philips Air Fryer</v>
      </c>
      <c r="N888" s="3" t="str">
        <f>_xlfn.XLOOKUP(order[[#This Row],[product_id]],products!$A$2:$A$11,products!$C$2:$C$11)</f>
        <v>Home &amp; Kitchen</v>
      </c>
      <c r="O888" s="3">
        <f>_xlfn.XLOOKUP(order[[#This Row],[product_id]],Table4[product_id],Table4[cost_price])</f>
        <v>7000</v>
      </c>
      <c r="P888" s="11">
        <f>_xlfn.XLOOKUP(order[[#This Row],[order_id]],shipment[order_id],shipment[ship_date])</f>
        <v>45437</v>
      </c>
      <c r="Q888" s="11">
        <f>_xlfn.XLOOKUP(order[[#This Row],[order_id]],shipment[order_id],shipment[delivery_date])</f>
        <v>45442</v>
      </c>
      <c r="R888" s="3" t="str">
        <f>_xlfn.XLOOKUP(order[[#This Row],[order_id]],shipment[shipment_id],shipment[courier])</f>
        <v>BlueDart</v>
      </c>
      <c r="S888" s="3">
        <f>order[[#This Row],[selling_price]]-order[[#This Row],[cost_price]]*order[[#This Row],[quantity]]-order[[#This Row],[discount]]</f>
        <v>5775</v>
      </c>
      <c r="T888" s="3">
        <f>order[[#This Row],[quantity]]*order[[#This Row],[selling_price]]</f>
        <v>41968</v>
      </c>
    </row>
    <row r="889" spans="1:20" x14ac:dyDescent="0.3">
      <c r="A889">
        <v>214</v>
      </c>
      <c r="B889" s="11">
        <v>45655</v>
      </c>
      <c r="C889">
        <v>160</v>
      </c>
      <c r="D889" t="str">
        <f>_xlfn.XLOOKUP(order[[#This Row],[customer_id]],customer[customer_id],customer[customer_name])</f>
        <v>Arjun Nair</v>
      </c>
      <c r="E889">
        <v>207</v>
      </c>
      <c r="F889">
        <v>1</v>
      </c>
      <c r="G889">
        <v>19716</v>
      </c>
      <c r="H889">
        <v>1172</v>
      </c>
      <c r="I889" t="s">
        <v>15</v>
      </c>
      <c r="J889" t="s">
        <v>12</v>
      </c>
      <c r="K889" t="str">
        <f>_xlfn.XLOOKUP(order[[#This Row],[customer_id]],customer[customer_id],customer[city])</f>
        <v>Delhi</v>
      </c>
      <c r="L889" t="str">
        <f>_xlfn.XLOOKUP(order[[#This Row],[customer_id]],customer[customer_id],customer[state])</f>
        <v>Delhi</v>
      </c>
      <c r="M889" t="str">
        <f>_xlfn.XLOOKUP(order[[#This Row],[product_id]],products!$A$2:$A$11,products!$B$2:$B$11)</f>
        <v>Sony WH-1000XM4 Headphones</v>
      </c>
      <c r="N889" s="3" t="str">
        <f>_xlfn.XLOOKUP(order[[#This Row],[product_id]],products!$A$2:$A$11,products!$C$2:$C$11)</f>
        <v>Electronics</v>
      </c>
      <c r="O889" s="3">
        <f>_xlfn.XLOOKUP(order[[#This Row],[product_id]],Table4[product_id],Table4[cost_price])</f>
        <v>20000</v>
      </c>
      <c r="P889" s="11">
        <f>_xlfn.XLOOKUP(order[[#This Row],[order_id]],shipment[order_id],shipment[ship_date])</f>
        <v>45432</v>
      </c>
      <c r="Q889" s="11">
        <f>_xlfn.XLOOKUP(order[[#This Row],[order_id]],shipment[order_id],shipment[delivery_date])</f>
        <v>45438</v>
      </c>
      <c r="R889" s="3" t="str">
        <f>_xlfn.XLOOKUP(order[[#This Row],[order_id]],shipment[shipment_id],shipment[courier])</f>
        <v>Ekart</v>
      </c>
      <c r="S889" s="3">
        <f>order[[#This Row],[selling_price]]-order[[#This Row],[cost_price]]*order[[#This Row],[quantity]]-order[[#This Row],[discount]]</f>
        <v>-1456</v>
      </c>
      <c r="T889" s="3">
        <f>order[[#This Row],[quantity]]*order[[#This Row],[selling_price]]</f>
        <v>19716</v>
      </c>
    </row>
    <row r="890" spans="1:20" x14ac:dyDescent="0.3">
      <c r="A890">
        <v>889</v>
      </c>
      <c r="B890" s="11">
        <v>45300</v>
      </c>
      <c r="C890">
        <v>154</v>
      </c>
      <c r="D890" t="str">
        <f>_xlfn.XLOOKUP(order[[#This Row],[customer_id]],customer[customer_id],customer[customer_name])</f>
        <v>Manish Yadav</v>
      </c>
      <c r="E890">
        <v>207</v>
      </c>
      <c r="F890">
        <v>3</v>
      </c>
      <c r="G890">
        <v>68645</v>
      </c>
      <c r="H890">
        <v>2991</v>
      </c>
      <c r="I890" t="s">
        <v>11</v>
      </c>
      <c r="J890" t="s">
        <v>12</v>
      </c>
      <c r="K890" t="str">
        <f>_xlfn.XLOOKUP(order[[#This Row],[customer_id]],customer[customer_id],customer[city])</f>
        <v>Hyderabad</v>
      </c>
      <c r="L890" t="str">
        <f>_xlfn.XLOOKUP(order[[#This Row],[customer_id]],customer[customer_id],customer[state])</f>
        <v>Telangana</v>
      </c>
      <c r="M890" t="str">
        <f>_xlfn.XLOOKUP(order[[#This Row],[product_id]],products!$A$2:$A$11,products!$B$2:$B$11)</f>
        <v>Sony WH-1000XM4 Headphones</v>
      </c>
      <c r="N890" s="3" t="str">
        <f>_xlfn.XLOOKUP(order[[#This Row],[product_id]],products!$A$2:$A$11,products!$C$2:$C$11)</f>
        <v>Electronics</v>
      </c>
      <c r="O890" s="3">
        <f>_xlfn.XLOOKUP(order[[#This Row],[product_id]],Table4[product_id],Table4[cost_price])</f>
        <v>20000</v>
      </c>
      <c r="P890" s="11">
        <f>_xlfn.XLOOKUP(order[[#This Row],[order_id]],shipment[order_id],shipment[ship_date])</f>
        <v>45638</v>
      </c>
      <c r="Q890" s="11">
        <f>_xlfn.XLOOKUP(order[[#This Row],[order_id]],shipment[order_id],shipment[delivery_date])</f>
        <v>45647</v>
      </c>
      <c r="R890" s="3" t="str">
        <f>_xlfn.XLOOKUP(order[[#This Row],[order_id]],shipment[shipment_id],shipment[courier])</f>
        <v>Delhivery</v>
      </c>
      <c r="S890" s="3">
        <f>order[[#This Row],[selling_price]]-order[[#This Row],[cost_price]]*order[[#This Row],[quantity]]-order[[#This Row],[discount]]</f>
        <v>5654</v>
      </c>
      <c r="T890" s="3">
        <f>order[[#This Row],[quantity]]*order[[#This Row],[selling_price]]</f>
        <v>205935</v>
      </c>
    </row>
    <row r="891" spans="1:20" x14ac:dyDescent="0.3">
      <c r="A891">
        <v>890</v>
      </c>
      <c r="B891" s="11">
        <v>45440</v>
      </c>
      <c r="C891">
        <v>298</v>
      </c>
      <c r="D891" t="str">
        <f>_xlfn.XLOOKUP(order[[#This Row],[customer_id]],customer[customer_id],customer[customer_name])</f>
        <v>Karan Patel</v>
      </c>
      <c r="E891">
        <v>204</v>
      </c>
      <c r="F891">
        <v>1</v>
      </c>
      <c r="G891">
        <v>8362</v>
      </c>
      <c r="H891">
        <v>101</v>
      </c>
      <c r="I891" t="s">
        <v>15</v>
      </c>
      <c r="J891" t="s">
        <v>10</v>
      </c>
      <c r="K891" t="str">
        <f>_xlfn.XLOOKUP(order[[#This Row],[customer_id]],customer[customer_id],customer[city])</f>
        <v>Bangalore</v>
      </c>
      <c r="L891" t="str">
        <f>_xlfn.XLOOKUP(order[[#This Row],[customer_id]],customer[customer_id],customer[state])</f>
        <v>Karnataka</v>
      </c>
      <c r="M891" t="str">
        <f>_xlfn.XLOOKUP(order[[#This Row],[product_id]],products!$A$2:$A$11,products!$B$2:$B$11)</f>
        <v>Levi's Slim Fit Jeans</v>
      </c>
      <c r="N891" s="3" t="str">
        <f>_xlfn.XLOOKUP(order[[#This Row],[product_id]],products!$A$2:$A$11,products!$C$2:$C$11)</f>
        <v>Fashion</v>
      </c>
      <c r="O891" s="3">
        <f>_xlfn.XLOOKUP(order[[#This Row],[product_id]],Table4[product_id],Table4[cost_price])</f>
        <v>1800</v>
      </c>
      <c r="P891" s="11">
        <f>_xlfn.XLOOKUP(order[[#This Row],[order_id]],shipment[order_id],shipment[ship_date])</f>
        <v>45502</v>
      </c>
      <c r="Q891" s="11">
        <f>_xlfn.XLOOKUP(order[[#This Row],[order_id]],shipment[order_id],shipment[delivery_date])</f>
        <v>45512</v>
      </c>
      <c r="R891" s="3" t="str">
        <f>_xlfn.XLOOKUP(order[[#This Row],[order_id]],shipment[shipment_id],shipment[courier])</f>
        <v>Ekart</v>
      </c>
      <c r="S891" s="3">
        <f>order[[#This Row],[selling_price]]-order[[#This Row],[cost_price]]*order[[#This Row],[quantity]]-order[[#This Row],[discount]]</f>
        <v>6461</v>
      </c>
      <c r="T891" s="3">
        <f>order[[#This Row],[quantity]]*order[[#This Row],[selling_price]]</f>
        <v>8362</v>
      </c>
    </row>
    <row r="892" spans="1:20" x14ac:dyDescent="0.3">
      <c r="A892">
        <v>891</v>
      </c>
      <c r="B892" s="11">
        <v>45409</v>
      </c>
      <c r="C892">
        <v>138</v>
      </c>
      <c r="D892" t="str">
        <f>_xlfn.XLOOKUP(order[[#This Row],[customer_id]],customer[customer_id],customer[customer_name])</f>
        <v>Sneha Iyer</v>
      </c>
      <c r="E892">
        <v>206</v>
      </c>
      <c r="F892">
        <v>3</v>
      </c>
      <c r="G892">
        <v>41590</v>
      </c>
      <c r="H892">
        <v>887</v>
      </c>
      <c r="I892" t="s">
        <v>15</v>
      </c>
      <c r="J892" t="s">
        <v>12</v>
      </c>
      <c r="K892" t="str">
        <f>_xlfn.XLOOKUP(order[[#This Row],[customer_id]],customer[customer_id],customer[city])</f>
        <v>Chennai</v>
      </c>
      <c r="L892" t="str">
        <f>_xlfn.XLOOKUP(order[[#This Row],[customer_id]],customer[customer_id],customer[state])</f>
        <v>Tamil Nadu</v>
      </c>
      <c r="M892" t="str">
        <f>_xlfn.XLOOKUP(order[[#This Row],[product_id]],products!$A$2:$A$11,products!$B$2:$B$11)</f>
        <v>Philips Air Fryer</v>
      </c>
      <c r="N892" s="3" t="str">
        <f>_xlfn.XLOOKUP(order[[#This Row],[product_id]],products!$A$2:$A$11,products!$C$2:$C$11)</f>
        <v>Home &amp; Kitchen</v>
      </c>
      <c r="O892" s="3">
        <f>_xlfn.XLOOKUP(order[[#This Row],[product_id]],Table4[product_id],Table4[cost_price])</f>
        <v>7000</v>
      </c>
      <c r="P892" s="11">
        <f>_xlfn.XLOOKUP(order[[#This Row],[order_id]],shipment[order_id],shipment[ship_date])</f>
        <v>45537</v>
      </c>
      <c r="Q892" s="11">
        <f>_xlfn.XLOOKUP(order[[#This Row],[order_id]],shipment[order_id],shipment[delivery_date])</f>
        <v>45545</v>
      </c>
      <c r="R892" s="3" t="str">
        <f>_xlfn.XLOOKUP(order[[#This Row],[order_id]],shipment[shipment_id],shipment[courier])</f>
        <v>BlueDart</v>
      </c>
      <c r="S892" s="3">
        <f>order[[#This Row],[selling_price]]-order[[#This Row],[cost_price]]*order[[#This Row],[quantity]]-order[[#This Row],[discount]]</f>
        <v>19703</v>
      </c>
      <c r="T892" s="3">
        <f>order[[#This Row],[quantity]]*order[[#This Row],[selling_price]]</f>
        <v>124770</v>
      </c>
    </row>
    <row r="893" spans="1:20" x14ac:dyDescent="0.3">
      <c r="A893">
        <v>892</v>
      </c>
      <c r="B893" s="11">
        <v>45453</v>
      </c>
      <c r="C893">
        <v>126</v>
      </c>
      <c r="D893" t="str">
        <f>_xlfn.XLOOKUP(order[[#This Row],[customer_id]],customer[customer_id],customer[customer_name])</f>
        <v>Meera Joshi</v>
      </c>
      <c r="E893">
        <v>206</v>
      </c>
      <c r="F893">
        <v>1</v>
      </c>
      <c r="G893">
        <v>9946</v>
      </c>
      <c r="H893">
        <v>1861</v>
      </c>
      <c r="I893" t="s">
        <v>15</v>
      </c>
      <c r="J893" t="s">
        <v>12</v>
      </c>
      <c r="K893" t="str">
        <f>_xlfn.XLOOKUP(order[[#This Row],[customer_id]],customer[customer_id],customer[city])</f>
        <v>Mumbai</v>
      </c>
      <c r="L893" t="str">
        <f>_xlfn.XLOOKUP(order[[#This Row],[customer_id]],customer[customer_id],customer[state])</f>
        <v>Maharashtra</v>
      </c>
      <c r="M893" t="str">
        <f>_xlfn.XLOOKUP(order[[#This Row],[product_id]],products!$A$2:$A$11,products!$B$2:$B$11)</f>
        <v>Philips Air Fryer</v>
      </c>
      <c r="N893" s="3" t="str">
        <f>_xlfn.XLOOKUP(order[[#This Row],[product_id]],products!$A$2:$A$11,products!$C$2:$C$11)</f>
        <v>Home &amp; Kitchen</v>
      </c>
      <c r="O893" s="3">
        <f>_xlfn.XLOOKUP(order[[#This Row],[product_id]],Table4[product_id],Table4[cost_price])</f>
        <v>7000</v>
      </c>
      <c r="P893" s="11">
        <f>_xlfn.XLOOKUP(order[[#This Row],[order_id]],shipment[order_id],shipment[ship_date])</f>
        <v>45374</v>
      </c>
      <c r="Q893" s="11">
        <f>_xlfn.XLOOKUP(order[[#This Row],[order_id]],shipment[order_id],shipment[delivery_date])</f>
        <v>45375</v>
      </c>
      <c r="R893" s="3" t="str">
        <f>_xlfn.XLOOKUP(order[[#This Row],[order_id]],shipment[shipment_id],shipment[courier])</f>
        <v>Delhivery</v>
      </c>
      <c r="S893" s="3">
        <f>order[[#This Row],[selling_price]]-order[[#This Row],[cost_price]]*order[[#This Row],[quantity]]-order[[#This Row],[discount]]</f>
        <v>1085</v>
      </c>
      <c r="T893" s="3">
        <f>order[[#This Row],[quantity]]*order[[#This Row],[selling_price]]</f>
        <v>9946</v>
      </c>
    </row>
    <row r="894" spans="1:20" x14ac:dyDescent="0.3">
      <c r="A894">
        <v>606</v>
      </c>
      <c r="B894" s="11">
        <v>45524</v>
      </c>
      <c r="C894">
        <v>135</v>
      </c>
      <c r="D894" t="str">
        <f>_xlfn.XLOOKUP(order[[#This Row],[customer_id]],customer[customer_id],customer[customer_name])</f>
        <v>Manish Yadav</v>
      </c>
      <c r="E894">
        <v>207</v>
      </c>
      <c r="F894">
        <v>3</v>
      </c>
      <c r="G894">
        <v>59919</v>
      </c>
      <c r="H894">
        <v>1099</v>
      </c>
      <c r="I894" t="s">
        <v>15</v>
      </c>
      <c r="J894" t="s">
        <v>14</v>
      </c>
      <c r="K894" t="str">
        <f>_xlfn.XLOOKUP(order[[#This Row],[customer_id]],customer[customer_id],customer[city])</f>
        <v>Bangalore</v>
      </c>
      <c r="L894" t="str">
        <f>_xlfn.XLOOKUP(order[[#This Row],[customer_id]],customer[customer_id],customer[state])</f>
        <v>Karnataka</v>
      </c>
      <c r="M894" t="str">
        <f>_xlfn.XLOOKUP(order[[#This Row],[product_id]],products!$A$2:$A$11,products!$B$2:$B$11)</f>
        <v>Sony WH-1000XM4 Headphones</v>
      </c>
      <c r="N894" s="3" t="str">
        <f>_xlfn.XLOOKUP(order[[#This Row],[product_id]],products!$A$2:$A$11,products!$C$2:$C$11)</f>
        <v>Electronics</v>
      </c>
      <c r="O894" s="3">
        <f>_xlfn.XLOOKUP(order[[#This Row],[product_id]],Table4[product_id],Table4[cost_price])</f>
        <v>20000</v>
      </c>
      <c r="P894" s="11">
        <f>_xlfn.XLOOKUP(order[[#This Row],[order_id]],shipment[order_id],shipment[ship_date])</f>
        <v>45435</v>
      </c>
      <c r="Q894" s="11">
        <f>_xlfn.XLOOKUP(order[[#This Row],[order_id]],shipment[order_id],shipment[delivery_date])</f>
        <v>45437</v>
      </c>
      <c r="R894" s="3" t="str">
        <f>_xlfn.XLOOKUP(order[[#This Row],[order_id]],shipment[shipment_id],shipment[courier])</f>
        <v>BlueDart</v>
      </c>
      <c r="S894" s="3">
        <f>order[[#This Row],[selling_price]]-order[[#This Row],[cost_price]]*order[[#This Row],[quantity]]-order[[#This Row],[discount]]</f>
        <v>-1180</v>
      </c>
      <c r="T894" s="3">
        <f>order[[#This Row],[quantity]]*order[[#This Row],[selling_price]]</f>
        <v>179757</v>
      </c>
    </row>
    <row r="895" spans="1:20" x14ac:dyDescent="0.3">
      <c r="A895">
        <v>894</v>
      </c>
      <c r="B895" s="11">
        <v>45296</v>
      </c>
      <c r="C895">
        <v>143</v>
      </c>
      <c r="D895" t="str">
        <f>_xlfn.XLOOKUP(order[[#This Row],[customer_id]],customer[customer_id],customer[customer_name])</f>
        <v>Ananya Gupta</v>
      </c>
      <c r="E895">
        <v>207</v>
      </c>
      <c r="F895">
        <v>1</v>
      </c>
      <c r="G895">
        <v>30157</v>
      </c>
      <c r="H895">
        <v>4806</v>
      </c>
      <c r="I895" t="s">
        <v>15</v>
      </c>
      <c r="J895" t="s">
        <v>10</v>
      </c>
      <c r="K895" t="str">
        <f>_xlfn.XLOOKUP(order[[#This Row],[customer_id]],customer[customer_id],customer[city])</f>
        <v>Hyderabad</v>
      </c>
      <c r="L895" t="str">
        <f>_xlfn.XLOOKUP(order[[#This Row],[customer_id]],customer[customer_id],customer[state])</f>
        <v>Telangana</v>
      </c>
      <c r="M895" t="str">
        <f>_xlfn.XLOOKUP(order[[#This Row],[product_id]],products!$A$2:$A$11,products!$B$2:$B$11)</f>
        <v>Sony WH-1000XM4 Headphones</v>
      </c>
      <c r="N895" s="3" t="str">
        <f>_xlfn.XLOOKUP(order[[#This Row],[product_id]],products!$A$2:$A$11,products!$C$2:$C$11)</f>
        <v>Electronics</v>
      </c>
      <c r="O895" s="3">
        <f>_xlfn.XLOOKUP(order[[#This Row],[product_id]],Table4[product_id],Table4[cost_price])</f>
        <v>20000</v>
      </c>
      <c r="P895" s="11">
        <f>_xlfn.XLOOKUP(order[[#This Row],[order_id]],shipment[order_id],shipment[ship_date])</f>
        <v>45392</v>
      </c>
      <c r="Q895" s="11">
        <f>_xlfn.XLOOKUP(order[[#This Row],[order_id]],shipment[order_id],shipment[delivery_date])</f>
        <v>45398</v>
      </c>
      <c r="R895" s="3" t="str">
        <f>_xlfn.XLOOKUP(order[[#This Row],[order_id]],shipment[shipment_id],shipment[courier])</f>
        <v>Ekart</v>
      </c>
      <c r="S895" s="3">
        <f>order[[#This Row],[selling_price]]-order[[#This Row],[cost_price]]*order[[#This Row],[quantity]]-order[[#This Row],[discount]]</f>
        <v>5351</v>
      </c>
      <c r="T895" s="3">
        <f>order[[#This Row],[quantity]]*order[[#This Row],[selling_price]]</f>
        <v>30157</v>
      </c>
    </row>
    <row r="896" spans="1:20" x14ac:dyDescent="0.3">
      <c r="A896">
        <v>895</v>
      </c>
      <c r="B896" s="11">
        <v>45554</v>
      </c>
      <c r="C896">
        <v>167</v>
      </c>
      <c r="D896" t="str">
        <f>_xlfn.XLOOKUP(order[[#This Row],[customer_id]],customer[customer_id],customer[customer_name])</f>
        <v>Siddharth Jain</v>
      </c>
      <c r="E896">
        <v>204</v>
      </c>
      <c r="F896">
        <v>4</v>
      </c>
      <c r="G896">
        <v>55474</v>
      </c>
      <c r="H896">
        <v>3211</v>
      </c>
      <c r="I896" t="s">
        <v>11</v>
      </c>
      <c r="J896" t="s">
        <v>12</v>
      </c>
      <c r="K896" t="str">
        <f>_xlfn.XLOOKUP(order[[#This Row],[customer_id]],customer[customer_id],customer[city])</f>
        <v>Ahmedabad</v>
      </c>
      <c r="L896" t="str">
        <f>_xlfn.XLOOKUP(order[[#This Row],[customer_id]],customer[customer_id],customer[state])</f>
        <v>Gujarat</v>
      </c>
      <c r="M896" t="str">
        <f>_xlfn.XLOOKUP(order[[#This Row],[product_id]],products!$A$2:$A$11,products!$B$2:$B$11)</f>
        <v>Levi's Slim Fit Jeans</v>
      </c>
      <c r="N896" s="3" t="str">
        <f>_xlfn.XLOOKUP(order[[#This Row],[product_id]],products!$A$2:$A$11,products!$C$2:$C$11)</f>
        <v>Fashion</v>
      </c>
      <c r="O896" s="3">
        <f>_xlfn.XLOOKUP(order[[#This Row],[product_id]],Table4[product_id],Table4[cost_price])</f>
        <v>1800</v>
      </c>
      <c r="P896" s="11">
        <f>_xlfn.XLOOKUP(order[[#This Row],[order_id]],shipment[order_id],shipment[ship_date])</f>
        <v>45621</v>
      </c>
      <c r="Q896" s="11">
        <f>_xlfn.XLOOKUP(order[[#This Row],[order_id]],shipment[order_id],shipment[delivery_date])</f>
        <v>45624</v>
      </c>
      <c r="R896" s="3" t="str">
        <f>_xlfn.XLOOKUP(order[[#This Row],[order_id]],shipment[shipment_id],shipment[courier])</f>
        <v>DTDC</v>
      </c>
      <c r="S896" s="3">
        <f>order[[#This Row],[selling_price]]-order[[#This Row],[cost_price]]*order[[#This Row],[quantity]]-order[[#This Row],[discount]]</f>
        <v>45063</v>
      </c>
      <c r="T896" s="3">
        <f>order[[#This Row],[quantity]]*order[[#This Row],[selling_price]]</f>
        <v>221896</v>
      </c>
    </row>
    <row r="897" spans="1:20" x14ac:dyDescent="0.3">
      <c r="A897">
        <v>896</v>
      </c>
      <c r="B897" s="11">
        <v>45635</v>
      </c>
      <c r="C897">
        <v>243</v>
      </c>
      <c r="D897" t="str">
        <f>_xlfn.XLOOKUP(order[[#This Row],[customer_id]],customer[customer_id],customer[customer_name])</f>
        <v>Ananya Gupta</v>
      </c>
      <c r="E897">
        <v>205</v>
      </c>
      <c r="F897">
        <v>2</v>
      </c>
      <c r="G897">
        <v>52484</v>
      </c>
      <c r="H897">
        <v>4065</v>
      </c>
      <c r="I897" t="s">
        <v>15</v>
      </c>
      <c r="J897" t="s">
        <v>10</v>
      </c>
      <c r="K897" t="str">
        <f>_xlfn.XLOOKUP(order[[#This Row],[customer_id]],customer[customer_id],customer[city])</f>
        <v>Ahmedabad</v>
      </c>
      <c r="L897" t="str">
        <f>_xlfn.XLOOKUP(order[[#This Row],[customer_id]],customer[customer_id],customer[state])</f>
        <v>Gujarat</v>
      </c>
      <c r="M897" t="str">
        <f>_xlfn.XLOOKUP(order[[#This Row],[product_id]],products!$A$2:$A$11,products!$B$2:$B$11)</f>
        <v>Prestige Pressure Cooker 5L</v>
      </c>
      <c r="N897" s="3" t="str">
        <f>_xlfn.XLOOKUP(order[[#This Row],[product_id]],products!$A$2:$A$11,products!$C$2:$C$11)</f>
        <v>Home &amp; Kitchen</v>
      </c>
      <c r="O897" s="3">
        <f>_xlfn.XLOOKUP(order[[#This Row],[product_id]],Table4[product_id],Table4[cost_price])</f>
        <v>1200</v>
      </c>
      <c r="P897" s="11">
        <f>_xlfn.XLOOKUP(order[[#This Row],[order_id]],shipment[order_id],shipment[ship_date])</f>
        <v>45636</v>
      </c>
      <c r="Q897" s="11">
        <f>_xlfn.XLOOKUP(order[[#This Row],[order_id]],shipment[order_id],shipment[delivery_date])</f>
        <v>45643</v>
      </c>
      <c r="R897" s="3" t="str">
        <f>_xlfn.XLOOKUP(order[[#This Row],[order_id]],shipment[shipment_id],shipment[courier])</f>
        <v>Ekart</v>
      </c>
      <c r="S897" s="3">
        <f>order[[#This Row],[selling_price]]-order[[#This Row],[cost_price]]*order[[#This Row],[quantity]]-order[[#This Row],[discount]]</f>
        <v>46019</v>
      </c>
      <c r="T897" s="3">
        <f>order[[#This Row],[quantity]]*order[[#This Row],[selling_price]]</f>
        <v>104968</v>
      </c>
    </row>
    <row r="898" spans="1:20" x14ac:dyDescent="0.3">
      <c r="A898">
        <v>897</v>
      </c>
      <c r="B898" s="11">
        <v>45298</v>
      </c>
      <c r="C898">
        <v>285</v>
      </c>
      <c r="D898" t="str">
        <f>_xlfn.XLOOKUP(order[[#This Row],[customer_id]],customer[customer_id],customer[customer_name])</f>
        <v>Priya Reddy</v>
      </c>
      <c r="E898">
        <v>205</v>
      </c>
      <c r="F898">
        <v>2</v>
      </c>
      <c r="G898">
        <v>8113</v>
      </c>
      <c r="H898">
        <v>3948</v>
      </c>
      <c r="I898" t="s">
        <v>15</v>
      </c>
      <c r="J898" t="s">
        <v>12</v>
      </c>
      <c r="K898" t="str">
        <f>_xlfn.XLOOKUP(order[[#This Row],[customer_id]],customer[customer_id],customer[city])</f>
        <v>Delhi</v>
      </c>
      <c r="L898" t="str">
        <f>_xlfn.XLOOKUP(order[[#This Row],[customer_id]],customer[customer_id],customer[state])</f>
        <v>Delhi</v>
      </c>
      <c r="M898" t="str">
        <f>_xlfn.XLOOKUP(order[[#This Row],[product_id]],products!$A$2:$A$11,products!$B$2:$B$11)</f>
        <v>Prestige Pressure Cooker 5L</v>
      </c>
      <c r="N898" s="3" t="str">
        <f>_xlfn.XLOOKUP(order[[#This Row],[product_id]],products!$A$2:$A$11,products!$C$2:$C$11)</f>
        <v>Home &amp; Kitchen</v>
      </c>
      <c r="O898" s="3">
        <f>_xlfn.XLOOKUP(order[[#This Row],[product_id]],Table4[product_id],Table4[cost_price])</f>
        <v>1200</v>
      </c>
      <c r="P898" s="11">
        <f>_xlfn.XLOOKUP(order[[#This Row],[order_id]],shipment[order_id],shipment[ship_date])</f>
        <v>45414</v>
      </c>
      <c r="Q898" s="11">
        <f>_xlfn.XLOOKUP(order[[#This Row],[order_id]],shipment[order_id],shipment[delivery_date])</f>
        <v>45422</v>
      </c>
      <c r="R898" s="3" t="str">
        <f>_xlfn.XLOOKUP(order[[#This Row],[order_id]],shipment[shipment_id],shipment[courier])</f>
        <v>DTDC</v>
      </c>
      <c r="S898" s="3">
        <f>order[[#This Row],[selling_price]]-order[[#This Row],[cost_price]]*order[[#This Row],[quantity]]-order[[#This Row],[discount]]</f>
        <v>1765</v>
      </c>
      <c r="T898" s="3">
        <f>order[[#This Row],[quantity]]*order[[#This Row],[selling_price]]</f>
        <v>16226</v>
      </c>
    </row>
    <row r="899" spans="1:20" x14ac:dyDescent="0.3">
      <c r="A899">
        <v>898</v>
      </c>
      <c r="B899" s="11">
        <v>45345</v>
      </c>
      <c r="C899">
        <v>162</v>
      </c>
      <c r="D899" t="str">
        <f>_xlfn.XLOOKUP(order[[#This Row],[customer_id]],customer[customer_id],customer[customer_name])</f>
        <v>Ananya Gupta</v>
      </c>
      <c r="E899">
        <v>209</v>
      </c>
      <c r="F899">
        <v>1</v>
      </c>
      <c r="G899">
        <v>44427</v>
      </c>
      <c r="H899">
        <v>1060</v>
      </c>
      <c r="I899" t="s">
        <v>9</v>
      </c>
      <c r="J899" t="s">
        <v>14</v>
      </c>
      <c r="K899" t="str">
        <f>_xlfn.XLOOKUP(order[[#This Row],[customer_id]],customer[customer_id],customer[city])</f>
        <v>Ahmedabad</v>
      </c>
      <c r="L899" t="str">
        <f>_xlfn.XLOOKUP(order[[#This Row],[customer_id]],customer[customer_id],customer[state])</f>
        <v>Gujarat</v>
      </c>
      <c r="M899" t="str">
        <f>_xlfn.XLOOKUP(order[[#This Row],[product_id]],products!$A$2:$A$11,products!$B$2:$B$11)</f>
        <v>Milton Thermosteel Bottle</v>
      </c>
      <c r="N899" s="3" t="str">
        <f>_xlfn.XLOOKUP(order[[#This Row],[product_id]],products!$A$2:$A$11,products!$C$2:$C$11)</f>
        <v>Home &amp; Kitchen</v>
      </c>
      <c r="O899" s="3">
        <f>_xlfn.XLOOKUP(order[[#This Row],[product_id]],Table4[product_id],Table4[cost_price])</f>
        <v>800</v>
      </c>
      <c r="P899" s="11">
        <f>_xlfn.XLOOKUP(order[[#This Row],[order_id]],shipment[order_id],shipment[ship_date])</f>
        <v>45422</v>
      </c>
      <c r="Q899" s="11">
        <f>_xlfn.XLOOKUP(order[[#This Row],[order_id]],shipment[order_id],shipment[delivery_date])</f>
        <v>45424</v>
      </c>
      <c r="R899" s="3" t="str">
        <f>_xlfn.XLOOKUP(order[[#This Row],[order_id]],shipment[shipment_id],shipment[courier])</f>
        <v>Ekart</v>
      </c>
      <c r="S899" s="3">
        <f>order[[#This Row],[selling_price]]-order[[#This Row],[cost_price]]*order[[#This Row],[quantity]]-order[[#This Row],[discount]]</f>
        <v>42567</v>
      </c>
      <c r="T899" s="3">
        <f>order[[#This Row],[quantity]]*order[[#This Row],[selling_price]]</f>
        <v>44427</v>
      </c>
    </row>
    <row r="900" spans="1:20" x14ac:dyDescent="0.3">
      <c r="A900">
        <v>899</v>
      </c>
      <c r="B900" s="11">
        <v>45364</v>
      </c>
      <c r="C900">
        <v>287</v>
      </c>
      <c r="D900" t="str">
        <f>_xlfn.XLOOKUP(order[[#This Row],[customer_id]],customer[customer_id],customer[customer_name])</f>
        <v>Karan Patel</v>
      </c>
      <c r="E900">
        <v>209</v>
      </c>
      <c r="F900">
        <v>1</v>
      </c>
      <c r="G900">
        <v>59557</v>
      </c>
      <c r="H900">
        <v>107</v>
      </c>
      <c r="I900" t="s">
        <v>11</v>
      </c>
      <c r="J900" t="s">
        <v>14</v>
      </c>
      <c r="K900" t="str">
        <f>_xlfn.XLOOKUP(order[[#This Row],[customer_id]],customer[customer_id],customer[city])</f>
        <v>Chennai</v>
      </c>
      <c r="L900" t="str">
        <f>_xlfn.XLOOKUP(order[[#This Row],[customer_id]],customer[customer_id],customer[state])</f>
        <v>Tamil Nadu</v>
      </c>
      <c r="M900" t="str">
        <f>_xlfn.XLOOKUP(order[[#This Row],[product_id]],products!$A$2:$A$11,products!$B$2:$B$11)</f>
        <v>Milton Thermosteel Bottle</v>
      </c>
      <c r="N900" s="3" t="str">
        <f>_xlfn.XLOOKUP(order[[#This Row],[product_id]],products!$A$2:$A$11,products!$C$2:$C$11)</f>
        <v>Home &amp; Kitchen</v>
      </c>
      <c r="O900" s="3">
        <f>_xlfn.XLOOKUP(order[[#This Row],[product_id]],Table4[product_id],Table4[cost_price])</f>
        <v>800</v>
      </c>
      <c r="P900" s="11">
        <f>_xlfn.XLOOKUP(order[[#This Row],[order_id]],shipment[order_id],shipment[ship_date])</f>
        <v>45331</v>
      </c>
      <c r="Q900" s="11">
        <f>_xlfn.XLOOKUP(order[[#This Row],[order_id]],shipment[order_id],shipment[delivery_date])</f>
        <v>45341</v>
      </c>
      <c r="R900" s="3" t="str">
        <f>_xlfn.XLOOKUP(order[[#This Row],[order_id]],shipment[shipment_id],shipment[courier])</f>
        <v>BlueDart</v>
      </c>
      <c r="S900" s="3">
        <f>order[[#This Row],[selling_price]]-order[[#This Row],[cost_price]]*order[[#This Row],[quantity]]-order[[#This Row],[discount]]</f>
        <v>58650</v>
      </c>
      <c r="T900" s="3">
        <f>order[[#This Row],[quantity]]*order[[#This Row],[selling_price]]</f>
        <v>59557</v>
      </c>
    </row>
    <row r="901" spans="1:20" x14ac:dyDescent="0.3">
      <c r="A901">
        <v>753</v>
      </c>
      <c r="B901" s="11">
        <v>45369</v>
      </c>
      <c r="C901">
        <v>214</v>
      </c>
      <c r="D901" t="str">
        <f>_xlfn.XLOOKUP(order[[#This Row],[customer_id]],customer[customer_id],customer[customer_name])</f>
        <v>Ishita Bose</v>
      </c>
      <c r="E901">
        <v>207</v>
      </c>
      <c r="F901">
        <v>3</v>
      </c>
      <c r="G901">
        <v>2581</v>
      </c>
      <c r="H901">
        <v>1091</v>
      </c>
      <c r="I901" t="s">
        <v>13</v>
      </c>
      <c r="J901" t="s">
        <v>14</v>
      </c>
      <c r="K901" t="str">
        <f>_xlfn.XLOOKUP(order[[#This Row],[customer_id]],customer[customer_id],customer[city])</f>
        <v>Mumbai</v>
      </c>
      <c r="L901" t="str">
        <f>_xlfn.XLOOKUP(order[[#This Row],[customer_id]],customer[customer_id],customer[state])</f>
        <v>Maharashtra</v>
      </c>
      <c r="M901" t="str">
        <f>_xlfn.XLOOKUP(order[[#This Row],[product_id]],products!$A$2:$A$11,products!$B$2:$B$11)</f>
        <v>Sony WH-1000XM4 Headphones</v>
      </c>
      <c r="N901" s="3" t="str">
        <f>_xlfn.XLOOKUP(order[[#This Row],[product_id]],products!$A$2:$A$11,products!$C$2:$C$11)</f>
        <v>Electronics</v>
      </c>
      <c r="O901" s="3">
        <f>_xlfn.XLOOKUP(order[[#This Row],[product_id]],Table4[product_id],Table4[cost_price])</f>
        <v>20000</v>
      </c>
      <c r="P901" s="11">
        <f>_xlfn.XLOOKUP(order[[#This Row],[order_id]],shipment[order_id],shipment[ship_date])</f>
        <v>45311</v>
      </c>
      <c r="Q901" s="11">
        <f>_xlfn.XLOOKUP(order[[#This Row],[order_id]],shipment[order_id],shipment[delivery_date])</f>
        <v>45312</v>
      </c>
      <c r="R901" s="3" t="str">
        <f>_xlfn.XLOOKUP(order[[#This Row],[order_id]],shipment[shipment_id],shipment[courier])</f>
        <v>Ekart</v>
      </c>
      <c r="S901" s="3">
        <f>order[[#This Row],[selling_price]]-order[[#This Row],[cost_price]]*order[[#This Row],[quantity]]-order[[#This Row],[discount]]</f>
        <v>-58510</v>
      </c>
      <c r="T901" s="3">
        <f>order[[#This Row],[quantity]]*order[[#This Row],[selling_price]]</f>
        <v>7743</v>
      </c>
    </row>
    <row r="902" spans="1:20" x14ac:dyDescent="0.3">
      <c r="A902">
        <v>901</v>
      </c>
      <c r="B902" s="11">
        <v>45428</v>
      </c>
      <c r="C902">
        <v>246</v>
      </c>
      <c r="D902" t="str">
        <f>_xlfn.XLOOKUP(order[[#This Row],[customer_id]],customer[customer_id],customer[customer_name])</f>
        <v>Priya Reddy</v>
      </c>
      <c r="E902">
        <v>203</v>
      </c>
      <c r="F902">
        <v>1</v>
      </c>
      <c r="G902">
        <v>22491</v>
      </c>
      <c r="H902">
        <v>1252</v>
      </c>
      <c r="I902" t="s">
        <v>9</v>
      </c>
      <c r="J902" t="s">
        <v>14</v>
      </c>
      <c r="K902" t="str">
        <f>_xlfn.XLOOKUP(order[[#This Row],[customer_id]],customer[customer_id],customer[city])</f>
        <v>Pune</v>
      </c>
      <c r="L902" t="str">
        <f>_xlfn.XLOOKUP(order[[#This Row],[customer_id]],customer[customer_id],customer[state])</f>
        <v>Maharashtra</v>
      </c>
      <c r="M902" t="str">
        <f>_xlfn.XLOOKUP(order[[#This Row],[product_id]],products!$A$2:$A$11,products!$B$2:$B$11)</f>
        <v>Nike Air Max Shoes</v>
      </c>
      <c r="N902" s="3" t="str">
        <f>_xlfn.XLOOKUP(order[[#This Row],[product_id]],products!$A$2:$A$11,products!$C$2:$C$11)</f>
        <v>Fashion</v>
      </c>
      <c r="O902" s="3">
        <f>_xlfn.XLOOKUP(order[[#This Row],[product_id]],Table4[product_id],Table4[cost_price])</f>
        <v>4000</v>
      </c>
      <c r="P902" s="11">
        <f>_xlfn.XLOOKUP(order[[#This Row],[order_id]],shipment[order_id],shipment[ship_date])</f>
        <v>45549</v>
      </c>
      <c r="Q902" s="11">
        <f>_xlfn.XLOOKUP(order[[#This Row],[order_id]],shipment[order_id],shipment[delivery_date])</f>
        <v>45558</v>
      </c>
      <c r="R902" s="3" t="str">
        <f>_xlfn.XLOOKUP(order[[#This Row],[order_id]],shipment[shipment_id],shipment[courier])</f>
        <v>Ekart</v>
      </c>
      <c r="S902" s="3">
        <f>order[[#This Row],[selling_price]]-order[[#This Row],[cost_price]]*order[[#This Row],[quantity]]-order[[#This Row],[discount]]</f>
        <v>17239</v>
      </c>
      <c r="T902" s="3">
        <f>order[[#This Row],[quantity]]*order[[#This Row],[selling_price]]</f>
        <v>22491</v>
      </c>
    </row>
    <row r="903" spans="1:20" x14ac:dyDescent="0.3">
      <c r="A903">
        <v>1105</v>
      </c>
      <c r="B903" s="11">
        <v>45462</v>
      </c>
      <c r="C903">
        <v>222</v>
      </c>
      <c r="D903" t="str">
        <f>_xlfn.XLOOKUP(order[[#This Row],[customer_id]],customer[customer_id],customer[customer_name])</f>
        <v>Ananya Gupta</v>
      </c>
      <c r="E903">
        <v>207</v>
      </c>
      <c r="F903">
        <v>3</v>
      </c>
      <c r="G903">
        <v>2931</v>
      </c>
      <c r="H903">
        <v>1041</v>
      </c>
      <c r="I903" t="s">
        <v>15</v>
      </c>
      <c r="J903" t="s">
        <v>14</v>
      </c>
      <c r="K903" t="str">
        <f>_xlfn.XLOOKUP(order[[#This Row],[customer_id]],customer[customer_id],customer[city])</f>
        <v>Chennai</v>
      </c>
      <c r="L903" t="str">
        <f>_xlfn.XLOOKUP(order[[#This Row],[customer_id]],customer[customer_id],customer[state])</f>
        <v>Tamil Nadu</v>
      </c>
      <c r="M903" t="str">
        <f>_xlfn.XLOOKUP(order[[#This Row],[product_id]],products!$A$2:$A$11,products!$B$2:$B$11)</f>
        <v>Sony WH-1000XM4 Headphones</v>
      </c>
      <c r="N903" s="3" t="str">
        <f>_xlfn.XLOOKUP(order[[#This Row],[product_id]],products!$A$2:$A$11,products!$C$2:$C$11)</f>
        <v>Electronics</v>
      </c>
      <c r="O903" s="3">
        <f>_xlfn.XLOOKUP(order[[#This Row],[product_id]],Table4[product_id],Table4[cost_price])</f>
        <v>20000</v>
      </c>
      <c r="P903" s="11">
        <f>_xlfn.XLOOKUP(order[[#This Row],[order_id]],shipment[order_id],shipment[ship_date])</f>
        <v>45436</v>
      </c>
      <c r="Q903" s="11">
        <f>_xlfn.XLOOKUP(order[[#This Row],[order_id]],shipment[order_id],shipment[delivery_date])</f>
        <v>45439</v>
      </c>
      <c r="R903" s="3" t="str">
        <f>_xlfn.XLOOKUP(order[[#This Row],[order_id]],shipment[shipment_id],shipment[courier])</f>
        <v>DTDC</v>
      </c>
      <c r="S903" s="3">
        <f>order[[#This Row],[selling_price]]-order[[#This Row],[cost_price]]*order[[#This Row],[quantity]]-order[[#This Row],[discount]]</f>
        <v>-58110</v>
      </c>
      <c r="T903" s="3">
        <f>order[[#This Row],[quantity]]*order[[#This Row],[selling_price]]</f>
        <v>8793</v>
      </c>
    </row>
    <row r="904" spans="1:20" x14ac:dyDescent="0.3">
      <c r="A904">
        <v>426</v>
      </c>
      <c r="B904" s="11">
        <v>45541</v>
      </c>
      <c r="C904">
        <v>297</v>
      </c>
      <c r="D904" t="str">
        <f>_xlfn.XLOOKUP(order[[#This Row],[customer_id]],customer[customer_id],customer[customer_name])</f>
        <v>Meera Joshi</v>
      </c>
      <c r="E904">
        <v>207</v>
      </c>
      <c r="F904">
        <v>4</v>
      </c>
      <c r="G904">
        <v>10705</v>
      </c>
      <c r="H904">
        <v>997</v>
      </c>
      <c r="I904" t="s">
        <v>9</v>
      </c>
      <c r="J904" t="s">
        <v>14</v>
      </c>
      <c r="K904" t="str">
        <f>_xlfn.XLOOKUP(order[[#This Row],[customer_id]],customer[customer_id],customer[city])</f>
        <v>Bangalore</v>
      </c>
      <c r="L904" t="str">
        <f>_xlfn.XLOOKUP(order[[#This Row],[customer_id]],customer[customer_id],customer[state])</f>
        <v>Karnataka</v>
      </c>
      <c r="M904" t="str">
        <f>_xlfn.XLOOKUP(order[[#This Row],[product_id]],products!$A$2:$A$11,products!$B$2:$B$11)</f>
        <v>Sony WH-1000XM4 Headphones</v>
      </c>
      <c r="N904" s="3" t="str">
        <f>_xlfn.XLOOKUP(order[[#This Row],[product_id]],products!$A$2:$A$11,products!$C$2:$C$11)</f>
        <v>Electronics</v>
      </c>
      <c r="O904" s="3">
        <f>_xlfn.XLOOKUP(order[[#This Row],[product_id]],Table4[product_id],Table4[cost_price])</f>
        <v>20000</v>
      </c>
      <c r="P904" s="11">
        <f>_xlfn.XLOOKUP(order[[#This Row],[order_id]],shipment[order_id],shipment[ship_date])</f>
        <v>45336</v>
      </c>
      <c r="Q904" s="11">
        <f>_xlfn.XLOOKUP(order[[#This Row],[order_id]],shipment[order_id],shipment[delivery_date])</f>
        <v>45340</v>
      </c>
      <c r="R904" s="3" t="str">
        <f>_xlfn.XLOOKUP(order[[#This Row],[order_id]],shipment[shipment_id],shipment[courier])</f>
        <v>Delhivery</v>
      </c>
      <c r="S904" s="3">
        <f>order[[#This Row],[selling_price]]-order[[#This Row],[cost_price]]*order[[#This Row],[quantity]]-order[[#This Row],[discount]]</f>
        <v>-70292</v>
      </c>
      <c r="T904" s="3">
        <f>order[[#This Row],[quantity]]*order[[#This Row],[selling_price]]</f>
        <v>42820</v>
      </c>
    </row>
    <row r="905" spans="1:20" x14ac:dyDescent="0.3">
      <c r="A905">
        <v>904</v>
      </c>
      <c r="B905" s="11">
        <v>45650</v>
      </c>
      <c r="C905">
        <v>203</v>
      </c>
      <c r="D905" t="str">
        <f>_xlfn.XLOOKUP(order[[#This Row],[customer_id]],customer[customer_id],customer[customer_name])</f>
        <v>Vikram Singh</v>
      </c>
      <c r="E905">
        <v>204</v>
      </c>
      <c r="F905">
        <v>2</v>
      </c>
      <c r="G905">
        <v>44398</v>
      </c>
      <c r="H905">
        <v>1356</v>
      </c>
      <c r="I905" t="s">
        <v>9</v>
      </c>
      <c r="J905" t="s">
        <v>10</v>
      </c>
      <c r="K905" t="str">
        <f>_xlfn.XLOOKUP(order[[#This Row],[customer_id]],customer[customer_id],customer[city])</f>
        <v>Delhi</v>
      </c>
      <c r="L905" t="str">
        <f>_xlfn.XLOOKUP(order[[#This Row],[customer_id]],customer[customer_id],customer[state])</f>
        <v>Delhi</v>
      </c>
      <c r="M905" t="str">
        <f>_xlfn.XLOOKUP(order[[#This Row],[product_id]],products!$A$2:$A$11,products!$B$2:$B$11)</f>
        <v>Levi's Slim Fit Jeans</v>
      </c>
      <c r="N905" s="3" t="str">
        <f>_xlfn.XLOOKUP(order[[#This Row],[product_id]],products!$A$2:$A$11,products!$C$2:$C$11)</f>
        <v>Fashion</v>
      </c>
      <c r="O905" s="3">
        <f>_xlfn.XLOOKUP(order[[#This Row],[product_id]],Table4[product_id],Table4[cost_price])</f>
        <v>1800</v>
      </c>
      <c r="P905" s="11">
        <f>_xlfn.XLOOKUP(order[[#This Row],[order_id]],shipment[order_id],shipment[ship_date])</f>
        <v>45610</v>
      </c>
      <c r="Q905" s="11">
        <f>_xlfn.XLOOKUP(order[[#This Row],[order_id]],shipment[order_id],shipment[delivery_date])</f>
        <v>45620</v>
      </c>
      <c r="R905" s="3" t="str">
        <f>_xlfn.XLOOKUP(order[[#This Row],[order_id]],shipment[shipment_id],shipment[courier])</f>
        <v>Ekart</v>
      </c>
      <c r="S905" s="3">
        <f>order[[#This Row],[selling_price]]-order[[#This Row],[cost_price]]*order[[#This Row],[quantity]]-order[[#This Row],[discount]]</f>
        <v>39442</v>
      </c>
      <c r="T905" s="3">
        <f>order[[#This Row],[quantity]]*order[[#This Row],[selling_price]]</f>
        <v>88796</v>
      </c>
    </row>
    <row r="906" spans="1:20" x14ac:dyDescent="0.3">
      <c r="A906">
        <v>905</v>
      </c>
      <c r="B906" s="11">
        <v>45431</v>
      </c>
      <c r="C906">
        <v>146</v>
      </c>
      <c r="D906" t="str">
        <f>_xlfn.XLOOKUP(order[[#This Row],[customer_id]],customer[customer_id],customer[customer_name])</f>
        <v>Siddharth Jain</v>
      </c>
      <c r="E906">
        <v>204</v>
      </c>
      <c r="F906">
        <v>2</v>
      </c>
      <c r="G906">
        <v>50093</v>
      </c>
      <c r="H906">
        <v>536</v>
      </c>
      <c r="I906" t="s">
        <v>9</v>
      </c>
      <c r="J906" t="s">
        <v>10</v>
      </c>
      <c r="K906" t="str">
        <f>_xlfn.XLOOKUP(order[[#This Row],[customer_id]],customer[customer_id],customer[city])</f>
        <v>Hyderabad</v>
      </c>
      <c r="L906" t="str">
        <f>_xlfn.XLOOKUP(order[[#This Row],[customer_id]],customer[customer_id],customer[state])</f>
        <v>Telangana</v>
      </c>
      <c r="M906" t="str">
        <f>_xlfn.XLOOKUP(order[[#This Row],[product_id]],products!$A$2:$A$11,products!$B$2:$B$11)</f>
        <v>Levi's Slim Fit Jeans</v>
      </c>
      <c r="N906" s="3" t="str">
        <f>_xlfn.XLOOKUP(order[[#This Row],[product_id]],products!$A$2:$A$11,products!$C$2:$C$11)</f>
        <v>Fashion</v>
      </c>
      <c r="O906" s="3">
        <f>_xlfn.XLOOKUP(order[[#This Row],[product_id]],Table4[product_id],Table4[cost_price])</f>
        <v>1800</v>
      </c>
      <c r="P906" s="11">
        <f>_xlfn.XLOOKUP(order[[#This Row],[order_id]],shipment[order_id],shipment[ship_date])</f>
        <v>45480</v>
      </c>
      <c r="Q906" s="11">
        <f>_xlfn.XLOOKUP(order[[#This Row],[order_id]],shipment[order_id],shipment[delivery_date])</f>
        <v>45482</v>
      </c>
      <c r="R906" s="3" t="str">
        <f>_xlfn.XLOOKUP(order[[#This Row],[order_id]],shipment[shipment_id],shipment[courier])</f>
        <v>Delhivery</v>
      </c>
      <c r="S906" s="3">
        <f>order[[#This Row],[selling_price]]-order[[#This Row],[cost_price]]*order[[#This Row],[quantity]]-order[[#This Row],[discount]]</f>
        <v>45957</v>
      </c>
      <c r="T906" s="3">
        <f>order[[#This Row],[quantity]]*order[[#This Row],[selling_price]]</f>
        <v>100186</v>
      </c>
    </row>
    <row r="907" spans="1:20" x14ac:dyDescent="0.3">
      <c r="A907">
        <v>13</v>
      </c>
      <c r="B907" s="11">
        <v>45639</v>
      </c>
      <c r="C907">
        <v>119</v>
      </c>
      <c r="D907" t="str">
        <f>_xlfn.XLOOKUP(order[[#This Row],[customer_id]],customer[customer_id],customer[customer_name])</f>
        <v>Pooja Nair</v>
      </c>
      <c r="E907">
        <v>207</v>
      </c>
      <c r="F907">
        <v>2</v>
      </c>
      <c r="G907">
        <v>25112</v>
      </c>
      <c r="H907">
        <v>922</v>
      </c>
      <c r="I907" t="s">
        <v>9</v>
      </c>
      <c r="J907" t="s">
        <v>12</v>
      </c>
      <c r="K907" t="str">
        <f>_xlfn.XLOOKUP(order[[#This Row],[customer_id]],customer[customer_id],customer[city])</f>
        <v>Bangalore</v>
      </c>
      <c r="L907" t="str">
        <f>_xlfn.XLOOKUP(order[[#This Row],[customer_id]],customer[customer_id],customer[state])</f>
        <v>Karnataka</v>
      </c>
      <c r="M907" t="str">
        <f>_xlfn.XLOOKUP(order[[#This Row],[product_id]],products!$A$2:$A$11,products!$B$2:$B$11)</f>
        <v>Sony WH-1000XM4 Headphones</v>
      </c>
      <c r="N907" s="3" t="str">
        <f>_xlfn.XLOOKUP(order[[#This Row],[product_id]],products!$A$2:$A$11,products!$C$2:$C$11)</f>
        <v>Electronics</v>
      </c>
      <c r="O907" s="3">
        <f>_xlfn.XLOOKUP(order[[#This Row],[product_id]],Table4[product_id],Table4[cost_price])</f>
        <v>20000</v>
      </c>
      <c r="P907" s="11">
        <f>_xlfn.XLOOKUP(order[[#This Row],[order_id]],shipment[order_id],shipment[ship_date])</f>
        <v>45491</v>
      </c>
      <c r="Q907" s="11">
        <f>_xlfn.XLOOKUP(order[[#This Row],[order_id]],shipment[order_id],shipment[delivery_date])</f>
        <v>45496</v>
      </c>
      <c r="R907" s="3" t="str">
        <f>_xlfn.XLOOKUP(order[[#This Row],[order_id]],shipment[shipment_id],shipment[courier])</f>
        <v>Ekart</v>
      </c>
      <c r="S907" s="3">
        <f>order[[#This Row],[selling_price]]-order[[#This Row],[cost_price]]*order[[#This Row],[quantity]]-order[[#This Row],[discount]]</f>
        <v>-15810</v>
      </c>
      <c r="T907" s="3">
        <f>order[[#This Row],[quantity]]*order[[#This Row],[selling_price]]</f>
        <v>50224</v>
      </c>
    </row>
    <row r="908" spans="1:20" x14ac:dyDescent="0.3">
      <c r="A908">
        <v>907</v>
      </c>
      <c r="B908" s="11">
        <v>45537</v>
      </c>
      <c r="C908">
        <v>142</v>
      </c>
      <c r="D908" t="str">
        <f>_xlfn.XLOOKUP(order[[#This Row],[customer_id]],customer[customer_id],customer[customer_name])</f>
        <v>Rahul Mehta</v>
      </c>
      <c r="E908">
        <v>208</v>
      </c>
      <c r="F908">
        <v>1</v>
      </c>
      <c r="G908">
        <v>28418</v>
      </c>
      <c r="H908">
        <v>3830</v>
      </c>
      <c r="I908" t="s">
        <v>15</v>
      </c>
      <c r="J908" t="s">
        <v>10</v>
      </c>
      <c r="K908" t="str">
        <f>_xlfn.XLOOKUP(order[[#This Row],[customer_id]],customer[customer_id],customer[city])</f>
        <v>Pune</v>
      </c>
      <c r="L908" t="str">
        <f>_xlfn.XLOOKUP(order[[#This Row],[customer_id]],customer[customer_id],customer[state])</f>
        <v>Maharashtra</v>
      </c>
      <c r="M908" t="str">
        <f>_xlfn.XLOOKUP(order[[#This Row],[product_id]],products!$A$2:$A$11,products!$B$2:$B$11)</f>
        <v>Adidas Ultraboost Shoes</v>
      </c>
      <c r="N908" s="3" t="str">
        <f>_xlfn.XLOOKUP(order[[#This Row],[product_id]],products!$A$2:$A$11,products!$C$2:$C$11)</f>
        <v>Fashion</v>
      </c>
      <c r="O908" s="3">
        <f>_xlfn.XLOOKUP(order[[#This Row],[product_id]],Table4[product_id],Table4[cost_price])</f>
        <v>9000</v>
      </c>
      <c r="P908" s="11">
        <f>_xlfn.XLOOKUP(order[[#This Row],[order_id]],shipment[order_id],shipment[ship_date])</f>
        <v>45421</v>
      </c>
      <c r="Q908" s="11">
        <f>_xlfn.XLOOKUP(order[[#This Row],[order_id]],shipment[order_id],shipment[delivery_date])</f>
        <v>45424</v>
      </c>
      <c r="R908" s="3" t="str">
        <f>_xlfn.XLOOKUP(order[[#This Row],[order_id]],shipment[shipment_id],shipment[courier])</f>
        <v>BlueDart</v>
      </c>
      <c r="S908" s="3">
        <f>order[[#This Row],[selling_price]]-order[[#This Row],[cost_price]]*order[[#This Row],[quantity]]-order[[#This Row],[discount]]</f>
        <v>15588</v>
      </c>
      <c r="T908" s="3">
        <f>order[[#This Row],[quantity]]*order[[#This Row],[selling_price]]</f>
        <v>28418</v>
      </c>
    </row>
    <row r="909" spans="1:20" x14ac:dyDescent="0.3">
      <c r="A909">
        <v>908</v>
      </c>
      <c r="B909" s="11">
        <v>45648</v>
      </c>
      <c r="C909">
        <v>101</v>
      </c>
      <c r="D909" t="str">
        <f>_xlfn.XLOOKUP(order[[#This Row],[customer_id]],customer[customer_id],customer[customer_name])</f>
        <v>Manish Yadav</v>
      </c>
      <c r="E909">
        <v>204</v>
      </c>
      <c r="F909">
        <v>4</v>
      </c>
      <c r="G909">
        <v>17840</v>
      </c>
      <c r="H909">
        <v>3800</v>
      </c>
      <c r="I909" t="s">
        <v>15</v>
      </c>
      <c r="J909" t="s">
        <v>14</v>
      </c>
      <c r="K909" t="str">
        <f>_xlfn.XLOOKUP(order[[#This Row],[customer_id]],customer[customer_id],customer[city])</f>
        <v>Chennai</v>
      </c>
      <c r="L909" t="str">
        <f>_xlfn.XLOOKUP(order[[#This Row],[customer_id]],customer[customer_id],customer[state])</f>
        <v>Tamil Nadu</v>
      </c>
      <c r="M909" t="str">
        <f>_xlfn.XLOOKUP(order[[#This Row],[product_id]],products!$A$2:$A$11,products!$B$2:$B$11)</f>
        <v>Levi's Slim Fit Jeans</v>
      </c>
      <c r="N909" s="3" t="str">
        <f>_xlfn.XLOOKUP(order[[#This Row],[product_id]],products!$A$2:$A$11,products!$C$2:$C$11)</f>
        <v>Fashion</v>
      </c>
      <c r="O909" s="3">
        <f>_xlfn.XLOOKUP(order[[#This Row],[product_id]],Table4[product_id],Table4[cost_price])</f>
        <v>1800</v>
      </c>
      <c r="P909" s="11">
        <f>_xlfn.XLOOKUP(order[[#This Row],[order_id]],shipment[order_id],shipment[ship_date])</f>
        <v>45302</v>
      </c>
      <c r="Q909" s="11">
        <f>_xlfn.XLOOKUP(order[[#This Row],[order_id]],shipment[order_id],shipment[delivery_date])</f>
        <v>45304</v>
      </c>
      <c r="R909" s="3" t="str">
        <f>_xlfn.XLOOKUP(order[[#This Row],[order_id]],shipment[shipment_id],shipment[courier])</f>
        <v>DTDC</v>
      </c>
      <c r="S909" s="3">
        <f>order[[#This Row],[selling_price]]-order[[#This Row],[cost_price]]*order[[#This Row],[quantity]]-order[[#This Row],[discount]]</f>
        <v>6840</v>
      </c>
      <c r="T909" s="3">
        <f>order[[#This Row],[quantity]]*order[[#This Row],[selling_price]]</f>
        <v>71360</v>
      </c>
    </row>
    <row r="910" spans="1:20" x14ac:dyDescent="0.3">
      <c r="A910">
        <v>909</v>
      </c>
      <c r="B910" s="11">
        <v>45447</v>
      </c>
      <c r="C910">
        <v>112</v>
      </c>
      <c r="D910" t="str">
        <f>_xlfn.XLOOKUP(order[[#This Row],[customer_id]],customer[customer_id],customer[customer_name])</f>
        <v>Siddharth Jain</v>
      </c>
      <c r="E910">
        <v>206</v>
      </c>
      <c r="F910">
        <v>2</v>
      </c>
      <c r="G910">
        <v>24055</v>
      </c>
      <c r="H910">
        <v>2538</v>
      </c>
      <c r="I910" t="s">
        <v>11</v>
      </c>
      <c r="J910" t="s">
        <v>14</v>
      </c>
      <c r="K910" t="str">
        <f>_xlfn.XLOOKUP(order[[#This Row],[customer_id]],customer[customer_id],customer[city])</f>
        <v>Mumbai</v>
      </c>
      <c r="L910" t="str">
        <f>_xlfn.XLOOKUP(order[[#This Row],[customer_id]],customer[customer_id],customer[state])</f>
        <v>Maharashtra</v>
      </c>
      <c r="M910" t="str">
        <f>_xlfn.XLOOKUP(order[[#This Row],[product_id]],products!$A$2:$A$11,products!$B$2:$B$11)</f>
        <v>Philips Air Fryer</v>
      </c>
      <c r="N910" s="3" t="str">
        <f>_xlfn.XLOOKUP(order[[#This Row],[product_id]],products!$A$2:$A$11,products!$C$2:$C$11)</f>
        <v>Home &amp; Kitchen</v>
      </c>
      <c r="O910" s="3">
        <f>_xlfn.XLOOKUP(order[[#This Row],[product_id]],Table4[product_id],Table4[cost_price])</f>
        <v>7000</v>
      </c>
      <c r="P910" s="11">
        <f>_xlfn.XLOOKUP(order[[#This Row],[order_id]],shipment[order_id],shipment[ship_date])</f>
        <v>45374</v>
      </c>
      <c r="Q910" s="11">
        <f>_xlfn.XLOOKUP(order[[#This Row],[order_id]],shipment[order_id],shipment[delivery_date])</f>
        <v>45383</v>
      </c>
      <c r="R910" s="3" t="str">
        <f>_xlfn.XLOOKUP(order[[#This Row],[order_id]],shipment[shipment_id],shipment[courier])</f>
        <v>BlueDart</v>
      </c>
      <c r="S910" s="3">
        <f>order[[#This Row],[selling_price]]-order[[#This Row],[cost_price]]*order[[#This Row],[quantity]]-order[[#This Row],[discount]]</f>
        <v>7517</v>
      </c>
      <c r="T910" s="3">
        <f>order[[#This Row],[quantity]]*order[[#This Row],[selling_price]]</f>
        <v>48110</v>
      </c>
    </row>
    <row r="911" spans="1:20" x14ac:dyDescent="0.3">
      <c r="A911">
        <v>910</v>
      </c>
      <c r="B911" s="11">
        <v>45558</v>
      </c>
      <c r="C911">
        <v>300</v>
      </c>
      <c r="D911" t="str">
        <f>_xlfn.XLOOKUP(order[[#This Row],[customer_id]],customer[customer_id],customer[customer_name])</f>
        <v>Pooja Nair</v>
      </c>
      <c r="E911">
        <v>206</v>
      </c>
      <c r="F911">
        <v>4</v>
      </c>
      <c r="G911">
        <v>52642</v>
      </c>
      <c r="H911">
        <v>3780</v>
      </c>
      <c r="I911" t="s">
        <v>15</v>
      </c>
      <c r="J911" t="s">
        <v>12</v>
      </c>
      <c r="K911" t="str">
        <f>_xlfn.XLOOKUP(order[[#This Row],[customer_id]],customer[customer_id],customer[city])</f>
        <v>Bangalore</v>
      </c>
      <c r="L911" t="str">
        <f>_xlfn.XLOOKUP(order[[#This Row],[customer_id]],customer[customer_id],customer[state])</f>
        <v>Karnataka</v>
      </c>
      <c r="M911" t="str">
        <f>_xlfn.XLOOKUP(order[[#This Row],[product_id]],products!$A$2:$A$11,products!$B$2:$B$11)</f>
        <v>Philips Air Fryer</v>
      </c>
      <c r="N911" s="3" t="str">
        <f>_xlfn.XLOOKUP(order[[#This Row],[product_id]],products!$A$2:$A$11,products!$C$2:$C$11)</f>
        <v>Home &amp; Kitchen</v>
      </c>
      <c r="O911" s="3">
        <f>_xlfn.XLOOKUP(order[[#This Row],[product_id]],Table4[product_id],Table4[cost_price])</f>
        <v>7000</v>
      </c>
      <c r="P911" s="11">
        <f>_xlfn.XLOOKUP(order[[#This Row],[order_id]],shipment[order_id],shipment[ship_date])</f>
        <v>45327</v>
      </c>
      <c r="Q911" s="11">
        <f>_xlfn.XLOOKUP(order[[#This Row],[order_id]],shipment[order_id],shipment[delivery_date])</f>
        <v>45333</v>
      </c>
      <c r="R911" s="3" t="str">
        <f>_xlfn.XLOOKUP(order[[#This Row],[order_id]],shipment[shipment_id],shipment[courier])</f>
        <v>DTDC</v>
      </c>
      <c r="S911" s="3">
        <f>order[[#This Row],[selling_price]]-order[[#This Row],[cost_price]]*order[[#This Row],[quantity]]-order[[#This Row],[discount]]</f>
        <v>20862</v>
      </c>
      <c r="T911" s="3">
        <f>order[[#This Row],[quantity]]*order[[#This Row],[selling_price]]</f>
        <v>210568</v>
      </c>
    </row>
    <row r="912" spans="1:20" x14ac:dyDescent="0.3">
      <c r="A912">
        <v>1058</v>
      </c>
      <c r="B912" s="11">
        <v>45509</v>
      </c>
      <c r="C912">
        <v>250</v>
      </c>
      <c r="D912" t="str">
        <f>_xlfn.XLOOKUP(order[[#This Row],[customer_id]],customer[customer_id],customer[customer_name])</f>
        <v>Vikram Singh</v>
      </c>
      <c r="E912">
        <v>207</v>
      </c>
      <c r="F912">
        <v>2</v>
      </c>
      <c r="G912">
        <v>10239</v>
      </c>
      <c r="H912">
        <v>895</v>
      </c>
      <c r="I912" t="s">
        <v>15</v>
      </c>
      <c r="J912" t="s">
        <v>12</v>
      </c>
      <c r="K912" t="str">
        <f>_xlfn.XLOOKUP(order[[#This Row],[customer_id]],customer[customer_id],customer[city])</f>
        <v>Bangalore</v>
      </c>
      <c r="L912" t="str">
        <f>_xlfn.XLOOKUP(order[[#This Row],[customer_id]],customer[customer_id],customer[state])</f>
        <v>Karnataka</v>
      </c>
      <c r="M912" t="str">
        <f>_xlfn.XLOOKUP(order[[#This Row],[product_id]],products!$A$2:$A$11,products!$B$2:$B$11)</f>
        <v>Sony WH-1000XM4 Headphones</v>
      </c>
      <c r="N912" s="3" t="str">
        <f>_xlfn.XLOOKUP(order[[#This Row],[product_id]],products!$A$2:$A$11,products!$C$2:$C$11)</f>
        <v>Electronics</v>
      </c>
      <c r="O912" s="3">
        <f>_xlfn.XLOOKUP(order[[#This Row],[product_id]],Table4[product_id],Table4[cost_price])</f>
        <v>20000</v>
      </c>
      <c r="P912" s="11">
        <f>_xlfn.XLOOKUP(order[[#This Row],[order_id]],shipment[order_id],shipment[ship_date])</f>
        <v>45632</v>
      </c>
      <c r="Q912" s="11">
        <f>_xlfn.XLOOKUP(order[[#This Row],[order_id]],shipment[order_id],shipment[delivery_date])</f>
        <v>45636</v>
      </c>
      <c r="R912" s="3" t="str">
        <f>_xlfn.XLOOKUP(order[[#This Row],[order_id]],shipment[shipment_id],shipment[courier])</f>
        <v>DTDC</v>
      </c>
      <c r="S912" s="3">
        <f>order[[#This Row],[selling_price]]-order[[#This Row],[cost_price]]*order[[#This Row],[quantity]]-order[[#This Row],[discount]]</f>
        <v>-30656</v>
      </c>
      <c r="T912" s="3">
        <f>order[[#This Row],[quantity]]*order[[#This Row],[selling_price]]</f>
        <v>20478</v>
      </c>
    </row>
    <row r="913" spans="1:20" x14ac:dyDescent="0.3">
      <c r="A913">
        <v>552</v>
      </c>
      <c r="B913" s="11">
        <v>45410</v>
      </c>
      <c r="C913">
        <v>187</v>
      </c>
      <c r="D913" t="str">
        <f>_xlfn.XLOOKUP(order[[#This Row],[customer_id]],customer[customer_id],customer[customer_name])</f>
        <v>Pooja Nair</v>
      </c>
      <c r="E913">
        <v>207</v>
      </c>
      <c r="F913">
        <v>2</v>
      </c>
      <c r="G913">
        <v>23216</v>
      </c>
      <c r="H913">
        <v>785</v>
      </c>
      <c r="I913" t="s">
        <v>11</v>
      </c>
      <c r="J913" t="s">
        <v>12</v>
      </c>
      <c r="K913" t="str">
        <f>_xlfn.XLOOKUP(order[[#This Row],[customer_id]],customer[customer_id],customer[city])</f>
        <v>Ahmedabad</v>
      </c>
      <c r="L913" t="str">
        <f>_xlfn.XLOOKUP(order[[#This Row],[customer_id]],customer[customer_id],customer[state])</f>
        <v>Gujarat</v>
      </c>
      <c r="M913" t="str">
        <f>_xlfn.XLOOKUP(order[[#This Row],[product_id]],products!$A$2:$A$11,products!$B$2:$B$11)</f>
        <v>Sony WH-1000XM4 Headphones</v>
      </c>
      <c r="N913" s="3" t="str">
        <f>_xlfn.XLOOKUP(order[[#This Row],[product_id]],products!$A$2:$A$11,products!$C$2:$C$11)</f>
        <v>Electronics</v>
      </c>
      <c r="O913" s="3">
        <f>_xlfn.XLOOKUP(order[[#This Row],[product_id]],Table4[product_id],Table4[cost_price])</f>
        <v>20000</v>
      </c>
      <c r="P913" s="11">
        <f>_xlfn.XLOOKUP(order[[#This Row],[order_id]],shipment[order_id],shipment[ship_date])</f>
        <v>45426</v>
      </c>
      <c r="Q913" s="11">
        <f>_xlfn.XLOOKUP(order[[#This Row],[order_id]],shipment[order_id],shipment[delivery_date])</f>
        <v>45427</v>
      </c>
      <c r="R913" s="3" t="str">
        <f>_xlfn.XLOOKUP(order[[#This Row],[order_id]],shipment[shipment_id],shipment[courier])</f>
        <v>DTDC</v>
      </c>
      <c r="S913" s="3">
        <f>order[[#This Row],[selling_price]]-order[[#This Row],[cost_price]]*order[[#This Row],[quantity]]-order[[#This Row],[discount]]</f>
        <v>-17569</v>
      </c>
      <c r="T913" s="3">
        <f>order[[#This Row],[quantity]]*order[[#This Row],[selling_price]]</f>
        <v>46432</v>
      </c>
    </row>
    <row r="914" spans="1:20" x14ac:dyDescent="0.3">
      <c r="A914">
        <v>411</v>
      </c>
      <c r="B914" s="11">
        <v>45556</v>
      </c>
      <c r="C914">
        <v>255</v>
      </c>
      <c r="D914" t="str">
        <f>_xlfn.XLOOKUP(order[[#This Row],[customer_id]],customer[customer_id],customer[customer_name])</f>
        <v>Meera Joshi</v>
      </c>
      <c r="E914">
        <v>207</v>
      </c>
      <c r="F914">
        <v>3</v>
      </c>
      <c r="G914">
        <v>51702</v>
      </c>
      <c r="H914">
        <v>762</v>
      </c>
      <c r="I914" t="s">
        <v>9</v>
      </c>
      <c r="J914" t="s">
        <v>10</v>
      </c>
      <c r="K914" t="str">
        <f>_xlfn.XLOOKUP(order[[#This Row],[customer_id]],customer[customer_id],customer[city])</f>
        <v>Ahmedabad</v>
      </c>
      <c r="L914" t="str">
        <f>_xlfn.XLOOKUP(order[[#This Row],[customer_id]],customer[customer_id],customer[state])</f>
        <v>Gujarat</v>
      </c>
      <c r="M914" t="str">
        <f>_xlfn.XLOOKUP(order[[#This Row],[product_id]],products!$A$2:$A$11,products!$B$2:$B$11)</f>
        <v>Sony WH-1000XM4 Headphones</v>
      </c>
      <c r="N914" s="3" t="str">
        <f>_xlfn.XLOOKUP(order[[#This Row],[product_id]],products!$A$2:$A$11,products!$C$2:$C$11)</f>
        <v>Electronics</v>
      </c>
      <c r="O914" s="3">
        <f>_xlfn.XLOOKUP(order[[#This Row],[product_id]],Table4[product_id],Table4[cost_price])</f>
        <v>20000</v>
      </c>
      <c r="P914" s="11">
        <f>_xlfn.XLOOKUP(order[[#This Row],[order_id]],shipment[order_id],shipment[ship_date])</f>
        <v>45450</v>
      </c>
      <c r="Q914" s="11">
        <f>_xlfn.XLOOKUP(order[[#This Row],[order_id]],shipment[order_id],shipment[delivery_date])</f>
        <v>45454</v>
      </c>
      <c r="R914" s="3" t="str">
        <f>_xlfn.XLOOKUP(order[[#This Row],[order_id]],shipment[shipment_id],shipment[courier])</f>
        <v>BlueDart</v>
      </c>
      <c r="S914" s="3">
        <f>order[[#This Row],[selling_price]]-order[[#This Row],[cost_price]]*order[[#This Row],[quantity]]-order[[#This Row],[discount]]</f>
        <v>-9060</v>
      </c>
      <c r="T914" s="3">
        <f>order[[#This Row],[quantity]]*order[[#This Row],[selling_price]]</f>
        <v>155106</v>
      </c>
    </row>
    <row r="915" spans="1:20" x14ac:dyDescent="0.3">
      <c r="A915">
        <v>836</v>
      </c>
      <c r="B915" s="11">
        <v>45524</v>
      </c>
      <c r="C915">
        <v>118</v>
      </c>
      <c r="D915" t="str">
        <f>_xlfn.XLOOKUP(order[[#This Row],[customer_id]],customer[customer_id],customer[customer_name])</f>
        <v>Ananya Gupta</v>
      </c>
      <c r="E915">
        <v>207</v>
      </c>
      <c r="F915">
        <v>2</v>
      </c>
      <c r="G915">
        <v>27100</v>
      </c>
      <c r="H915">
        <v>620</v>
      </c>
      <c r="I915" t="s">
        <v>11</v>
      </c>
      <c r="J915" t="s">
        <v>12</v>
      </c>
      <c r="K915" t="str">
        <f>_xlfn.XLOOKUP(order[[#This Row],[customer_id]],customer[customer_id],customer[city])</f>
        <v>Pune</v>
      </c>
      <c r="L915" t="str">
        <f>_xlfn.XLOOKUP(order[[#This Row],[customer_id]],customer[customer_id],customer[state])</f>
        <v>Maharashtra</v>
      </c>
      <c r="M915" t="str">
        <f>_xlfn.XLOOKUP(order[[#This Row],[product_id]],products!$A$2:$A$11,products!$B$2:$B$11)</f>
        <v>Sony WH-1000XM4 Headphones</v>
      </c>
      <c r="N915" s="3" t="str">
        <f>_xlfn.XLOOKUP(order[[#This Row],[product_id]],products!$A$2:$A$11,products!$C$2:$C$11)</f>
        <v>Electronics</v>
      </c>
      <c r="O915" s="3">
        <f>_xlfn.XLOOKUP(order[[#This Row],[product_id]],Table4[product_id],Table4[cost_price])</f>
        <v>20000</v>
      </c>
      <c r="P915" s="11">
        <f>_xlfn.XLOOKUP(order[[#This Row],[order_id]],shipment[order_id],shipment[ship_date])</f>
        <v>45459</v>
      </c>
      <c r="Q915" s="11">
        <f>_xlfn.XLOOKUP(order[[#This Row],[order_id]],shipment[order_id],shipment[delivery_date])</f>
        <v>45464</v>
      </c>
      <c r="R915" s="3" t="str">
        <f>_xlfn.XLOOKUP(order[[#This Row],[order_id]],shipment[shipment_id],shipment[courier])</f>
        <v>Delhivery</v>
      </c>
      <c r="S915" s="3">
        <f>order[[#This Row],[selling_price]]-order[[#This Row],[cost_price]]*order[[#This Row],[quantity]]-order[[#This Row],[discount]]</f>
        <v>-13520</v>
      </c>
      <c r="T915" s="3">
        <f>order[[#This Row],[quantity]]*order[[#This Row],[selling_price]]</f>
        <v>54200</v>
      </c>
    </row>
    <row r="916" spans="1:20" x14ac:dyDescent="0.3">
      <c r="A916">
        <v>108</v>
      </c>
      <c r="B916" s="11">
        <v>45634</v>
      </c>
      <c r="C916">
        <v>119</v>
      </c>
      <c r="D916" t="str">
        <f>_xlfn.XLOOKUP(order[[#This Row],[customer_id]],customer[customer_id],customer[customer_name])</f>
        <v>Pooja Nair</v>
      </c>
      <c r="E916">
        <v>207</v>
      </c>
      <c r="F916">
        <v>2</v>
      </c>
      <c r="G916">
        <v>37491</v>
      </c>
      <c r="H916">
        <v>619</v>
      </c>
      <c r="I916" t="s">
        <v>13</v>
      </c>
      <c r="J916" t="s">
        <v>12</v>
      </c>
      <c r="K916" t="str">
        <f>_xlfn.XLOOKUP(order[[#This Row],[customer_id]],customer[customer_id],customer[city])</f>
        <v>Bangalore</v>
      </c>
      <c r="L916" t="str">
        <f>_xlfn.XLOOKUP(order[[#This Row],[customer_id]],customer[customer_id],customer[state])</f>
        <v>Karnataka</v>
      </c>
      <c r="M916" t="str">
        <f>_xlfn.XLOOKUP(order[[#This Row],[product_id]],products!$A$2:$A$11,products!$B$2:$B$11)</f>
        <v>Sony WH-1000XM4 Headphones</v>
      </c>
      <c r="N916" s="3" t="str">
        <f>_xlfn.XLOOKUP(order[[#This Row],[product_id]],products!$A$2:$A$11,products!$C$2:$C$11)</f>
        <v>Electronics</v>
      </c>
      <c r="O916" s="3">
        <f>_xlfn.XLOOKUP(order[[#This Row],[product_id]],Table4[product_id],Table4[cost_price])</f>
        <v>20000</v>
      </c>
      <c r="P916" s="11">
        <f>_xlfn.XLOOKUP(order[[#This Row],[order_id]],shipment[order_id],shipment[ship_date])</f>
        <v>45458</v>
      </c>
      <c r="Q916" s="11">
        <f>_xlfn.XLOOKUP(order[[#This Row],[order_id]],shipment[order_id],shipment[delivery_date])</f>
        <v>45467</v>
      </c>
      <c r="R916" s="3" t="str">
        <f>_xlfn.XLOOKUP(order[[#This Row],[order_id]],shipment[shipment_id],shipment[courier])</f>
        <v>Ekart</v>
      </c>
      <c r="S916" s="3">
        <f>order[[#This Row],[selling_price]]-order[[#This Row],[cost_price]]*order[[#This Row],[quantity]]-order[[#This Row],[discount]]</f>
        <v>-3128</v>
      </c>
      <c r="T916" s="3">
        <f>order[[#This Row],[quantity]]*order[[#This Row],[selling_price]]</f>
        <v>74982</v>
      </c>
    </row>
    <row r="917" spans="1:20" x14ac:dyDescent="0.3">
      <c r="A917">
        <v>916</v>
      </c>
      <c r="B917" s="11">
        <v>45458</v>
      </c>
      <c r="C917">
        <v>300</v>
      </c>
      <c r="D917" t="str">
        <f>_xlfn.XLOOKUP(order[[#This Row],[customer_id]],customer[customer_id],customer[customer_name])</f>
        <v>Pooja Nair</v>
      </c>
      <c r="E917">
        <v>209</v>
      </c>
      <c r="F917">
        <v>3</v>
      </c>
      <c r="G917">
        <v>31934</v>
      </c>
      <c r="H917">
        <v>4339</v>
      </c>
      <c r="I917" t="s">
        <v>11</v>
      </c>
      <c r="J917" t="s">
        <v>10</v>
      </c>
      <c r="K917" t="str">
        <f>_xlfn.XLOOKUP(order[[#This Row],[customer_id]],customer[customer_id],customer[city])</f>
        <v>Bangalore</v>
      </c>
      <c r="L917" t="str">
        <f>_xlfn.XLOOKUP(order[[#This Row],[customer_id]],customer[customer_id],customer[state])</f>
        <v>Karnataka</v>
      </c>
      <c r="M917" t="str">
        <f>_xlfn.XLOOKUP(order[[#This Row],[product_id]],products!$A$2:$A$11,products!$B$2:$B$11)</f>
        <v>Milton Thermosteel Bottle</v>
      </c>
      <c r="N917" s="3" t="str">
        <f>_xlfn.XLOOKUP(order[[#This Row],[product_id]],products!$A$2:$A$11,products!$C$2:$C$11)</f>
        <v>Home &amp; Kitchen</v>
      </c>
      <c r="O917" s="3">
        <f>_xlfn.XLOOKUP(order[[#This Row],[product_id]],Table4[product_id],Table4[cost_price])</f>
        <v>800</v>
      </c>
      <c r="P917" s="11">
        <f>_xlfn.XLOOKUP(order[[#This Row],[order_id]],shipment[order_id],shipment[ship_date])</f>
        <v>45453</v>
      </c>
      <c r="Q917" s="11">
        <f>_xlfn.XLOOKUP(order[[#This Row],[order_id]],shipment[order_id],shipment[delivery_date])</f>
        <v>45455</v>
      </c>
      <c r="R917" s="3" t="str">
        <f>_xlfn.XLOOKUP(order[[#This Row],[order_id]],shipment[shipment_id],shipment[courier])</f>
        <v>Delhivery</v>
      </c>
      <c r="S917" s="3">
        <f>order[[#This Row],[selling_price]]-order[[#This Row],[cost_price]]*order[[#This Row],[quantity]]-order[[#This Row],[discount]]</f>
        <v>25195</v>
      </c>
      <c r="T917" s="3">
        <f>order[[#This Row],[quantity]]*order[[#This Row],[selling_price]]</f>
        <v>95802</v>
      </c>
    </row>
    <row r="918" spans="1:20" x14ac:dyDescent="0.3">
      <c r="A918">
        <v>917</v>
      </c>
      <c r="B918" s="11">
        <v>45630</v>
      </c>
      <c r="C918">
        <v>131</v>
      </c>
      <c r="D918" t="str">
        <f>_xlfn.XLOOKUP(order[[#This Row],[customer_id]],customer[customer_id],customer[customer_name])</f>
        <v>Siddharth Jain</v>
      </c>
      <c r="E918">
        <v>204</v>
      </c>
      <c r="F918">
        <v>1</v>
      </c>
      <c r="G918">
        <v>25929</v>
      </c>
      <c r="H918">
        <v>2553</v>
      </c>
      <c r="I918" t="s">
        <v>11</v>
      </c>
      <c r="J918" t="s">
        <v>12</v>
      </c>
      <c r="K918" t="str">
        <f>_xlfn.XLOOKUP(order[[#This Row],[customer_id]],customer[customer_id],customer[city])</f>
        <v>Mumbai</v>
      </c>
      <c r="L918" t="str">
        <f>_xlfn.XLOOKUP(order[[#This Row],[customer_id]],customer[customer_id],customer[state])</f>
        <v>Maharashtra</v>
      </c>
      <c r="M918" t="str">
        <f>_xlfn.XLOOKUP(order[[#This Row],[product_id]],products!$A$2:$A$11,products!$B$2:$B$11)</f>
        <v>Levi's Slim Fit Jeans</v>
      </c>
      <c r="N918" s="3" t="str">
        <f>_xlfn.XLOOKUP(order[[#This Row],[product_id]],products!$A$2:$A$11,products!$C$2:$C$11)</f>
        <v>Fashion</v>
      </c>
      <c r="O918" s="3">
        <f>_xlfn.XLOOKUP(order[[#This Row],[product_id]],Table4[product_id],Table4[cost_price])</f>
        <v>1800</v>
      </c>
      <c r="P918" s="11">
        <f>_xlfn.XLOOKUP(order[[#This Row],[order_id]],shipment[order_id],shipment[ship_date])</f>
        <v>45636</v>
      </c>
      <c r="Q918" s="11">
        <f>_xlfn.XLOOKUP(order[[#This Row],[order_id]],shipment[order_id],shipment[delivery_date])</f>
        <v>45638</v>
      </c>
      <c r="R918" s="3" t="str">
        <f>_xlfn.XLOOKUP(order[[#This Row],[order_id]],shipment[shipment_id],shipment[courier])</f>
        <v>DTDC</v>
      </c>
      <c r="S918" s="3">
        <f>order[[#This Row],[selling_price]]-order[[#This Row],[cost_price]]*order[[#This Row],[quantity]]-order[[#This Row],[discount]]</f>
        <v>21576</v>
      </c>
      <c r="T918" s="3">
        <f>order[[#This Row],[quantity]]*order[[#This Row],[selling_price]]</f>
        <v>25929</v>
      </c>
    </row>
    <row r="919" spans="1:20" x14ac:dyDescent="0.3">
      <c r="A919">
        <v>918</v>
      </c>
      <c r="B919" s="11">
        <v>45642</v>
      </c>
      <c r="C919">
        <v>108</v>
      </c>
      <c r="D919" t="str">
        <f>_xlfn.XLOOKUP(order[[#This Row],[customer_id]],customer[customer_id],customer[customer_name])</f>
        <v>Arjun Nair</v>
      </c>
      <c r="E919">
        <v>209</v>
      </c>
      <c r="F919">
        <v>3</v>
      </c>
      <c r="G919">
        <v>51964</v>
      </c>
      <c r="H919">
        <v>2685</v>
      </c>
      <c r="I919" t="s">
        <v>15</v>
      </c>
      <c r="J919" t="s">
        <v>14</v>
      </c>
      <c r="K919" t="str">
        <f>_xlfn.XLOOKUP(order[[#This Row],[customer_id]],customer[customer_id],customer[city])</f>
        <v>Ahmedabad</v>
      </c>
      <c r="L919" t="str">
        <f>_xlfn.XLOOKUP(order[[#This Row],[customer_id]],customer[customer_id],customer[state])</f>
        <v>Gujarat</v>
      </c>
      <c r="M919" t="str">
        <f>_xlfn.XLOOKUP(order[[#This Row],[product_id]],products!$A$2:$A$11,products!$B$2:$B$11)</f>
        <v>Milton Thermosteel Bottle</v>
      </c>
      <c r="N919" s="3" t="str">
        <f>_xlfn.XLOOKUP(order[[#This Row],[product_id]],products!$A$2:$A$11,products!$C$2:$C$11)</f>
        <v>Home &amp; Kitchen</v>
      </c>
      <c r="O919" s="3">
        <f>_xlfn.XLOOKUP(order[[#This Row],[product_id]],Table4[product_id],Table4[cost_price])</f>
        <v>800</v>
      </c>
      <c r="P919" s="11">
        <f>_xlfn.XLOOKUP(order[[#This Row],[order_id]],shipment[order_id],shipment[ship_date])</f>
        <v>45548</v>
      </c>
      <c r="Q919" s="11">
        <f>_xlfn.XLOOKUP(order[[#This Row],[order_id]],shipment[order_id],shipment[delivery_date])</f>
        <v>45557</v>
      </c>
      <c r="R919" s="3" t="str">
        <f>_xlfn.XLOOKUP(order[[#This Row],[order_id]],shipment[shipment_id],shipment[courier])</f>
        <v>Ekart</v>
      </c>
      <c r="S919" s="3">
        <f>order[[#This Row],[selling_price]]-order[[#This Row],[cost_price]]*order[[#This Row],[quantity]]-order[[#This Row],[discount]]</f>
        <v>46879</v>
      </c>
      <c r="T919" s="3">
        <f>order[[#This Row],[quantity]]*order[[#This Row],[selling_price]]</f>
        <v>155892</v>
      </c>
    </row>
    <row r="920" spans="1:20" x14ac:dyDescent="0.3">
      <c r="A920">
        <v>798</v>
      </c>
      <c r="B920" s="11">
        <v>45570</v>
      </c>
      <c r="C920">
        <v>206</v>
      </c>
      <c r="D920" t="str">
        <f>_xlfn.XLOOKUP(order[[#This Row],[customer_id]],customer[customer_id],customer[customer_name])</f>
        <v>Ananya Gupta</v>
      </c>
      <c r="E920">
        <v>207</v>
      </c>
      <c r="F920">
        <v>1</v>
      </c>
      <c r="G920">
        <v>13676</v>
      </c>
      <c r="H920">
        <v>607</v>
      </c>
      <c r="I920" t="s">
        <v>13</v>
      </c>
      <c r="J920" t="s">
        <v>14</v>
      </c>
      <c r="K920" t="str">
        <f>_xlfn.XLOOKUP(order[[#This Row],[customer_id]],customer[customer_id],customer[city])</f>
        <v>Chennai</v>
      </c>
      <c r="L920" t="str">
        <f>_xlfn.XLOOKUP(order[[#This Row],[customer_id]],customer[customer_id],customer[state])</f>
        <v>Tamil Nadu</v>
      </c>
      <c r="M920" t="str">
        <f>_xlfn.XLOOKUP(order[[#This Row],[product_id]],products!$A$2:$A$11,products!$B$2:$B$11)</f>
        <v>Sony WH-1000XM4 Headphones</v>
      </c>
      <c r="N920" s="3" t="str">
        <f>_xlfn.XLOOKUP(order[[#This Row],[product_id]],products!$A$2:$A$11,products!$C$2:$C$11)</f>
        <v>Electronics</v>
      </c>
      <c r="O920" s="3">
        <f>_xlfn.XLOOKUP(order[[#This Row],[product_id]],Table4[product_id],Table4[cost_price])</f>
        <v>20000</v>
      </c>
      <c r="P920" s="11">
        <f>_xlfn.XLOOKUP(order[[#This Row],[order_id]],shipment[order_id],shipment[ship_date])</f>
        <v>45374</v>
      </c>
      <c r="Q920" s="11">
        <f>_xlfn.XLOOKUP(order[[#This Row],[order_id]],shipment[order_id],shipment[delivery_date])</f>
        <v>45384</v>
      </c>
      <c r="R920" s="3" t="str">
        <f>_xlfn.XLOOKUP(order[[#This Row],[order_id]],shipment[shipment_id],shipment[courier])</f>
        <v>DTDC</v>
      </c>
      <c r="S920" s="3">
        <f>order[[#This Row],[selling_price]]-order[[#This Row],[cost_price]]*order[[#This Row],[quantity]]-order[[#This Row],[discount]]</f>
        <v>-6931</v>
      </c>
      <c r="T920" s="3">
        <f>order[[#This Row],[quantity]]*order[[#This Row],[selling_price]]</f>
        <v>13676</v>
      </c>
    </row>
    <row r="921" spans="1:20" x14ac:dyDescent="0.3">
      <c r="A921">
        <v>920</v>
      </c>
      <c r="B921" s="11">
        <v>45367</v>
      </c>
      <c r="C921">
        <v>253</v>
      </c>
      <c r="D921" t="str">
        <f>_xlfn.XLOOKUP(order[[#This Row],[customer_id]],customer[customer_id],customer[customer_name])</f>
        <v>Neha Kapoor</v>
      </c>
      <c r="E921">
        <v>204</v>
      </c>
      <c r="F921">
        <v>3</v>
      </c>
      <c r="G921">
        <v>8435</v>
      </c>
      <c r="H921">
        <v>1525</v>
      </c>
      <c r="I921" t="s">
        <v>11</v>
      </c>
      <c r="J921" t="s">
        <v>10</v>
      </c>
      <c r="K921" t="str">
        <f>_xlfn.XLOOKUP(order[[#This Row],[customer_id]],customer[customer_id],customer[city])</f>
        <v>Mumbai</v>
      </c>
      <c r="L921" t="str">
        <f>_xlfn.XLOOKUP(order[[#This Row],[customer_id]],customer[customer_id],customer[state])</f>
        <v>Maharashtra</v>
      </c>
      <c r="M921" t="str">
        <f>_xlfn.XLOOKUP(order[[#This Row],[product_id]],products!$A$2:$A$11,products!$B$2:$B$11)</f>
        <v>Levi's Slim Fit Jeans</v>
      </c>
      <c r="N921" s="3" t="str">
        <f>_xlfn.XLOOKUP(order[[#This Row],[product_id]],products!$A$2:$A$11,products!$C$2:$C$11)</f>
        <v>Fashion</v>
      </c>
      <c r="O921" s="3">
        <f>_xlfn.XLOOKUP(order[[#This Row],[product_id]],Table4[product_id],Table4[cost_price])</f>
        <v>1800</v>
      </c>
      <c r="P921" s="11">
        <f>_xlfn.XLOOKUP(order[[#This Row],[order_id]],shipment[order_id],shipment[ship_date])</f>
        <v>45465</v>
      </c>
      <c r="Q921" s="11">
        <f>_xlfn.XLOOKUP(order[[#This Row],[order_id]],shipment[order_id],shipment[delivery_date])</f>
        <v>45469</v>
      </c>
      <c r="R921" s="3" t="str">
        <f>_xlfn.XLOOKUP(order[[#This Row],[order_id]],shipment[shipment_id],shipment[courier])</f>
        <v>DTDC</v>
      </c>
      <c r="S921" s="3">
        <f>order[[#This Row],[selling_price]]-order[[#This Row],[cost_price]]*order[[#This Row],[quantity]]-order[[#This Row],[discount]]</f>
        <v>1510</v>
      </c>
      <c r="T921" s="3">
        <f>order[[#This Row],[quantity]]*order[[#This Row],[selling_price]]</f>
        <v>25305</v>
      </c>
    </row>
    <row r="922" spans="1:20" x14ac:dyDescent="0.3">
      <c r="A922">
        <v>921</v>
      </c>
      <c r="B922" s="11">
        <v>45600</v>
      </c>
      <c r="C922">
        <v>209</v>
      </c>
      <c r="D922" t="str">
        <f>_xlfn.XLOOKUP(order[[#This Row],[customer_id]],customer[customer_id],customer[customer_name])</f>
        <v>Neha Kapoor</v>
      </c>
      <c r="E922">
        <v>205</v>
      </c>
      <c r="F922">
        <v>4</v>
      </c>
      <c r="G922">
        <v>20441</v>
      </c>
      <c r="H922">
        <v>2449</v>
      </c>
      <c r="I922" t="s">
        <v>11</v>
      </c>
      <c r="J922" t="s">
        <v>10</v>
      </c>
      <c r="K922" t="str">
        <f>_xlfn.XLOOKUP(order[[#This Row],[customer_id]],customer[customer_id],customer[city])</f>
        <v>Mumbai</v>
      </c>
      <c r="L922" t="str">
        <f>_xlfn.XLOOKUP(order[[#This Row],[customer_id]],customer[customer_id],customer[state])</f>
        <v>Maharashtra</v>
      </c>
      <c r="M922" t="str">
        <f>_xlfn.XLOOKUP(order[[#This Row],[product_id]],products!$A$2:$A$11,products!$B$2:$B$11)</f>
        <v>Prestige Pressure Cooker 5L</v>
      </c>
      <c r="N922" s="3" t="str">
        <f>_xlfn.XLOOKUP(order[[#This Row],[product_id]],products!$A$2:$A$11,products!$C$2:$C$11)</f>
        <v>Home &amp; Kitchen</v>
      </c>
      <c r="O922" s="3">
        <f>_xlfn.XLOOKUP(order[[#This Row],[product_id]],Table4[product_id],Table4[cost_price])</f>
        <v>1200</v>
      </c>
      <c r="P922" s="11">
        <f>_xlfn.XLOOKUP(order[[#This Row],[order_id]],shipment[order_id],shipment[ship_date])</f>
        <v>45338</v>
      </c>
      <c r="Q922" s="11">
        <f>_xlfn.XLOOKUP(order[[#This Row],[order_id]],shipment[order_id],shipment[delivery_date])</f>
        <v>45342</v>
      </c>
      <c r="R922" s="3" t="str">
        <f>_xlfn.XLOOKUP(order[[#This Row],[order_id]],shipment[shipment_id],shipment[courier])</f>
        <v>Ekart</v>
      </c>
      <c r="S922" s="3">
        <f>order[[#This Row],[selling_price]]-order[[#This Row],[cost_price]]*order[[#This Row],[quantity]]-order[[#This Row],[discount]]</f>
        <v>13192</v>
      </c>
      <c r="T922" s="3">
        <f>order[[#This Row],[quantity]]*order[[#This Row],[selling_price]]</f>
        <v>81764</v>
      </c>
    </row>
    <row r="923" spans="1:20" x14ac:dyDescent="0.3">
      <c r="A923">
        <v>477</v>
      </c>
      <c r="B923" s="11">
        <v>45361</v>
      </c>
      <c r="C923">
        <v>297</v>
      </c>
      <c r="D923" t="str">
        <f>_xlfn.XLOOKUP(order[[#This Row],[customer_id]],customer[customer_id],customer[customer_name])</f>
        <v>Meera Joshi</v>
      </c>
      <c r="E923">
        <v>207</v>
      </c>
      <c r="F923">
        <v>4</v>
      </c>
      <c r="G923">
        <v>60219</v>
      </c>
      <c r="H923">
        <v>514</v>
      </c>
      <c r="I923" t="s">
        <v>11</v>
      </c>
      <c r="J923" t="s">
        <v>12</v>
      </c>
      <c r="K923" t="str">
        <f>_xlfn.XLOOKUP(order[[#This Row],[customer_id]],customer[customer_id],customer[city])</f>
        <v>Bangalore</v>
      </c>
      <c r="L923" t="str">
        <f>_xlfn.XLOOKUP(order[[#This Row],[customer_id]],customer[customer_id],customer[state])</f>
        <v>Karnataka</v>
      </c>
      <c r="M923" t="str">
        <f>_xlfn.XLOOKUP(order[[#This Row],[product_id]],products!$A$2:$A$11,products!$B$2:$B$11)</f>
        <v>Sony WH-1000XM4 Headphones</v>
      </c>
      <c r="N923" s="3" t="str">
        <f>_xlfn.XLOOKUP(order[[#This Row],[product_id]],products!$A$2:$A$11,products!$C$2:$C$11)</f>
        <v>Electronics</v>
      </c>
      <c r="O923" s="3">
        <f>_xlfn.XLOOKUP(order[[#This Row],[product_id]],Table4[product_id],Table4[cost_price])</f>
        <v>20000</v>
      </c>
      <c r="P923" s="11">
        <f>_xlfn.XLOOKUP(order[[#This Row],[order_id]],shipment[order_id],shipment[ship_date])</f>
        <v>45422</v>
      </c>
      <c r="Q923" s="11">
        <f>_xlfn.XLOOKUP(order[[#This Row],[order_id]],shipment[order_id],shipment[delivery_date])</f>
        <v>45429</v>
      </c>
      <c r="R923" s="3" t="str">
        <f>_xlfn.XLOOKUP(order[[#This Row],[order_id]],shipment[shipment_id],shipment[courier])</f>
        <v>Ekart</v>
      </c>
      <c r="S923" s="3">
        <f>order[[#This Row],[selling_price]]-order[[#This Row],[cost_price]]*order[[#This Row],[quantity]]-order[[#This Row],[discount]]</f>
        <v>-20295</v>
      </c>
      <c r="T923" s="3">
        <f>order[[#This Row],[quantity]]*order[[#This Row],[selling_price]]</f>
        <v>240876</v>
      </c>
    </row>
    <row r="924" spans="1:20" x14ac:dyDescent="0.3">
      <c r="A924">
        <v>648</v>
      </c>
      <c r="B924" s="11">
        <v>45323</v>
      </c>
      <c r="C924">
        <v>156</v>
      </c>
      <c r="D924" t="str">
        <f>_xlfn.XLOOKUP(order[[#This Row],[customer_id]],customer[customer_id],customer[customer_name])</f>
        <v>Arjun Nair</v>
      </c>
      <c r="E924">
        <v>207</v>
      </c>
      <c r="F924">
        <v>4</v>
      </c>
      <c r="G924">
        <v>14181</v>
      </c>
      <c r="H924">
        <v>329</v>
      </c>
      <c r="I924" t="s">
        <v>13</v>
      </c>
      <c r="J924" t="s">
        <v>10</v>
      </c>
      <c r="K924" t="str">
        <f>_xlfn.XLOOKUP(order[[#This Row],[customer_id]],customer[customer_id],customer[city])</f>
        <v>Bangalore</v>
      </c>
      <c r="L924" t="str">
        <f>_xlfn.XLOOKUP(order[[#This Row],[customer_id]],customer[customer_id],customer[state])</f>
        <v>Karnataka</v>
      </c>
      <c r="M924" t="str">
        <f>_xlfn.XLOOKUP(order[[#This Row],[product_id]],products!$A$2:$A$11,products!$B$2:$B$11)</f>
        <v>Sony WH-1000XM4 Headphones</v>
      </c>
      <c r="N924" s="3" t="str">
        <f>_xlfn.XLOOKUP(order[[#This Row],[product_id]],products!$A$2:$A$11,products!$C$2:$C$11)</f>
        <v>Electronics</v>
      </c>
      <c r="O924" s="3">
        <f>_xlfn.XLOOKUP(order[[#This Row],[product_id]],Table4[product_id],Table4[cost_price])</f>
        <v>20000</v>
      </c>
      <c r="P924" s="11">
        <f>_xlfn.XLOOKUP(order[[#This Row],[order_id]],shipment[order_id],shipment[ship_date])</f>
        <v>45501</v>
      </c>
      <c r="Q924" s="11">
        <f>_xlfn.XLOOKUP(order[[#This Row],[order_id]],shipment[order_id],shipment[delivery_date])</f>
        <v>45507</v>
      </c>
      <c r="R924" s="3" t="str">
        <f>_xlfn.XLOOKUP(order[[#This Row],[order_id]],shipment[shipment_id],shipment[courier])</f>
        <v>Delhivery</v>
      </c>
      <c r="S924" s="3">
        <f>order[[#This Row],[selling_price]]-order[[#This Row],[cost_price]]*order[[#This Row],[quantity]]-order[[#This Row],[discount]]</f>
        <v>-66148</v>
      </c>
      <c r="T924" s="3">
        <f>order[[#This Row],[quantity]]*order[[#This Row],[selling_price]]</f>
        <v>56724</v>
      </c>
    </row>
    <row r="925" spans="1:20" x14ac:dyDescent="0.3">
      <c r="A925">
        <v>1152</v>
      </c>
      <c r="B925" s="11">
        <v>45479</v>
      </c>
      <c r="C925">
        <v>102</v>
      </c>
      <c r="D925" t="str">
        <f>_xlfn.XLOOKUP(order[[#This Row],[customer_id]],customer[customer_id],customer[customer_name])</f>
        <v>Aarav Sharma</v>
      </c>
      <c r="E925">
        <v>207</v>
      </c>
      <c r="F925">
        <v>4</v>
      </c>
      <c r="G925">
        <v>24875</v>
      </c>
      <c r="H925">
        <v>326</v>
      </c>
      <c r="I925" t="s">
        <v>9</v>
      </c>
      <c r="J925" t="s">
        <v>14</v>
      </c>
      <c r="K925" t="str">
        <f>_xlfn.XLOOKUP(order[[#This Row],[customer_id]],customer[customer_id],customer[city])</f>
        <v>Delhi</v>
      </c>
      <c r="L925" t="str">
        <f>_xlfn.XLOOKUP(order[[#This Row],[customer_id]],customer[customer_id],customer[state])</f>
        <v>Delhi</v>
      </c>
      <c r="M925" t="str">
        <f>_xlfn.XLOOKUP(order[[#This Row],[product_id]],products!$A$2:$A$11,products!$B$2:$B$11)</f>
        <v>Sony WH-1000XM4 Headphones</v>
      </c>
      <c r="N925" s="3" t="str">
        <f>_xlfn.XLOOKUP(order[[#This Row],[product_id]],products!$A$2:$A$11,products!$C$2:$C$11)</f>
        <v>Electronics</v>
      </c>
      <c r="O925" s="3">
        <f>_xlfn.XLOOKUP(order[[#This Row],[product_id]],Table4[product_id],Table4[cost_price])</f>
        <v>20000</v>
      </c>
      <c r="P925" s="11">
        <f>_xlfn.XLOOKUP(order[[#This Row],[order_id]],shipment[order_id],shipment[ship_date])</f>
        <v>45432</v>
      </c>
      <c r="Q925" s="11">
        <f>_xlfn.XLOOKUP(order[[#This Row],[order_id]],shipment[order_id],shipment[delivery_date])</f>
        <v>45434</v>
      </c>
      <c r="R925" s="3" t="str">
        <f>_xlfn.XLOOKUP(order[[#This Row],[order_id]],shipment[shipment_id],shipment[courier])</f>
        <v>DTDC</v>
      </c>
      <c r="S925" s="3">
        <f>order[[#This Row],[selling_price]]-order[[#This Row],[cost_price]]*order[[#This Row],[quantity]]-order[[#This Row],[discount]]</f>
        <v>-55451</v>
      </c>
      <c r="T925" s="3">
        <f>order[[#This Row],[quantity]]*order[[#This Row],[selling_price]]</f>
        <v>99500</v>
      </c>
    </row>
    <row r="926" spans="1:20" x14ac:dyDescent="0.3">
      <c r="A926">
        <v>925</v>
      </c>
      <c r="B926" s="11">
        <v>45380</v>
      </c>
      <c r="C926">
        <v>286</v>
      </c>
      <c r="D926" t="str">
        <f>_xlfn.XLOOKUP(order[[#This Row],[customer_id]],customer[customer_id],customer[customer_name])</f>
        <v>Arjun Nair</v>
      </c>
      <c r="E926">
        <v>208</v>
      </c>
      <c r="F926">
        <v>4</v>
      </c>
      <c r="G926">
        <v>64364</v>
      </c>
      <c r="H926">
        <v>4804</v>
      </c>
      <c r="I926" t="s">
        <v>15</v>
      </c>
      <c r="J926" t="s">
        <v>12</v>
      </c>
      <c r="K926" t="str">
        <f>_xlfn.XLOOKUP(order[[#This Row],[customer_id]],customer[customer_id],customer[city])</f>
        <v>Hyderabad</v>
      </c>
      <c r="L926" t="str">
        <f>_xlfn.XLOOKUP(order[[#This Row],[customer_id]],customer[customer_id],customer[state])</f>
        <v>Telangana</v>
      </c>
      <c r="M926" t="str">
        <f>_xlfn.XLOOKUP(order[[#This Row],[product_id]],products!$A$2:$A$11,products!$B$2:$B$11)</f>
        <v>Adidas Ultraboost Shoes</v>
      </c>
      <c r="N926" s="3" t="str">
        <f>_xlfn.XLOOKUP(order[[#This Row],[product_id]],products!$A$2:$A$11,products!$C$2:$C$11)</f>
        <v>Fashion</v>
      </c>
      <c r="O926" s="3">
        <f>_xlfn.XLOOKUP(order[[#This Row],[product_id]],Table4[product_id],Table4[cost_price])</f>
        <v>9000</v>
      </c>
      <c r="P926" s="11">
        <f>_xlfn.XLOOKUP(order[[#This Row],[order_id]],shipment[order_id],shipment[ship_date])</f>
        <v>45638</v>
      </c>
      <c r="Q926" s="11">
        <f>_xlfn.XLOOKUP(order[[#This Row],[order_id]],shipment[order_id],shipment[delivery_date])</f>
        <v>45648</v>
      </c>
      <c r="R926" s="3" t="str">
        <f>_xlfn.XLOOKUP(order[[#This Row],[order_id]],shipment[shipment_id],shipment[courier])</f>
        <v>BlueDart</v>
      </c>
      <c r="S926" s="3">
        <f>order[[#This Row],[selling_price]]-order[[#This Row],[cost_price]]*order[[#This Row],[quantity]]-order[[#This Row],[discount]]</f>
        <v>23560</v>
      </c>
      <c r="T926" s="3">
        <f>order[[#This Row],[quantity]]*order[[#This Row],[selling_price]]</f>
        <v>257456</v>
      </c>
    </row>
    <row r="927" spans="1:20" x14ac:dyDescent="0.3">
      <c r="A927">
        <v>926</v>
      </c>
      <c r="B927" s="11">
        <v>45533</v>
      </c>
      <c r="C927">
        <v>220</v>
      </c>
      <c r="D927" t="str">
        <f>_xlfn.XLOOKUP(order[[#This Row],[customer_id]],customer[customer_id],customer[customer_name])</f>
        <v>Rahul Mehta</v>
      </c>
      <c r="E927">
        <v>205</v>
      </c>
      <c r="F927">
        <v>2</v>
      </c>
      <c r="G927">
        <v>52056</v>
      </c>
      <c r="H927">
        <v>3195</v>
      </c>
      <c r="I927" t="s">
        <v>9</v>
      </c>
      <c r="J927" t="s">
        <v>12</v>
      </c>
      <c r="K927" t="str">
        <f>_xlfn.XLOOKUP(order[[#This Row],[customer_id]],customer[customer_id],customer[city])</f>
        <v>Chennai</v>
      </c>
      <c r="L927" t="str">
        <f>_xlfn.XLOOKUP(order[[#This Row],[customer_id]],customer[customer_id],customer[state])</f>
        <v>Tamil Nadu</v>
      </c>
      <c r="M927" t="str">
        <f>_xlfn.XLOOKUP(order[[#This Row],[product_id]],products!$A$2:$A$11,products!$B$2:$B$11)</f>
        <v>Prestige Pressure Cooker 5L</v>
      </c>
      <c r="N927" s="3" t="str">
        <f>_xlfn.XLOOKUP(order[[#This Row],[product_id]],products!$A$2:$A$11,products!$C$2:$C$11)</f>
        <v>Home &amp; Kitchen</v>
      </c>
      <c r="O927" s="3">
        <f>_xlfn.XLOOKUP(order[[#This Row],[product_id]],Table4[product_id],Table4[cost_price])</f>
        <v>1200</v>
      </c>
      <c r="P927" s="11">
        <f>_xlfn.XLOOKUP(order[[#This Row],[order_id]],shipment[order_id],shipment[ship_date])</f>
        <v>45308</v>
      </c>
      <c r="Q927" s="11">
        <f>_xlfn.XLOOKUP(order[[#This Row],[order_id]],shipment[order_id],shipment[delivery_date])</f>
        <v>45315</v>
      </c>
      <c r="R927" s="3" t="str">
        <f>_xlfn.XLOOKUP(order[[#This Row],[order_id]],shipment[shipment_id],shipment[courier])</f>
        <v>Ekart</v>
      </c>
      <c r="S927" s="3">
        <f>order[[#This Row],[selling_price]]-order[[#This Row],[cost_price]]*order[[#This Row],[quantity]]-order[[#This Row],[discount]]</f>
        <v>46461</v>
      </c>
      <c r="T927" s="3">
        <f>order[[#This Row],[quantity]]*order[[#This Row],[selling_price]]</f>
        <v>104112</v>
      </c>
    </row>
    <row r="928" spans="1:20" x14ac:dyDescent="0.3">
      <c r="A928">
        <v>927</v>
      </c>
      <c r="B928" s="11">
        <v>45377</v>
      </c>
      <c r="C928">
        <v>155</v>
      </c>
      <c r="D928" t="str">
        <f>_xlfn.XLOOKUP(order[[#This Row],[customer_id]],customer[customer_id],customer[customer_name])</f>
        <v>Siddharth Jain</v>
      </c>
      <c r="E928">
        <v>206</v>
      </c>
      <c r="F928">
        <v>1</v>
      </c>
      <c r="G928">
        <v>41477</v>
      </c>
      <c r="H928">
        <v>4132</v>
      </c>
      <c r="I928" t="s">
        <v>13</v>
      </c>
      <c r="J928" t="s">
        <v>14</v>
      </c>
      <c r="K928" t="str">
        <f>_xlfn.XLOOKUP(order[[#This Row],[customer_id]],customer[customer_id],customer[city])</f>
        <v>Pune</v>
      </c>
      <c r="L928" t="str">
        <f>_xlfn.XLOOKUP(order[[#This Row],[customer_id]],customer[customer_id],customer[state])</f>
        <v>Maharashtra</v>
      </c>
      <c r="M928" t="str">
        <f>_xlfn.XLOOKUP(order[[#This Row],[product_id]],products!$A$2:$A$11,products!$B$2:$B$11)</f>
        <v>Philips Air Fryer</v>
      </c>
      <c r="N928" s="3" t="str">
        <f>_xlfn.XLOOKUP(order[[#This Row],[product_id]],products!$A$2:$A$11,products!$C$2:$C$11)</f>
        <v>Home &amp; Kitchen</v>
      </c>
      <c r="O928" s="3">
        <f>_xlfn.XLOOKUP(order[[#This Row],[product_id]],Table4[product_id],Table4[cost_price])</f>
        <v>7000</v>
      </c>
      <c r="P928" s="11">
        <f>_xlfn.XLOOKUP(order[[#This Row],[order_id]],shipment[order_id],shipment[ship_date])</f>
        <v>45337</v>
      </c>
      <c r="Q928" s="11">
        <f>_xlfn.XLOOKUP(order[[#This Row],[order_id]],shipment[order_id],shipment[delivery_date])</f>
        <v>45345</v>
      </c>
      <c r="R928" s="3" t="str">
        <f>_xlfn.XLOOKUP(order[[#This Row],[order_id]],shipment[shipment_id],shipment[courier])</f>
        <v>DTDC</v>
      </c>
      <c r="S928" s="3">
        <f>order[[#This Row],[selling_price]]-order[[#This Row],[cost_price]]*order[[#This Row],[quantity]]-order[[#This Row],[discount]]</f>
        <v>30345</v>
      </c>
      <c r="T928" s="3">
        <f>order[[#This Row],[quantity]]*order[[#This Row],[selling_price]]</f>
        <v>41477</v>
      </c>
    </row>
    <row r="929" spans="1:20" x14ac:dyDescent="0.3">
      <c r="A929">
        <v>527</v>
      </c>
      <c r="B929" s="11">
        <v>45316</v>
      </c>
      <c r="C929">
        <v>139</v>
      </c>
      <c r="D929" t="str">
        <f>_xlfn.XLOOKUP(order[[#This Row],[customer_id]],customer[customer_id],customer[customer_name])</f>
        <v>Neha Kapoor</v>
      </c>
      <c r="E929">
        <v>207</v>
      </c>
      <c r="F929">
        <v>4</v>
      </c>
      <c r="G929">
        <v>3277</v>
      </c>
      <c r="H929">
        <v>323</v>
      </c>
      <c r="I929" t="s">
        <v>9</v>
      </c>
      <c r="J929" t="s">
        <v>10</v>
      </c>
      <c r="K929" t="str">
        <f>_xlfn.XLOOKUP(order[[#This Row],[customer_id]],customer[customer_id],customer[city])</f>
        <v>Chennai</v>
      </c>
      <c r="L929" t="str">
        <f>_xlfn.XLOOKUP(order[[#This Row],[customer_id]],customer[customer_id],customer[state])</f>
        <v>Tamil Nadu</v>
      </c>
      <c r="M929" t="str">
        <f>_xlfn.XLOOKUP(order[[#This Row],[product_id]],products!$A$2:$A$11,products!$B$2:$B$11)</f>
        <v>Sony WH-1000XM4 Headphones</v>
      </c>
      <c r="N929" s="3" t="str">
        <f>_xlfn.XLOOKUP(order[[#This Row],[product_id]],products!$A$2:$A$11,products!$C$2:$C$11)</f>
        <v>Electronics</v>
      </c>
      <c r="O929" s="3">
        <f>_xlfn.XLOOKUP(order[[#This Row],[product_id]],Table4[product_id],Table4[cost_price])</f>
        <v>20000</v>
      </c>
      <c r="P929" s="11">
        <f>_xlfn.XLOOKUP(order[[#This Row],[order_id]],shipment[order_id],shipment[ship_date])</f>
        <v>45650</v>
      </c>
      <c r="Q929" s="11">
        <f>_xlfn.XLOOKUP(order[[#This Row],[order_id]],shipment[order_id],shipment[delivery_date])</f>
        <v>45656</v>
      </c>
      <c r="R929" s="3" t="str">
        <f>_xlfn.XLOOKUP(order[[#This Row],[order_id]],shipment[shipment_id],shipment[courier])</f>
        <v>BlueDart</v>
      </c>
      <c r="S929" s="3">
        <f>order[[#This Row],[selling_price]]-order[[#This Row],[cost_price]]*order[[#This Row],[quantity]]-order[[#This Row],[discount]]</f>
        <v>-77046</v>
      </c>
      <c r="T929" s="3">
        <f>order[[#This Row],[quantity]]*order[[#This Row],[selling_price]]</f>
        <v>13108</v>
      </c>
    </row>
    <row r="930" spans="1:20" x14ac:dyDescent="0.3">
      <c r="A930">
        <v>351</v>
      </c>
      <c r="B930" s="11">
        <v>45311</v>
      </c>
      <c r="C930">
        <v>284</v>
      </c>
      <c r="D930" t="str">
        <f>_xlfn.XLOOKUP(order[[#This Row],[customer_id]],customer[customer_id],customer[customer_name])</f>
        <v>Siddharth Jain</v>
      </c>
      <c r="E930">
        <v>207</v>
      </c>
      <c r="F930">
        <v>4</v>
      </c>
      <c r="G930">
        <v>25255</v>
      </c>
      <c r="H930">
        <v>322</v>
      </c>
      <c r="I930" t="s">
        <v>13</v>
      </c>
      <c r="J930" t="s">
        <v>14</v>
      </c>
      <c r="K930" t="str">
        <f>_xlfn.XLOOKUP(order[[#This Row],[customer_id]],customer[customer_id],customer[city])</f>
        <v>Delhi</v>
      </c>
      <c r="L930" t="str">
        <f>_xlfn.XLOOKUP(order[[#This Row],[customer_id]],customer[customer_id],customer[state])</f>
        <v>Delhi</v>
      </c>
      <c r="M930" t="str">
        <f>_xlfn.XLOOKUP(order[[#This Row],[product_id]],products!$A$2:$A$11,products!$B$2:$B$11)</f>
        <v>Sony WH-1000XM4 Headphones</v>
      </c>
      <c r="N930" s="3" t="str">
        <f>_xlfn.XLOOKUP(order[[#This Row],[product_id]],products!$A$2:$A$11,products!$C$2:$C$11)</f>
        <v>Electronics</v>
      </c>
      <c r="O930" s="3">
        <f>_xlfn.XLOOKUP(order[[#This Row],[product_id]],Table4[product_id],Table4[cost_price])</f>
        <v>20000</v>
      </c>
      <c r="P930" s="11">
        <f>_xlfn.XLOOKUP(order[[#This Row],[order_id]],shipment[order_id],shipment[ship_date])</f>
        <v>45308</v>
      </c>
      <c r="Q930" s="11">
        <f>_xlfn.XLOOKUP(order[[#This Row],[order_id]],shipment[order_id],shipment[delivery_date])</f>
        <v>45315</v>
      </c>
      <c r="R930" s="3" t="str">
        <f>_xlfn.XLOOKUP(order[[#This Row],[order_id]],shipment[shipment_id],shipment[courier])</f>
        <v>DTDC</v>
      </c>
      <c r="S930" s="3">
        <f>order[[#This Row],[selling_price]]-order[[#This Row],[cost_price]]*order[[#This Row],[quantity]]-order[[#This Row],[discount]]</f>
        <v>-55067</v>
      </c>
      <c r="T930" s="3">
        <f>order[[#This Row],[quantity]]*order[[#This Row],[selling_price]]</f>
        <v>101020</v>
      </c>
    </row>
    <row r="931" spans="1:20" x14ac:dyDescent="0.3">
      <c r="A931">
        <v>1167</v>
      </c>
      <c r="B931" s="11">
        <v>45540</v>
      </c>
      <c r="C931">
        <v>146</v>
      </c>
      <c r="D931" t="str">
        <f>_xlfn.XLOOKUP(order[[#This Row],[customer_id]],customer[customer_id],customer[customer_name])</f>
        <v>Siddharth Jain</v>
      </c>
      <c r="E931">
        <v>207</v>
      </c>
      <c r="F931">
        <v>3</v>
      </c>
      <c r="G931">
        <v>12274</v>
      </c>
      <c r="H931">
        <v>320</v>
      </c>
      <c r="I931" t="s">
        <v>13</v>
      </c>
      <c r="J931" t="s">
        <v>14</v>
      </c>
      <c r="K931" t="str">
        <f>_xlfn.XLOOKUP(order[[#This Row],[customer_id]],customer[customer_id],customer[city])</f>
        <v>Hyderabad</v>
      </c>
      <c r="L931" t="str">
        <f>_xlfn.XLOOKUP(order[[#This Row],[customer_id]],customer[customer_id],customer[state])</f>
        <v>Telangana</v>
      </c>
      <c r="M931" t="str">
        <f>_xlfn.XLOOKUP(order[[#This Row],[product_id]],products!$A$2:$A$11,products!$B$2:$B$11)</f>
        <v>Sony WH-1000XM4 Headphones</v>
      </c>
      <c r="N931" s="3" t="str">
        <f>_xlfn.XLOOKUP(order[[#This Row],[product_id]],products!$A$2:$A$11,products!$C$2:$C$11)</f>
        <v>Electronics</v>
      </c>
      <c r="O931" s="3">
        <f>_xlfn.XLOOKUP(order[[#This Row],[product_id]],Table4[product_id],Table4[cost_price])</f>
        <v>20000</v>
      </c>
      <c r="P931" s="11">
        <f>_xlfn.XLOOKUP(order[[#This Row],[order_id]],shipment[order_id],shipment[ship_date])</f>
        <v>45631</v>
      </c>
      <c r="Q931" s="11">
        <f>_xlfn.XLOOKUP(order[[#This Row],[order_id]],shipment[order_id],shipment[delivery_date])</f>
        <v>45636</v>
      </c>
      <c r="R931" s="3" t="str">
        <f>_xlfn.XLOOKUP(order[[#This Row],[order_id]],shipment[shipment_id],shipment[courier])</f>
        <v>DTDC</v>
      </c>
      <c r="S931" s="3">
        <f>order[[#This Row],[selling_price]]-order[[#This Row],[cost_price]]*order[[#This Row],[quantity]]-order[[#This Row],[discount]]</f>
        <v>-48046</v>
      </c>
      <c r="T931" s="3">
        <f>order[[#This Row],[quantity]]*order[[#This Row],[selling_price]]</f>
        <v>36822</v>
      </c>
    </row>
    <row r="932" spans="1:20" x14ac:dyDescent="0.3">
      <c r="A932">
        <v>357</v>
      </c>
      <c r="B932" s="11">
        <v>45368</v>
      </c>
      <c r="C932">
        <v>137</v>
      </c>
      <c r="D932" t="str">
        <f>_xlfn.XLOOKUP(order[[#This Row],[customer_id]],customer[customer_id],customer[customer_name])</f>
        <v>Ananya Gupta</v>
      </c>
      <c r="E932">
        <v>207</v>
      </c>
      <c r="F932">
        <v>4</v>
      </c>
      <c r="G932">
        <v>2644</v>
      </c>
      <c r="H932">
        <v>272</v>
      </c>
      <c r="I932" t="s">
        <v>13</v>
      </c>
      <c r="J932" t="s">
        <v>12</v>
      </c>
      <c r="K932" t="str">
        <f>_xlfn.XLOOKUP(order[[#This Row],[customer_id]],customer[customer_id],customer[city])</f>
        <v>Delhi</v>
      </c>
      <c r="L932" t="str">
        <f>_xlfn.XLOOKUP(order[[#This Row],[customer_id]],customer[customer_id],customer[state])</f>
        <v>Delhi</v>
      </c>
      <c r="M932" t="str">
        <f>_xlfn.XLOOKUP(order[[#This Row],[product_id]],products!$A$2:$A$11,products!$B$2:$B$11)</f>
        <v>Sony WH-1000XM4 Headphones</v>
      </c>
      <c r="N932" s="3" t="str">
        <f>_xlfn.XLOOKUP(order[[#This Row],[product_id]],products!$A$2:$A$11,products!$C$2:$C$11)</f>
        <v>Electronics</v>
      </c>
      <c r="O932" s="3">
        <f>_xlfn.XLOOKUP(order[[#This Row],[product_id]],Table4[product_id],Table4[cost_price])</f>
        <v>20000</v>
      </c>
      <c r="P932" s="11">
        <f>_xlfn.XLOOKUP(order[[#This Row],[order_id]],shipment[order_id],shipment[ship_date])</f>
        <v>45593</v>
      </c>
      <c r="Q932" s="11">
        <f>_xlfn.XLOOKUP(order[[#This Row],[order_id]],shipment[order_id],shipment[delivery_date])</f>
        <v>45601</v>
      </c>
      <c r="R932" s="3" t="str">
        <f>_xlfn.XLOOKUP(order[[#This Row],[order_id]],shipment[shipment_id],shipment[courier])</f>
        <v>Ekart</v>
      </c>
      <c r="S932" s="3">
        <f>order[[#This Row],[selling_price]]-order[[#This Row],[cost_price]]*order[[#This Row],[quantity]]-order[[#This Row],[discount]]</f>
        <v>-77628</v>
      </c>
      <c r="T932" s="3">
        <f>order[[#This Row],[quantity]]*order[[#This Row],[selling_price]]</f>
        <v>10576</v>
      </c>
    </row>
    <row r="933" spans="1:20" x14ac:dyDescent="0.3">
      <c r="A933">
        <v>531</v>
      </c>
      <c r="B933" s="11">
        <v>45596</v>
      </c>
      <c r="C933">
        <v>202</v>
      </c>
      <c r="D933" t="str">
        <f>_xlfn.XLOOKUP(order[[#This Row],[customer_id]],customer[customer_id],customer[customer_name])</f>
        <v>Meera Joshi</v>
      </c>
      <c r="E933">
        <v>207</v>
      </c>
      <c r="F933">
        <v>4</v>
      </c>
      <c r="G933">
        <v>6337</v>
      </c>
      <c r="H933">
        <v>265</v>
      </c>
      <c r="I933" t="s">
        <v>15</v>
      </c>
      <c r="J933" t="s">
        <v>10</v>
      </c>
      <c r="K933" t="str">
        <f>_xlfn.XLOOKUP(order[[#This Row],[customer_id]],customer[customer_id],customer[city])</f>
        <v>Chennai</v>
      </c>
      <c r="L933" t="str">
        <f>_xlfn.XLOOKUP(order[[#This Row],[customer_id]],customer[customer_id],customer[state])</f>
        <v>Tamil Nadu</v>
      </c>
      <c r="M933" t="str">
        <f>_xlfn.XLOOKUP(order[[#This Row],[product_id]],products!$A$2:$A$11,products!$B$2:$B$11)</f>
        <v>Sony WH-1000XM4 Headphones</v>
      </c>
      <c r="N933" s="3" t="str">
        <f>_xlfn.XLOOKUP(order[[#This Row],[product_id]],products!$A$2:$A$11,products!$C$2:$C$11)</f>
        <v>Electronics</v>
      </c>
      <c r="O933" s="3">
        <f>_xlfn.XLOOKUP(order[[#This Row],[product_id]],Table4[product_id],Table4[cost_price])</f>
        <v>20000</v>
      </c>
      <c r="P933" s="11">
        <f>_xlfn.XLOOKUP(order[[#This Row],[order_id]],shipment[order_id],shipment[ship_date])</f>
        <v>45302</v>
      </c>
      <c r="Q933" s="11">
        <f>_xlfn.XLOOKUP(order[[#This Row],[order_id]],shipment[order_id],shipment[delivery_date])</f>
        <v>45305</v>
      </c>
      <c r="R933" s="3" t="str">
        <f>_xlfn.XLOOKUP(order[[#This Row],[order_id]],shipment[shipment_id],shipment[courier])</f>
        <v>BlueDart</v>
      </c>
      <c r="S933" s="3">
        <f>order[[#This Row],[selling_price]]-order[[#This Row],[cost_price]]*order[[#This Row],[quantity]]-order[[#This Row],[discount]]</f>
        <v>-73928</v>
      </c>
      <c r="T933" s="3">
        <f>order[[#This Row],[quantity]]*order[[#This Row],[selling_price]]</f>
        <v>25348</v>
      </c>
    </row>
    <row r="934" spans="1:20" x14ac:dyDescent="0.3">
      <c r="A934">
        <v>933</v>
      </c>
      <c r="B934" s="11">
        <v>45648</v>
      </c>
      <c r="C934">
        <v>169</v>
      </c>
      <c r="D934" t="str">
        <f>_xlfn.XLOOKUP(order[[#This Row],[customer_id]],customer[customer_id],customer[customer_name])</f>
        <v>Vikram Singh</v>
      </c>
      <c r="E934">
        <v>205</v>
      </c>
      <c r="F934">
        <v>3</v>
      </c>
      <c r="G934">
        <v>27650</v>
      </c>
      <c r="H934">
        <v>1281</v>
      </c>
      <c r="I934" t="s">
        <v>15</v>
      </c>
      <c r="J934" t="s">
        <v>10</v>
      </c>
      <c r="K934" t="str">
        <f>_xlfn.XLOOKUP(order[[#This Row],[customer_id]],customer[customer_id],customer[city])</f>
        <v>Ahmedabad</v>
      </c>
      <c r="L934" t="str">
        <f>_xlfn.XLOOKUP(order[[#This Row],[customer_id]],customer[customer_id],customer[state])</f>
        <v>Gujarat</v>
      </c>
      <c r="M934" t="str">
        <f>_xlfn.XLOOKUP(order[[#This Row],[product_id]],products!$A$2:$A$11,products!$B$2:$B$11)</f>
        <v>Prestige Pressure Cooker 5L</v>
      </c>
      <c r="N934" s="3" t="str">
        <f>_xlfn.XLOOKUP(order[[#This Row],[product_id]],products!$A$2:$A$11,products!$C$2:$C$11)</f>
        <v>Home &amp; Kitchen</v>
      </c>
      <c r="O934" s="3">
        <f>_xlfn.XLOOKUP(order[[#This Row],[product_id]],Table4[product_id],Table4[cost_price])</f>
        <v>1200</v>
      </c>
      <c r="P934" s="11">
        <f>_xlfn.XLOOKUP(order[[#This Row],[order_id]],shipment[order_id],shipment[ship_date])</f>
        <v>45462</v>
      </c>
      <c r="Q934" s="11">
        <f>_xlfn.XLOOKUP(order[[#This Row],[order_id]],shipment[order_id],shipment[delivery_date])</f>
        <v>45463</v>
      </c>
      <c r="R934" s="3" t="str">
        <f>_xlfn.XLOOKUP(order[[#This Row],[order_id]],shipment[shipment_id],shipment[courier])</f>
        <v>Ekart</v>
      </c>
      <c r="S934" s="3">
        <f>order[[#This Row],[selling_price]]-order[[#This Row],[cost_price]]*order[[#This Row],[quantity]]-order[[#This Row],[discount]]</f>
        <v>22769</v>
      </c>
      <c r="T934" s="3">
        <f>order[[#This Row],[quantity]]*order[[#This Row],[selling_price]]</f>
        <v>82950</v>
      </c>
    </row>
    <row r="935" spans="1:20" x14ac:dyDescent="0.3">
      <c r="A935">
        <v>893</v>
      </c>
      <c r="B935" s="11">
        <v>45557</v>
      </c>
      <c r="C935">
        <v>254</v>
      </c>
      <c r="D935" t="str">
        <f>_xlfn.XLOOKUP(order[[#This Row],[customer_id]],customer[customer_id],customer[customer_name])</f>
        <v>Neha Kapoor</v>
      </c>
      <c r="E935">
        <v>207</v>
      </c>
      <c r="F935">
        <v>3</v>
      </c>
      <c r="G935">
        <v>9012</v>
      </c>
      <c r="H935">
        <v>253</v>
      </c>
      <c r="I935" t="s">
        <v>15</v>
      </c>
      <c r="J935" t="s">
        <v>12</v>
      </c>
      <c r="K935" t="str">
        <f>_xlfn.XLOOKUP(order[[#This Row],[customer_id]],customer[customer_id],customer[city])</f>
        <v>Bangalore</v>
      </c>
      <c r="L935" t="str">
        <f>_xlfn.XLOOKUP(order[[#This Row],[customer_id]],customer[customer_id],customer[state])</f>
        <v>Karnataka</v>
      </c>
      <c r="M935" t="str">
        <f>_xlfn.XLOOKUP(order[[#This Row],[product_id]],products!$A$2:$A$11,products!$B$2:$B$11)</f>
        <v>Sony WH-1000XM4 Headphones</v>
      </c>
      <c r="N935" s="3" t="str">
        <f>_xlfn.XLOOKUP(order[[#This Row],[product_id]],products!$A$2:$A$11,products!$C$2:$C$11)</f>
        <v>Electronics</v>
      </c>
      <c r="O935" s="3">
        <f>_xlfn.XLOOKUP(order[[#This Row],[product_id]],Table4[product_id],Table4[cost_price])</f>
        <v>20000</v>
      </c>
      <c r="P935" s="11">
        <f>_xlfn.XLOOKUP(order[[#This Row],[order_id]],shipment[order_id],shipment[ship_date])</f>
        <v>45364</v>
      </c>
      <c r="Q935" s="11">
        <f>_xlfn.XLOOKUP(order[[#This Row],[order_id]],shipment[order_id],shipment[delivery_date])</f>
        <v>45365</v>
      </c>
      <c r="R935" s="3" t="str">
        <f>_xlfn.XLOOKUP(order[[#This Row],[order_id]],shipment[shipment_id],shipment[courier])</f>
        <v>Ekart</v>
      </c>
      <c r="S935" s="3">
        <f>order[[#This Row],[selling_price]]-order[[#This Row],[cost_price]]*order[[#This Row],[quantity]]-order[[#This Row],[discount]]</f>
        <v>-51241</v>
      </c>
      <c r="T935" s="3">
        <f>order[[#This Row],[quantity]]*order[[#This Row],[selling_price]]</f>
        <v>27036</v>
      </c>
    </row>
    <row r="936" spans="1:20" x14ac:dyDescent="0.3">
      <c r="A936">
        <v>231</v>
      </c>
      <c r="B936" s="11">
        <v>45426</v>
      </c>
      <c r="C936">
        <v>151</v>
      </c>
      <c r="D936" t="str">
        <f>_xlfn.XLOOKUP(order[[#This Row],[customer_id]],customer[customer_id],customer[customer_name])</f>
        <v>Neha Kapoor</v>
      </c>
      <c r="E936">
        <v>207</v>
      </c>
      <c r="F936">
        <v>1</v>
      </c>
      <c r="G936">
        <v>3083</v>
      </c>
      <c r="H936">
        <v>175</v>
      </c>
      <c r="I936" t="s">
        <v>15</v>
      </c>
      <c r="J936" t="s">
        <v>10</v>
      </c>
      <c r="K936" t="str">
        <f>_xlfn.XLOOKUP(order[[#This Row],[customer_id]],customer[customer_id],customer[city])</f>
        <v>Pune</v>
      </c>
      <c r="L936" t="str">
        <f>_xlfn.XLOOKUP(order[[#This Row],[customer_id]],customer[customer_id],customer[state])</f>
        <v>Maharashtra</v>
      </c>
      <c r="M936" t="str">
        <f>_xlfn.XLOOKUP(order[[#This Row],[product_id]],products!$A$2:$A$11,products!$B$2:$B$11)</f>
        <v>Sony WH-1000XM4 Headphones</v>
      </c>
      <c r="N936" s="3" t="str">
        <f>_xlfn.XLOOKUP(order[[#This Row],[product_id]],products!$A$2:$A$11,products!$C$2:$C$11)</f>
        <v>Electronics</v>
      </c>
      <c r="O936" s="3">
        <f>_xlfn.XLOOKUP(order[[#This Row],[product_id]],Table4[product_id],Table4[cost_price])</f>
        <v>20000</v>
      </c>
      <c r="P936" s="11">
        <f>_xlfn.XLOOKUP(order[[#This Row],[order_id]],shipment[order_id],shipment[ship_date])</f>
        <v>45562</v>
      </c>
      <c r="Q936" s="11">
        <f>_xlfn.XLOOKUP(order[[#This Row],[order_id]],shipment[order_id],shipment[delivery_date])</f>
        <v>45564</v>
      </c>
      <c r="R936" s="3" t="str">
        <f>_xlfn.XLOOKUP(order[[#This Row],[order_id]],shipment[shipment_id],shipment[courier])</f>
        <v>Ekart</v>
      </c>
      <c r="S936" s="3">
        <f>order[[#This Row],[selling_price]]-order[[#This Row],[cost_price]]*order[[#This Row],[quantity]]-order[[#This Row],[discount]]</f>
        <v>-17092</v>
      </c>
      <c r="T936" s="3">
        <f>order[[#This Row],[quantity]]*order[[#This Row],[selling_price]]</f>
        <v>3083</v>
      </c>
    </row>
    <row r="937" spans="1:20" x14ac:dyDescent="0.3">
      <c r="A937">
        <v>668</v>
      </c>
      <c r="B937" s="11">
        <v>45648</v>
      </c>
      <c r="C937">
        <v>205</v>
      </c>
      <c r="D937" t="str">
        <f>_xlfn.XLOOKUP(order[[#This Row],[customer_id]],customer[customer_id],customer[customer_name])</f>
        <v>Siddharth Jain</v>
      </c>
      <c r="E937">
        <v>207</v>
      </c>
      <c r="F937">
        <v>2</v>
      </c>
      <c r="G937">
        <v>4918</v>
      </c>
      <c r="H937">
        <v>151</v>
      </c>
      <c r="I937" t="s">
        <v>11</v>
      </c>
      <c r="J937" t="s">
        <v>12</v>
      </c>
      <c r="K937" t="str">
        <f>_xlfn.XLOOKUP(order[[#This Row],[customer_id]],customer[customer_id],customer[city])</f>
        <v>Hyderabad</v>
      </c>
      <c r="L937" t="str">
        <f>_xlfn.XLOOKUP(order[[#This Row],[customer_id]],customer[customer_id],customer[state])</f>
        <v>Telangana</v>
      </c>
      <c r="M937" t="str">
        <f>_xlfn.XLOOKUP(order[[#This Row],[product_id]],products!$A$2:$A$11,products!$B$2:$B$11)</f>
        <v>Sony WH-1000XM4 Headphones</v>
      </c>
      <c r="N937" s="3" t="str">
        <f>_xlfn.XLOOKUP(order[[#This Row],[product_id]],products!$A$2:$A$11,products!$C$2:$C$11)</f>
        <v>Electronics</v>
      </c>
      <c r="O937" s="3">
        <f>_xlfn.XLOOKUP(order[[#This Row],[product_id]],Table4[product_id],Table4[cost_price])</f>
        <v>20000</v>
      </c>
      <c r="P937" s="11">
        <f>_xlfn.XLOOKUP(order[[#This Row],[order_id]],shipment[order_id],shipment[ship_date])</f>
        <v>45506</v>
      </c>
      <c r="Q937" s="11">
        <f>_xlfn.XLOOKUP(order[[#This Row],[order_id]],shipment[order_id],shipment[delivery_date])</f>
        <v>45508</v>
      </c>
      <c r="R937" s="3" t="str">
        <f>_xlfn.XLOOKUP(order[[#This Row],[order_id]],shipment[shipment_id],shipment[courier])</f>
        <v>Delhivery</v>
      </c>
      <c r="S937" s="3">
        <f>order[[#This Row],[selling_price]]-order[[#This Row],[cost_price]]*order[[#This Row],[quantity]]-order[[#This Row],[discount]]</f>
        <v>-35233</v>
      </c>
      <c r="T937" s="3">
        <f>order[[#This Row],[quantity]]*order[[#This Row],[selling_price]]</f>
        <v>9836</v>
      </c>
    </row>
    <row r="938" spans="1:20" x14ac:dyDescent="0.3">
      <c r="A938">
        <v>317</v>
      </c>
      <c r="B938" s="11">
        <v>45405</v>
      </c>
      <c r="C938">
        <v>278</v>
      </c>
      <c r="D938" t="str">
        <f>_xlfn.XLOOKUP(order[[#This Row],[customer_id]],customer[customer_id],customer[customer_name])</f>
        <v>Neha Kapoor</v>
      </c>
      <c r="E938">
        <v>207</v>
      </c>
      <c r="F938">
        <v>4</v>
      </c>
      <c r="G938">
        <v>14221</v>
      </c>
      <c r="H938">
        <v>114</v>
      </c>
      <c r="I938" t="s">
        <v>15</v>
      </c>
      <c r="J938" t="s">
        <v>12</v>
      </c>
      <c r="K938" t="str">
        <f>_xlfn.XLOOKUP(order[[#This Row],[customer_id]],customer[customer_id],customer[city])</f>
        <v>Hyderabad</v>
      </c>
      <c r="L938" t="str">
        <f>_xlfn.XLOOKUP(order[[#This Row],[customer_id]],customer[customer_id],customer[state])</f>
        <v>Telangana</v>
      </c>
      <c r="M938" t="str">
        <f>_xlfn.XLOOKUP(order[[#This Row],[product_id]],products!$A$2:$A$11,products!$B$2:$B$11)</f>
        <v>Sony WH-1000XM4 Headphones</v>
      </c>
      <c r="N938" s="3" t="str">
        <f>_xlfn.XLOOKUP(order[[#This Row],[product_id]],products!$A$2:$A$11,products!$C$2:$C$11)</f>
        <v>Electronics</v>
      </c>
      <c r="O938" s="3">
        <f>_xlfn.XLOOKUP(order[[#This Row],[product_id]],Table4[product_id],Table4[cost_price])</f>
        <v>20000</v>
      </c>
      <c r="P938" s="11">
        <f>_xlfn.XLOOKUP(order[[#This Row],[order_id]],shipment[order_id],shipment[ship_date])</f>
        <v>45304</v>
      </c>
      <c r="Q938" s="11">
        <f>_xlfn.XLOOKUP(order[[#This Row],[order_id]],shipment[order_id],shipment[delivery_date])</f>
        <v>45311</v>
      </c>
      <c r="R938" s="3" t="str">
        <f>_xlfn.XLOOKUP(order[[#This Row],[order_id]],shipment[shipment_id],shipment[courier])</f>
        <v>Ekart</v>
      </c>
      <c r="S938" s="3">
        <f>order[[#This Row],[selling_price]]-order[[#This Row],[cost_price]]*order[[#This Row],[quantity]]-order[[#This Row],[discount]]</f>
        <v>-65893</v>
      </c>
      <c r="T938" s="3">
        <f>order[[#This Row],[quantity]]*order[[#This Row],[selling_price]]</f>
        <v>56884</v>
      </c>
    </row>
    <row r="939" spans="1:20" x14ac:dyDescent="0.3">
      <c r="A939">
        <v>122</v>
      </c>
      <c r="B939" s="11">
        <v>45370</v>
      </c>
      <c r="C939">
        <v>182</v>
      </c>
      <c r="D939" t="str">
        <f>_xlfn.XLOOKUP(order[[#This Row],[customer_id]],customer[customer_id],customer[customer_name])</f>
        <v>Meera Joshi</v>
      </c>
      <c r="E939">
        <v>207</v>
      </c>
      <c r="F939">
        <v>2</v>
      </c>
      <c r="G939">
        <v>35529</v>
      </c>
      <c r="H939">
        <v>40</v>
      </c>
      <c r="I939" t="s">
        <v>11</v>
      </c>
      <c r="J939" t="s">
        <v>14</v>
      </c>
      <c r="K939" t="str">
        <f>_xlfn.XLOOKUP(order[[#This Row],[customer_id]],customer[customer_id],customer[city])</f>
        <v>Delhi</v>
      </c>
      <c r="L939" t="str">
        <f>_xlfn.XLOOKUP(order[[#This Row],[customer_id]],customer[customer_id],customer[state])</f>
        <v>Delhi</v>
      </c>
      <c r="M939" t="str">
        <f>_xlfn.XLOOKUP(order[[#This Row],[product_id]],products!$A$2:$A$11,products!$B$2:$B$11)</f>
        <v>Sony WH-1000XM4 Headphones</v>
      </c>
      <c r="N939" s="3" t="str">
        <f>_xlfn.XLOOKUP(order[[#This Row],[product_id]],products!$A$2:$A$11,products!$C$2:$C$11)</f>
        <v>Electronics</v>
      </c>
      <c r="O939" s="3">
        <f>_xlfn.XLOOKUP(order[[#This Row],[product_id]],Table4[product_id],Table4[cost_price])</f>
        <v>20000</v>
      </c>
      <c r="P939" s="11">
        <f>_xlfn.XLOOKUP(order[[#This Row],[order_id]],shipment[order_id],shipment[ship_date])</f>
        <v>45650</v>
      </c>
      <c r="Q939" s="11">
        <f>_xlfn.XLOOKUP(order[[#This Row],[order_id]],shipment[order_id],shipment[delivery_date])</f>
        <v>45655</v>
      </c>
      <c r="R939" s="3" t="str">
        <f>_xlfn.XLOOKUP(order[[#This Row],[order_id]],shipment[shipment_id],shipment[courier])</f>
        <v>BlueDart</v>
      </c>
      <c r="S939" s="3">
        <f>order[[#This Row],[selling_price]]-order[[#This Row],[cost_price]]*order[[#This Row],[quantity]]-order[[#This Row],[discount]]</f>
        <v>-4511</v>
      </c>
      <c r="T939" s="3">
        <f>order[[#This Row],[quantity]]*order[[#This Row],[selling_price]]</f>
        <v>71058</v>
      </c>
    </row>
    <row r="940" spans="1:20" x14ac:dyDescent="0.3">
      <c r="A940">
        <v>939</v>
      </c>
      <c r="B940" s="11">
        <v>45325</v>
      </c>
      <c r="C940">
        <v>269</v>
      </c>
      <c r="D940" t="str">
        <f>_xlfn.XLOOKUP(order[[#This Row],[customer_id]],customer[customer_id],customer[customer_name])</f>
        <v>Sneha Iyer</v>
      </c>
      <c r="E940">
        <v>205</v>
      </c>
      <c r="F940">
        <v>3</v>
      </c>
      <c r="G940">
        <v>25938</v>
      </c>
      <c r="H940">
        <v>2896</v>
      </c>
      <c r="I940" t="s">
        <v>15</v>
      </c>
      <c r="J940" t="s">
        <v>10</v>
      </c>
      <c r="K940" t="str">
        <f>_xlfn.XLOOKUP(order[[#This Row],[customer_id]],customer[customer_id],customer[city])</f>
        <v>Pune</v>
      </c>
      <c r="L940" t="str">
        <f>_xlfn.XLOOKUP(order[[#This Row],[customer_id]],customer[customer_id],customer[state])</f>
        <v>Maharashtra</v>
      </c>
      <c r="M940" t="str">
        <f>_xlfn.XLOOKUP(order[[#This Row],[product_id]],products!$A$2:$A$11,products!$B$2:$B$11)</f>
        <v>Prestige Pressure Cooker 5L</v>
      </c>
      <c r="N940" s="3" t="str">
        <f>_xlfn.XLOOKUP(order[[#This Row],[product_id]],products!$A$2:$A$11,products!$C$2:$C$11)</f>
        <v>Home &amp; Kitchen</v>
      </c>
      <c r="O940" s="3">
        <f>_xlfn.XLOOKUP(order[[#This Row],[product_id]],Table4[product_id],Table4[cost_price])</f>
        <v>1200</v>
      </c>
      <c r="P940" s="11">
        <f>_xlfn.XLOOKUP(order[[#This Row],[order_id]],shipment[order_id],shipment[ship_date])</f>
        <v>45479</v>
      </c>
      <c r="Q940" s="11">
        <f>_xlfn.XLOOKUP(order[[#This Row],[order_id]],shipment[order_id],shipment[delivery_date])</f>
        <v>45481</v>
      </c>
      <c r="R940" s="3" t="str">
        <f>_xlfn.XLOOKUP(order[[#This Row],[order_id]],shipment[shipment_id],shipment[courier])</f>
        <v>BlueDart</v>
      </c>
      <c r="S940" s="3">
        <f>order[[#This Row],[selling_price]]-order[[#This Row],[cost_price]]*order[[#This Row],[quantity]]-order[[#This Row],[discount]]</f>
        <v>19442</v>
      </c>
      <c r="T940" s="3">
        <f>order[[#This Row],[quantity]]*order[[#This Row],[selling_price]]</f>
        <v>77814</v>
      </c>
    </row>
    <row r="941" spans="1:20" x14ac:dyDescent="0.3">
      <c r="A941">
        <v>940</v>
      </c>
      <c r="B941" s="11">
        <v>45476</v>
      </c>
      <c r="C941">
        <v>259</v>
      </c>
      <c r="D941" t="str">
        <f>_xlfn.XLOOKUP(order[[#This Row],[customer_id]],customer[customer_id],customer[customer_name])</f>
        <v>Siddharth Jain</v>
      </c>
      <c r="E941">
        <v>209</v>
      </c>
      <c r="F941">
        <v>2</v>
      </c>
      <c r="G941">
        <v>5256</v>
      </c>
      <c r="H941">
        <v>3092</v>
      </c>
      <c r="I941" t="s">
        <v>15</v>
      </c>
      <c r="J941" t="s">
        <v>12</v>
      </c>
      <c r="K941" t="str">
        <f>_xlfn.XLOOKUP(order[[#This Row],[customer_id]],customer[customer_id],customer[city])</f>
        <v>Hyderabad</v>
      </c>
      <c r="L941" t="str">
        <f>_xlfn.XLOOKUP(order[[#This Row],[customer_id]],customer[customer_id],customer[state])</f>
        <v>Telangana</v>
      </c>
      <c r="M941" t="str">
        <f>_xlfn.XLOOKUP(order[[#This Row],[product_id]],products!$A$2:$A$11,products!$B$2:$B$11)</f>
        <v>Milton Thermosteel Bottle</v>
      </c>
      <c r="N941" s="3" t="str">
        <f>_xlfn.XLOOKUP(order[[#This Row],[product_id]],products!$A$2:$A$11,products!$C$2:$C$11)</f>
        <v>Home &amp; Kitchen</v>
      </c>
      <c r="O941" s="3">
        <f>_xlfn.XLOOKUP(order[[#This Row],[product_id]],Table4[product_id],Table4[cost_price])</f>
        <v>800</v>
      </c>
      <c r="P941" s="11">
        <f>_xlfn.XLOOKUP(order[[#This Row],[order_id]],shipment[order_id],shipment[ship_date])</f>
        <v>45463</v>
      </c>
      <c r="Q941" s="11">
        <f>_xlfn.XLOOKUP(order[[#This Row],[order_id]],shipment[order_id],shipment[delivery_date])</f>
        <v>45469</v>
      </c>
      <c r="R941" s="3" t="str">
        <f>_xlfn.XLOOKUP(order[[#This Row],[order_id]],shipment[shipment_id],shipment[courier])</f>
        <v>Delhivery</v>
      </c>
      <c r="S941" s="3">
        <f>order[[#This Row],[selling_price]]-order[[#This Row],[cost_price]]*order[[#This Row],[quantity]]-order[[#This Row],[discount]]</f>
        <v>564</v>
      </c>
      <c r="T941" s="3">
        <f>order[[#This Row],[quantity]]*order[[#This Row],[selling_price]]</f>
        <v>10512</v>
      </c>
    </row>
    <row r="942" spans="1:20" x14ac:dyDescent="0.3">
      <c r="A942">
        <v>941</v>
      </c>
      <c r="B942" s="11">
        <v>45467</v>
      </c>
      <c r="C942">
        <v>141</v>
      </c>
      <c r="D942" t="str">
        <f>_xlfn.XLOOKUP(order[[#This Row],[customer_id]],customer[customer_id],customer[customer_name])</f>
        <v>Neha Kapoor</v>
      </c>
      <c r="E942">
        <v>204</v>
      </c>
      <c r="F942">
        <v>3</v>
      </c>
      <c r="G942">
        <v>51822</v>
      </c>
      <c r="H942">
        <v>2927</v>
      </c>
      <c r="I942" t="s">
        <v>11</v>
      </c>
      <c r="J942" t="s">
        <v>12</v>
      </c>
      <c r="K942" t="str">
        <f>_xlfn.XLOOKUP(order[[#This Row],[customer_id]],customer[customer_id],customer[city])</f>
        <v>Ahmedabad</v>
      </c>
      <c r="L942" t="str">
        <f>_xlfn.XLOOKUP(order[[#This Row],[customer_id]],customer[customer_id],customer[state])</f>
        <v>Gujarat</v>
      </c>
      <c r="M942" t="str">
        <f>_xlfn.XLOOKUP(order[[#This Row],[product_id]],products!$A$2:$A$11,products!$B$2:$B$11)</f>
        <v>Levi's Slim Fit Jeans</v>
      </c>
      <c r="N942" s="3" t="str">
        <f>_xlfn.XLOOKUP(order[[#This Row],[product_id]],products!$A$2:$A$11,products!$C$2:$C$11)</f>
        <v>Fashion</v>
      </c>
      <c r="O942" s="3">
        <f>_xlfn.XLOOKUP(order[[#This Row],[product_id]],Table4[product_id],Table4[cost_price])</f>
        <v>1800</v>
      </c>
      <c r="P942" s="11">
        <f>_xlfn.XLOOKUP(order[[#This Row],[order_id]],shipment[order_id],shipment[ship_date])</f>
        <v>45387</v>
      </c>
      <c r="Q942" s="11">
        <f>_xlfn.XLOOKUP(order[[#This Row],[order_id]],shipment[order_id],shipment[delivery_date])</f>
        <v>45394</v>
      </c>
      <c r="R942" s="3" t="str">
        <f>_xlfn.XLOOKUP(order[[#This Row],[order_id]],shipment[shipment_id],shipment[courier])</f>
        <v>Delhivery</v>
      </c>
      <c r="S942" s="3">
        <f>order[[#This Row],[selling_price]]-order[[#This Row],[cost_price]]*order[[#This Row],[quantity]]-order[[#This Row],[discount]]</f>
        <v>43495</v>
      </c>
      <c r="T942" s="3">
        <f>order[[#This Row],[quantity]]*order[[#This Row],[selling_price]]</f>
        <v>155466</v>
      </c>
    </row>
    <row r="943" spans="1:20" x14ac:dyDescent="0.3">
      <c r="A943">
        <v>942</v>
      </c>
      <c r="B943" s="11">
        <v>45577</v>
      </c>
      <c r="C943">
        <v>185</v>
      </c>
      <c r="D943" t="str">
        <f>_xlfn.XLOOKUP(order[[#This Row],[customer_id]],customer[customer_id],customer[customer_name])</f>
        <v>Karan Patel</v>
      </c>
      <c r="E943">
        <v>206</v>
      </c>
      <c r="F943">
        <v>4</v>
      </c>
      <c r="G943">
        <v>46380</v>
      </c>
      <c r="H943">
        <v>1808</v>
      </c>
      <c r="I943" t="s">
        <v>11</v>
      </c>
      <c r="J943" t="s">
        <v>14</v>
      </c>
      <c r="K943" t="str">
        <f>_xlfn.XLOOKUP(order[[#This Row],[customer_id]],customer[customer_id],customer[city])</f>
        <v>Pune</v>
      </c>
      <c r="L943" t="str">
        <f>_xlfn.XLOOKUP(order[[#This Row],[customer_id]],customer[customer_id],customer[state])</f>
        <v>Maharashtra</v>
      </c>
      <c r="M943" t="str">
        <f>_xlfn.XLOOKUP(order[[#This Row],[product_id]],products!$A$2:$A$11,products!$B$2:$B$11)</f>
        <v>Philips Air Fryer</v>
      </c>
      <c r="N943" s="3" t="str">
        <f>_xlfn.XLOOKUP(order[[#This Row],[product_id]],products!$A$2:$A$11,products!$C$2:$C$11)</f>
        <v>Home &amp; Kitchen</v>
      </c>
      <c r="O943" s="3">
        <f>_xlfn.XLOOKUP(order[[#This Row],[product_id]],Table4[product_id],Table4[cost_price])</f>
        <v>7000</v>
      </c>
      <c r="P943" s="11">
        <f>_xlfn.XLOOKUP(order[[#This Row],[order_id]],shipment[order_id],shipment[ship_date])</f>
        <v>45444</v>
      </c>
      <c r="Q943" s="11">
        <f>_xlfn.XLOOKUP(order[[#This Row],[order_id]],shipment[order_id],shipment[delivery_date])</f>
        <v>45451</v>
      </c>
      <c r="R943" s="3" t="str">
        <f>_xlfn.XLOOKUP(order[[#This Row],[order_id]],shipment[shipment_id],shipment[courier])</f>
        <v>Ekart</v>
      </c>
      <c r="S943" s="3">
        <f>order[[#This Row],[selling_price]]-order[[#This Row],[cost_price]]*order[[#This Row],[quantity]]-order[[#This Row],[discount]]</f>
        <v>16572</v>
      </c>
      <c r="T943" s="3">
        <f>order[[#This Row],[quantity]]*order[[#This Row],[selling_price]]</f>
        <v>185520</v>
      </c>
    </row>
    <row r="944" spans="1:20" x14ac:dyDescent="0.3">
      <c r="A944">
        <v>117</v>
      </c>
      <c r="B944" s="11">
        <v>45486</v>
      </c>
      <c r="C944">
        <v>113</v>
      </c>
      <c r="D944" t="str">
        <f>_xlfn.XLOOKUP(order[[#This Row],[customer_id]],customer[customer_id],customer[customer_name])</f>
        <v>Meera Joshi</v>
      </c>
      <c r="E944">
        <v>207</v>
      </c>
      <c r="F944">
        <v>2</v>
      </c>
      <c r="G944">
        <v>29538</v>
      </c>
      <c r="H944">
        <v>5</v>
      </c>
      <c r="I944" t="s">
        <v>13</v>
      </c>
      <c r="J944" t="s">
        <v>14</v>
      </c>
      <c r="K944" t="str">
        <f>_xlfn.XLOOKUP(order[[#This Row],[customer_id]],customer[customer_id],customer[city])</f>
        <v>Hyderabad</v>
      </c>
      <c r="L944" t="str">
        <f>_xlfn.XLOOKUP(order[[#This Row],[customer_id]],customer[customer_id],customer[state])</f>
        <v>Telangana</v>
      </c>
      <c r="M944" t="str">
        <f>_xlfn.XLOOKUP(order[[#This Row],[product_id]],products!$A$2:$A$11,products!$B$2:$B$11)</f>
        <v>Sony WH-1000XM4 Headphones</v>
      </c>
      <c r="N944" s="3" t="str">
        <f>_xlfn.XLOOKUP(order[[#This Row],[product_id]],products!$A$2:$A$11,products!$C$2:$C$11)</f>
        <v>Electronics</v>
      </c>
      <c r="O944" s="3">
        <f>_xlfn.XLOOKUP(order[[#This Row],[product_id]],Table4[product_id],Table4[cost_price])</f>
        <v>20000</v>
      </c>
      <c r="P944" s="11">
        <f>_xlfn.XLOOKUP(order[[#This Row],[order_id]],shipment[order_id],shipment[ship_date])</f>
        <v>45387</v>
      </c>
      <c r="Q944" s="11">
        <f>_xlfn.XLOOKUP(order[[#This Row],[order_id]],shipment[order_id],shipment[delivery_date])</f>
        <v>45390</v>
      </c>
      <c r="R944" s="3" t="str">
        <f>_xlfn.XLOOKUP(order[[#This Row],[order_id]],shipment[shipment_id],shipment[courier])</f>
        <v>DTDC</v>
      </c>
      <c r="S944" s="3">
        <f>order[[#This Row],[selling_price]]-order[[#This Row],[cost_price]]*order[[#This Row],[quantity]]-order[[#This Row],[discount]]</f>
        <v>-10467</v>
      </c>
      <c r="T944" s="3">
        <f>order[[#This Row],[quantity]]*order[[#This Row],[selling_price]]</f>
        <v>59076</v>
      </c>
    </row>
    <row r="945" spans="1:20" x14ac:dyDescent="0.3">
      <c r="A945">
        <v>944</v>
      </c>
      <c r="B945" s="11">
        <v>45566</v>
      </c>
      <c r="C945">
        <v>219</v>
      </c>
      <c r="D945" t="str">
        <f>_xlfn.XLOOKUP(order[[#This Row],[customer_id]],customer[customer_id],customer[customer_name])</f>
        <v>Meera Joshi</v>
      </c>
      <c r="E945">
        <v>208</v>
      </c>
      <c r="F945">
        <v>4</v>
      </c>
      <c r="G945">
        <v>55770</v>
      </c>
      <c r="H945">
        <v>279</v>
      </c>
      <c r="I945" t="s">
        <v>9</v>
      </c>
      <c r="J945" t="s">
        <v>12</v>
      </c>
      <c r="K945" t="str">
        <f>_xlfn.XLOOKUP(order[[#This Row],[customer_id]],customer[customer_id],customer[city])</f>
        <v>Bangalore</v>
      </c>
      <c r="L945" t="str">
        <f>_xlfn.XLOOKUP(order[[#This Row],[customer_id]],customer[customer_id],customer[state])</f>
        <v>Karnataka</v>
      </c>
      <c r="M945" t="str">
        <f>_xlfn.XLOOKUP(order[[#This Row],[product_id]],products!$A$2:$A$11,products!$B$2:$B$11)</f>
        <v>Adidas Ultraboost Shoes</v>
      </c>
      <c r="N945" s="3" t="str">
        <f>_xlfn.XLOOKUP(order[[#This Row],[product_id]],products!$A$2:$A$11,products!$C$2:$C$11)</f>
        <v>Fashion</v>
      </c>
      <c r="O945" s="3">
        <f>_xlfn.XLOOKUP(order[[#This Row],[product_id]],Table4[product_id],Table4[cost_price])</f>
        <v>9000</v>
      </c>
      <c r="P945" s="11">
        <f>_xlfn.XLOOKUP(order[[#This Row],[order_id]],shipment[order_id],shipment[ship_date])</f>
        <v>45386</v>
      </c>
      <c r="Q945" s="11">
        <f>_xlfn.XLOOKUP(order[[#This Row],[order_id]],shipment[order_id],shipment[delivery_date])</f>
        <v>45387</v>
      </c>
      <c r="R945" s="3" t="str">
        <f>_xlfn.XLOOKUP(order[[#This Row],[order_id]],shipment[shipment_id],shipment[courier])</f>
        <v>Ekart</v>
      </c>
      <c r="S945" s="3">
        <f>order[[#This Row],[selling_price]]-order[[#This Row],[cost_price]]*order[[#This Row],[quantity]]-order[[#This Row],[discount]]</f>
        <v>19491</v>
      </c>
      <c r="T945" s="3">
        <f>order[[#This Row],[quantity]]*order[[#This Row],[selling_price]]</f>
        <v>223080</v>
      </c>
    </row>
    <row r="946" spans="1:20" x14ac:dyDescent="0.3">
      <c r="A946">
        <v>945</v>
      </c>
      <c r="B946" s="11">
        <v>45331</v>
      </c>
      <c r="C946">
        <v>116</v>
      </c>
      <c r="D946" t="str">
        <f>_xlfn.XLOOKUP(order[[#This Row],[customer_id]],customer[customer_id],customer[customer_name])</f>
        <v>Arjun Nair</v>
      </c>
      <c r="E946">
        <v>209</v>
      </c>
      <c r="F946">
        <v>4</v>
      </c>
      <c r="G946">
        <v>62722</v>
      </c>
      <c r="H946">
        <v>2878</v>
      </c>
      <c r="I946" t="s">
        <v>9</v>
      </c>
      <c r="J946" t="s">
        <v>14</v>
      </c>
      <c r="K946" t="str">
        <f>_xlfn.XLOOKUP(order[[#This Row],[customer_id]],customer[customer_id],customer[city])</f>
        <v>Hyderabad</v>
      </c>
      <c r="L946" t="str">
        <f>_xlfn.XLOOKUP(order[[#This Row],[customer_id]],customer[customer_id],customer[state])</f>
        <v>Telangana</v>
      </c>
      <c r="M946" t="str">
        <f>_xlfn.XLOOKUP(order[[#This Row],[product_id]],products!$A$2:$A$11,products!$B$2:$B$11)</f>
        <v>Milton Thermosteel Bottle</v>
      </c>
      <c r="N946" s="3" t="str">
        <f>_xlfn.XLOOKUP(order[[#This Row],[product_id]],products!$A$2:$A$11,products!$C$2:$C$11)</f>
        <v>Home &amp; Kitchen</v>
      </c>
      <c r="O946" s="3">
        <f>_xlfn.XLOOKUP(order[[#This Row],[product_id]],Table4[product_id],Table4[cost_price])</f>
        <v>800</v>
      </c>
      <c r="P946" s="11">
        <f>_xlfn.XLOOKUP(order[[#This Row],[order_id]],shipment[order_id],shipment[ship_date])</f>
        <v>45349</v>
      </c>
      <c r="Q946" s="11">
        <f>_xlfn.XLOOKUP(order[[#This Row],[order_id]],shipment[order_id],shipment[delivery_date])</f>
        <v>45352</v>
      </c>
      <c r="R946" s="3" t="str">
        <f>_xlfn.XLOOKUP(order[[#This Row],[order_id]],shipment[shipment_id],shipment[courier])</f>
        <v>Delhivery</v>
      </c>
      <c r="S946" s="3">
        <f>order[[#This Row],[selling_price]]-order[[#This Row],[cost_price]]*order[[#This Row],[quantity]]-order[[#This Row],[discount]]</f>
        <v>56644</v>
      </c>
      <c r="T946" s="3">
        <f>order[[#This Row],[quantity]]*order[[#This Row],[selling_price]]</f>
        <v>250888</v>
      </c>
    </row>
    <row r="947" spans="1:20" x14ac:dyDescent="0.3">
      <c r="A947">
        <v>1055</v>
      </c>
      <c r="B947" s="11">
        <v>45622</v>
      </c>
      <c r="C947">
        <v>131</v>
      </c>
      <c r="D947" t="str">
        <f>_xlfn.XLOOKUP(order[[#This Row],[customer_id]],customer[customer_id],customer[customer_name])</f>
        <v>Siddharth Jain</v>
      </c>
      <c r="E947">
        <v>207</v>
      </c>
      <c r="F947">
        <v>4</v>
      </c>
      <c r="G947">
        <v>25905</v>
      </c>
      <c r="H947">
        <v>1</v>
      </c>
      <c r="I947" t="s">
        <v>15</v>
      </c>
      <c r="J947" t="s">
        <v>10</v>
      </c>
      <c r="K947" t="str">
        <f>_xlfn.XLOOKUP(order[[#This Row],[customer_id]],customer[customer_id],customer[city])</f>
        <v>Mumbai</v>
      </c>
      <c r="L947" t="str">
        <f>_xlfn.XLOOKUP(order[[#This Row],[customer_id]],customer[customer_id],customer[state])</f>
        <v>Maharashtra</v>
      </c>
      <c r="M947" t="str">
        <f>_xlfn.XLOOKUP(order[[#This Row],[product_id]],products!$A$2:$A$11,products!$B$2:$B$11)</f>
        <v>Sony WH-1000XM4 Headphones</v>
      </c>
      <c r="N947" s="3" t="str">
        <f>_xlfn.XLOOKUP(order[[#This Row],[product_id]],products!$A$2:$A$11,products!$C$2:$C$11)</f>
        <v>Electronics</v>
      </c>
      <c r="O947" s="3">
        <f>_xlfn.XLOOKUP(order[[#This Row],[product_id]],Table4[product_id],Table4[cost_price])</f>
        <v>20000</v>
      </c>
      <c r="P947" s="11">
        <f>_xlfn.XLOOKUP(order[[#This Row],[order_id]],shipment[order_id],shipment[ship_date])</f>
        <v>45644</v>
      </c>
      <c r="Q947" s="11">
        <f>_xlfn.XLOOKUP(order[[#This Row],[order_id]],shipment[order_id],shipment[delivery_date])</f>
        <v>45652</v>
      </c>
      <c r="R947" s="3" t="str">
        <f>_xlfn.XLOOKUP(order[[#This Row],[order_id]],shipment[shipment_id],shipment[courier])</f>
        <v>BlueDart</v>
      </c>
      <c r="S947" s="3">
        <f>order[[#This Row],[selling_price]]-order[[#This Row],[cost_price]]*order[[#This Row],[quantity]]-order[[#This Row],[discount]]</f>
        <v>-54096</v>
      </c>
      <c r="T947" s="3">
        <f>order[[#This Row],[quantity]]*order[[#This Row],[selling_price]]</f>
        <v>103620</v>
      </c>
    </row>
    <row r="948" spans="1:20" x14ac:dyDescent="0.3">
      <c r="A948">
        <v>947</v>
      </c>
      <c r="B948" s="11">
        <v>45577</v>
      </c>
      <c r="C948">
        <v>230</v>
      </c>
      <c r="D948" t="str">
        <f>_xlfn.XLOOKUP(order[[#This Row],[customer_id]],customer[customer_id],customer[customer_name])</f>
        <v>Rohit Verma</v>
      </c>
      <c r="E948">
        <v>205</v>
      </c>
      <c r="F948">
        <v>4</v>
      </c>
      <c r="G948">
        <v>10012</v>
      </c>
      <c r="H948">
        <v>1381</v>
      </c>
      <c r="I948" t="s">
        <v>15</v>
      </c>
      <c r="J948" t="s">
        <v>14</v>
      </c>
      <c r="K948" t="str">
        <f>_xlfn.XLOOKUP(order[[#This Row],[customer_id]],customer[customer_id],customer[city])</f>
        <v>Mumbai</v>
      </c>
      <c r="L948" t="str">
        <f>_xlfn.XLOOKUP(order[[#This Row],[customer_id]],customer[customer_id],customer[state])</f>
        <v>Maharashtra</v>
      </c>
      <c r="M948" t="str">
        <f>_xlfn.XLOOKUP(order[[#This Row],[product_id]],products!$A$2:$A$11,products!$B$2:$B$11)</f>
        <v>Prestige Pressure Cooker 5L</v>
      </c>
      <c r="N948" s="3" t="str">
        <f>_xlfn.XLOOKUP(order[[#This Row],[product_id]],products!$A$2:$A$11,products!$C$2:$C$11)</f>
        <v>Home &amp; Kitchen</v>
      </c>
      <c r="O948" s="3">
        <f>_xlfn.XLOOKUP(order[[#This Row],[product_id]],Table4[product_id],Table4[cost_price])</f>
        <v>1200</v>
      </c>
      <c r="P948" s="11">
        <f>_xlfn.XLOOKUP(order[[#This Row],[order_id]],shipment[order_id],shipment[ship_date])</f>
        <v>45543</v>
      </c>
      <c r="Q948" s="11">
        <f>_xlfn.XLOOKUP(order[[#This Row],[order_id]],shipment[order_id],shipment[delivery_date])</f>
        <v>45545</v>
      </c>
      <c r="R948" s="3" t="str">
        <f>_xlfn.XLOOKUP(order[[#This Row],[order_id]],shipment[shipment_id],shipment[courier])</f>
        <v>Delhivery</v>
      </c>
      <c r="S948" s="3">
        <f>order[[#This Row],[selling_price]]-order[[#This Row],[cost_price]]*order[[#This Row],[quantity]]-order[[#This Row],[discount]]</f>
        <v>3831</v>
      </c>
      <c r="T948" s="3">
        <f>order[[#This Row],[quantity]]*order[[#This Row],[selling_price]]</f>
        <v>40048</v>
      </c>
    </row>
    <row r="949" spans="1:20" x14ac:dyDescent="0.3">
      <c r="A949">
        <v>1074</v>
      </c>
      <c r="B949" s="11">
        <v>45448</v>
      </c>
      <c r="C949">
        <v>249</v>
      </c>
      <c r="D949" t="str">
        <f>_xlfn.XLOOKUP(order[[#This Row],[customer_id]],customer[customer_id],customer[customer_name])</f>
        <v>Rahul Mehta</v>
      </c>
      <c r="E949">
        <v>208</v>
      </c>
      <c r="F949">
        <v>4</v>
      </c>
      <c r="G949">
        <v>29440</v>
      </c>
      <c r="H949">
        <v>4986</v>
      </c>
      <c r="I949" t="s">
        <v>13</v>
      </c>
      <c r="J949" t="s">
        <v>10</v>
      </c>
      <c r="K949" t="str">
        <f>_xlfn.XLOOKUP(order[[#This Row],[customer_id]],customer[customer_id],customer[city])</f>
        <v>Delhi</v>
      </c>
      <c r="L949" t="str">
        <f>_xlfn.XLOOKUP(order[[#This Row],[customer_id]],customer[customer_id],customer[state])</f>
        <v>Delhi</v>
      </c>
      <c r="M949" t="str">
        <f>_xlfn.XLOOKUP(order[[#This Row],[product_id]],products!$A$2:$A$11,products!$B$2:$B$11)</f>
        <v>Adidas Ultraboost Shoes</v>
      </c>
      <c r="N949" s="3" t="str">
        <f>_xlfn.XLOOKUP(order[[#This Row],[product_id]],products!$A$2:$A$11,products!$C$2:$C$11)</f>
        <v>Fashion</v>
      </c>
      <c r="O949" s="3">
        <f>_xlfn.XLOOKUP(order[[#This Row],[product_id]],Table4[product_id],Table4[cost_price])</f>
        <v>9000</v>
      </c>
      <c r="P949" s="11">
        <f>_xlfn.XLOOKUP(order[[#This Row],[order_id]],shipment[order_id],shipment[ship_date])</f>
        <v>45303</v>
      </c>
      <c r="Q949" s="11">
        <f>_xlfn.XLOOKUP(order[[#This Row],[order_id]],shipment[order_id],shipment[delivery_date])</f>
        <v>45308</v>
      </c>
      <c r="R949" s="3" t="str">
        <f>_xlfn.XLOOKUP(order[[#This Row],[order_id]],shipment[shipment_id],shipment[courier])</f>
        <v>BlueDart</v>
      </c>
      <c r="S949" s="3">
        <f>order[[#This Row],[selling_price]]-order[[#This Row],[cost_price]]*order[[#This Row],[quantity]]-order[[#This Row],[discount]]</f>
        <v>-11546</v>
      </c>
      <c r="T949" s="3">
        <f>order[[#This Row],[quantity]]*order[[#This Row],[selling_price]]</f>
        <v>117760</v>
      </c>
    </row>
    <row r="950" spans="1:20" x14ac:dyDescent="0.3">
      <c r="A950">
        <v>949</v>
      </c>
      <c r="B950" s="11">
        <v>45509</v>
      </c>
      <c r="C950">
        <v>271</v>
      </c>
      <c r="D950" t="str">
        <f>_xlfn.XLOOKUP(order[[#This Row],[customer_id]],customer[customer_id],customer[customer_name])</f>
        <v>Neha Kapoor</v>
      </c>
      <c r="E950">
        <v>205</v>
      </c>
      <c r="F950">
        <v>4</v>
      </c>
      <c r="G950">
        <v>50295</v>
      </c>
      <c r="H950">
        <v>1407</v>
      </c>
      <c r="I950" t="s">
        <v>11</v>
      </c>
      <c r="J950" t="s">
        <v>12</v>
      </c>
      <c r="K950" t="str">
        <f>_xlfn.XLOOKUP(order[[#This Row],[customer_id]],customer[customer_id],customer[city])</f>
        <v>Ahmedabad</v>
      </c>
      <c r="L950" t="str">
        <f>_xlfn.XLOOKUP(order[[#This Row],[customer_id]],customer[customer_id],customer[state])</f>
        <v>Gujarat</v>
      </c>
      <c r="M950" t="str">
        <f>_xlfn.XLOOKUP(order[[#This Row],[product_id]],products!$A$2:$A$11,products!$B$2:$B$11)</f>
        <v>Prestige Pressure Cooker 5L</v>
      </c>
      <c r="N950" s="3" t="str">
        <f>_xlfn.XLOOKUP(order[[#This Row],[product_id]],products!$A$2:$A$11,products!$C$2:$C$11)</f>
        <v>Home &amp; Kitchen</v>
      </c>
      <c r="O950" s="3">
        <f>_xlfn.XLOOKUP(order[[#This Row],[product_id]],Table4[product_id],Table4[cost_price])</f>
        <v>1200</v>
      </c>
      <c r="P950" s="11">
        <f>_xlfn.XLOOKUP(order[[#This Row],[order_id]],shipment[order_id],shipment[ship_date])</f>
        <v>45533</v>
      </c>
      <c r="Q950" s="11">
        <f>_xlfn.XLOOKUP(order[[#This Row],[order_id]],shipment[order_id],shipment[delivery_date])</f>
        <v>45543</v>
      </c>
      <c r="R950" s="3" t="str">
        <f>_xlfn.XLOOKUP(order[[#This Row],[order_id]],shipment[shipment_id],shipment[courier])</f>
        <v>DTDC</v>
      </c>
      <c r="S950" s="3">
        <f>order[[#This Row],[selling_price]]-order[[#This Row],[cost_price]]*order[[#This Row],[quantity]]-order[[#This Row],[discount]]</f>
        <v>44088</v>
      </c>
      <c r="T950" s="3">
        <f>order[[#This Row],[quantity]]*order[[#This Row],[selling_price]]</f>
        <v>201180</v>
      </c>
    </row>
    <row r="951" spans="1:20" x14ac:dyDescent="0.3">
      <c r="A951">
        <v>90</v>
      </c>
      <c r="B951" s="11">
        <v>45622</v>
      </c>
      <c r="C951">
        <v>199</v>
      </c>
      <c r="D951" t="str">
        <f>_xlfn.XLOOKUP(order[[#This Row],[customer_id]],customer[customer_id],customer[customer_name])</f>
        <v>Aarav Sharma</v>
      </c>
      <c r="E951">
        <v>208</v>
      </c>
      <c r="F951">
        <v>1</v>
      </c>
      <c r="G951">
        <v>8952</v>
      </c>
      <c r="H951">
        <v>4899</v>
      </c>
      <c r="I951" t="s">
        <v>9</v>
      </c>
      <c r="J951" t="s">
        <v>12</v>
      </c>
      <c r="K951" t="str">
        <f>_xlfn.XLOOKUP(order[[#This Row],[customer_id]],customer[customer_id],customer[city])</f>
        <v>Ahmedabad</v>
      </c>
      <c r="L951" t="str">
        <f>_xlfn.XLOOKUP(order[[#This Row],[customer_id]],customer[customer_id],customer[state])</f>
        <v>Gujarat</v>
      </c>
      <c r="M951" t="str">
        <f>_xlfn.XLOOKUP(order[[#This Row],[product_id]],products!$A$2:$A$11,products!$B$2:$B$11)</f>
        <v>Adidas Ultraboost Shoes</v>
      </c>
      <c r="N951" s="3" t="str">
        <f>_xlfn.XLOOKUP(order[[#This Row],[product_id]],products!$A$2:$A$11,products!$C$2:$C$11)</f>
        <v>Fashion</v>
      </c>
      <c r="O951" s="3">
        <f>_xlfn.XLOOKUP(order[[#This Row],[product_id]],Table4[product_id],Table4[cost_price])</f>
        <v>9000</v>
      </c>
      <c r="P951" s="11">
        <f>_xlfn.XLOOKUP(order[[#This Row],[order_id]],shipment[order_id],shipment[ship_date])</f>
        <v>45576</v>
      </c>
      <c r="Q951" s="11">
        <f>_xlfn.XLOOKUP(order[[#This Row],[order_id]],shipment[order_id],shipment[delivery_date])</f>
        <v>45577</v>
      </c>
      <c r="R951" s="3" t="str">
        <f>_xlfn.XLOOKUP(order[[#This Row],[order_id]],shipment[shipment_id],shipment[courier])</f>
        <v>Ekart</v>
      </c>
      <c r="S951" s="3">
        <f>order[[#This Row],[selling_price]]-order[[#This Row],[cost_price]]*order[[#This Row],[quantity]]-order[[#This Row],[discount]]</f>
        <v>-4947</v>
      </c>
      <c r="T951" s="3">
        <f>order[[#This Row],[quantity]]*order[[#This Row],[selling_price]]</f>
        <v>8952</v>
      </c>
    </row>
    <row r="952" spans="1:20" x14ac:dyDescent="0.3">
      <c r="A952">
        <v>951</v>
      </c>
      <c r="B952" s="11">
        <v>45617</v>
      </c>
      <c r="C952">
        <v>214</v>
      </c>
      <c r="D952" t="str">
        <f>_xlfn.XLOOKUP(order[[#This Row],[customer_id]],customer[customer_id],customer[customer_name])</f>
        <v>Ishita Bose</v>
      </c>
      <c r="E952">
        <v>206</v>
      </c>
      <c r="F952">
        <v>2</v>
      </c>
      <c r="G952">
        <v>65009</v>
      </c>
      <c r="H952">
        <v>961</v>
      </c>
      <c r="I952" t="s">
        <v>13</v>
      </c>
      <c r="J952" t="s">
        <v>12</v>
      </c>
      <c r="K952" t="str">
        <f>_xlfn.XLOOKUP(order[[#This Row],[customer_id]],customer[customer_id],customer[city])</f>
        <v>Mumbai</v>
      </c>
      <c r="L952" t="str">
        <f>_xlfn.XLOOKUP(order[[#This Row],[customer_id]],customer[customer_id],customer[state])</f>
        <v>Maharashtra</v>
      </c>
      <c r="M952" t="str">
        <f>_xlfn.XLOOKUP(order[[#This Row],[product_id]],products!$A$2:$A$11,products!$B$2:$B$11)</f>
        <v>Philips Air Fryer</v>
      </c>
      <c r="N952" s="3" t="str">
        <f>_xlfn.XLOOKUP(order[[#This Row],[product_id]],products!$A$2:$A$11,products!$C$2:$C$11)</f>
        <v>Home &amp; Kitchen</v>
      </c>
      <c r="O952" s="3">
        <f>_xlfn.XLOOKUP(order[[#This Row],[product_id]],Table4[product_id],Table4[cost_price])</f>
        <v>7000</v>
      </c>
      <c r="P952" s="11">
        <f>_xlfn.XLOOKUP(order[[#This Row],[order_id]],shipment[order_id],shipment[ship_date])</f>
        <v>45393</v>
      </c>
      <c r="Q952" s="11">
        <f>_xlfn.XLOOKUP(order[[#This Row],[order_id]],shipment[order_id],shipment[delivery_date])</f>
        <v>45395</v>
      </c>
      <c r="R952" s="3" t="str">
        <f>_xlfn.XLOOKUP(order[[#This Row],[order_id]],shipment[shipment_id],shipment[courier])</f>
        <v>Ekart</v>
      </c>
      <c r="S952" s="3">
        <f>order[[#This Row],[selling_price]]-order[[#This Row],[cost_price]]*order[[#This Row],[quantity]]-order[[#This Row],[discount]]</f>
        <v>50048</v>
      </c>
      <c r="T952" s="3">
        <f>order[[#This Row],[quantity]]*order[[#This Row],[selling_price]]</f>
        <v>130018</v>
      </c>
    </row>
    <row r="953" spans="1:20" x14ac:dyDescent="0.3">
      <c r="A953">
        <v>952</v>
      </c>
      <c r="B953" s="11">
        <v>45297</v>
      </c>
      <c r="C953">
        <v>259</v>
      </c>
      <c r="D953" t="str">
        <f>_xlfn.XLOOKUP(order[[#This Row],[customer_id]],customer[customer_id],customer[customer_name])</f>
        <v>Siddharth Jain</v>
      </c>
      <c r="E953">
        <v>209</v>
      </c>
      <c r="F953">
        <v>3</v>
      </c>
      <c r="G953">
        <v>56954</v>
      </c>
      <c r="H953">
        <v>4677</v>
      </c>
      <c r="I953" t="s">
        <v>9</v>
      </c>
      <c r="J953" t="s">
        <v>12</v>
      </c>
      <c r="K953" t="str">
        <f>_xlfn.XLOOKUP(order[[#This Row],[customer_id]],customer[customer_id],customer[city])</f>
        <v>Hyderabad</v>
      </c>
      <c r="L953" t="str">
        <f>_xlfn.XLOOKUP(order[[#This Row],[customer_id]],customer[customer_id],customer[state])</f>
        <v>Telangana</v>
      </c>
      <c r="M953" t="str">
        <f>_xlfn.XLOOKUP(order[[#This Row],[product_id]],products!$A$2:$A$11,products!$B$2:$B$11)</f>
        <v>Milton Thermosteel Bottle</v>
      </c>
      <c r="N953" s="3" t="str">
        <f>_xlfn.XLOOKUP(order[[#This Row],[product_id]],products!$A$2:$A$11,products!$C$2:$C$11)</f>
        <v>Home &amp; Kitchen</v>
      </c>
      <c r="O953" s="3">
        <f>_xlfn.XLOOKUP(order[[#This Row],[product_id]],Table4[product_id],Table4[cost_price])</f>
        <v>800</v>
      </c>
      <c r="P953" s="11">
        <f>_xlfn.XLOOKUP(order[[#This Row],[order_id]],shipment[order_id],shipment[ship_date])</f>
        <v>45490</v>
      </c>
      <c r="Q953" s="11">
        <f>_xlfn.XLOOKUP(order[[#This Row],[order_id]],shipment[order_id],shipment[delivery_date])</f>
        <v>45500</v>
      </c>
      <c r="R953" s="3" t="str">
        <f>_xlfn.XLOOKUP(order[[#This Row],[order_id]],shipment[shipment_id],shipment[courier])</f>
        <v>BlueDart</v>
      </c>
      <c r="S953" s="3">
        <f>order[[#This Row],[selling_price]]-order[[#This Row],[cost_price]]*order[[#This Row],[quantity]]-order[[#This Row],[discount]]</f>
        <v>49877</v>
      </c>
      <c r="T953" s="3">
        <f>order[[#This Row],[quantity]]*order[[#This Row],[selling_price]]</f>
        <v>170862</v>
      </c>
    </row>
    <row r="954" spans="1:20" x14ac:dyDescent="0.3">
      <c r="A954">
        <v>953</v>
      </c>
      <c r="B954" s="11">
        <v>45313</v>
      </c>
      <c r="C954">
        <v>106</v>
      </c>
      <c r="D954" t="str">
        <f>_xlfn.XLOOKUP(order[[#This Row],[customer_id]],customer[customer_id],customer[customer_name])</f>
        <v>Pooja Nair</v>
      </c>
      <c r="E954">
        <v>204</v>
      </c>
      <c r="F954">
        <v>3</v>
      </c>
      <c r="G954">
        <v>23734</v>
      </c>
      <c r="H954">
        <v>10</v>
      </c>
      <c r="I954" t="s">
        <v>13</v>
      </c>
      <c r="J954" t="s">
        <v>12</v>
      </c>
      <c r="K954" t="str">
        <f>_xlfn.XLOOKUP(order[[#This Row],[customer_id]],customer[customer_id],customer[city])</f>
        <v>Pune</v>
      </c>
      <c r="L954" t="str">
        <f>_xlfn.XLOOKUP(order[[#This Row],[customer_id]],customer[customer_id],customer[state])</f>
        <v>Maharashtra</v>
      </c>
      <c r="M954" t="str">
        <f>_xlfn.XLOOKUP(order[[#This Row],[product_id]],products!$A$2:$A$11,products!$B$2:$B$11)</f>
        <v>Levi's Slim Fit Jeans</v>
      </c>
      <c r="N954" s="3" t="str">
        <f>_xlfn.XLOOKUP(order[[#This Row],[product_id]],products!$A$2:$A$11,products!$C$2:$C$11)</f>
        <v>Fashion</v>
      </c>
      <c r="O954" s="3">
        <f>_xlfn.XLOOKUP(order[[#This Row],[product_id]],Table4[product_id],Table4[cost_price])</f>
        <v>1800</v>
      </c>
      <c r="P954" s="11">
        <f>_xlfn.XLOOKUP(order[[#This Row],[order_id]],shipment[order_id],shipment[ship_date])</f>
        <v>45390</v>
      </c>
      <c r="Q954" s="11">
        <f>_xlfn.XLOOKUP(order[[#This Row],[order_id]],shipment[order_id],shipment[delivery_date])</f>
        <v>45400</v>
      </c>
      <c r="R954" s="3" t="str">
        <f>_xlfn.XLOOKUP(order[[#This Row],[order_id]],shipment[shipment_id],shipment[courier])</f>
        <v>Delhivery</v>
      </c>
      <c r="S954" s="3">
        <f>order[[#This Row],[selling_price]]-order[[#This Row],[cost_price]]*order[[#This Row],[quantity]]-order[[#This Row],[discount]]</f>
        <v>18324</v>
      </c>
      <c r="T954" s="3">
        <f>order[[#This Row],[quantity]]*order[[#This Row],[selling_price]]</f>
        <v>71202</v>
      </c>
    </row>
    <row r="955" spans="1:20" x14ac:dyDescent="0.3">
      <c r="A955">
        <v>954</v>
      </c>
      <c r="B955" s="11">
        <v>45618</v>
      </c>
      <c r="C955">
        <v>233</v>
      </c>
      <c r="D955" t="str">
        <f>_xlfn.XLOOKUP(order[[#This Row],[customer_id]],customer[customer_id],customer[customer_name])</f>
        <v>Arjun Nair</v>
      </c>
      <c r="E955">
        <v>203</v>
      </c>
      <c r="F955">
        <v>1</v>
      </c>
      <c r="G955">
        <v>24109</v>
      </c>
      <c r="H955">
        <v>4032</v>
      </c>
      <c r="I955" t="s">
        <v>9</v>
      </c>
      <c r="J955" t="s">
        <v>10</v>
      </c>
      <c r="K955" t="str">
        <f>_xlfn.XLOOKUP(order[[#This Row],[customer_id]],customer[customer_id],customer[city])</f>
        <v>Hyderabad</v>
      </c>
      <c r="L955" t="str">
        <f>_xlfn.XLOOKUP(order[[#This Row],[customer_id]],customer[customer_id],customer[state])</f>
        <v>Telangana</v>
      </c>
      <c r="M955" t="str">
        <f>_xlfn.XLOOKUP(order[[#This Row],[product_id]],products!$A$2:$A$11,products!$B$2:$B$11)</f>
        <v>Nike Air Max Shoes</v>
      </c>
      <c r="N955" s="3" t="str">
        <f>_xlfn.XLOOKUP(order[[#This Row],[product_id]],products!$A$2:$A$11,products!$C$2:$C$11)</f>
        <v>Fashion</v>
      </c>
      <c r="O955" s="3">
        <f>_xlfn.XLOOKUP(order[[#This Row],[product_id]],Table4[product_id],Table4[cost_price])</f>
        <v>4000</v>
      </c>
      <c r="P955" s="11">
        <f>_xlfn.XLOOKUP(order[[#This Row],[order_id]],shipment[order_id],shipment[ship_date])</f>
        <v>45533</v>
      </c>
      <c r="Q955" s="11">
        <f>_xlfn.XLOOKUP(order[[#This Row],[order_id]],shipment[order_id],shipment[delivery_date])</f>
        <v>45534</v>
      </c>
      <c r="R955" s="3" t="str">
        <f>_xlfn.XLOOKUP(order[[#This Row],[order_id]],shipment[shipment_id],shipment[courier])</f>
        <v>Delhivery</v>
      </c>
      <c r="S955" s="3">
        <f>order[[#This Row],[selling_price]]-order[[#This Row],[cost_price]]*order[[#This Row],[quantity]]-order[[#This Row],[discount]]</f>
        <v>16077</v>
      </c>
      <c r="T955" s="3">
        <f>order[[#This Row],[quantity]]*order[[#This Row],[selling_price]]</f>
        <v>24109</v>
      </c>
    </row>
    <row r="956" spans="1:20" x14ac:dyDescent="0.3">
      <c r="A956">
        <v>456</v>
      </c>
      <c r="B956" s="11">
        <v>45601</v>
      </c>
      <c r="C956">
        <v>107</v>
      </c>
      <c r="D956" t="str">
        <f>_xlfn.XLOOKUP(order[[#This Row],[customer_id]],customer[customer_id],customer[customer_name])</f>
        <v>Pooja Nair</v>
      </c>
      <c r="E956">
        <v>208</v>
      </c>
      <c r="F956">
        <v>3</v>
      </c>
      <c r="G956">
        <v>13949</v>
      </c>
      <c r="H956">
        <v>4746</v>
      </c>
      <c r="I956" t="s">
        <v>15</v>
      </c>
      <c r="J956" t="s">
        <v>12</v>
      </c>
      <c r="K956" t="str">
        <f>_xlfn.XLOOKUP(order[[#This Row],[customer_id]],customer[customer_id],customer[city])</f>
        <v>Pune</v>
      </c>
      <c r="L956" t="str">
        <f>_xlfn.XLOOKUP(order[[#This Row],[customer_id]],customer[customer_id],customer[state])</f>
        <v>Maharashtra</v>
      </c>
      <c r="M956" t="str">
        <f>_xlfn.XLOOKUP(order[[#This Row],[product_id]],products!$A$2:$A$11,products!$B$2:$B$11)</f>
        <v>Adidas Ultraboost Shoes</v>
      </c>
      <c r="N956" s="3" t="str">
        <f>_xlfn.XLOOKUP(order[[#This Row],[product_id]],products!$A$2:$A$11,products!$C$2:$C$11)</f>
        <v>Fashion</v>
      </c>
      <c r="O956" s="3">
        <f>_xlfn.XLOOKUP(order[[#This Row],[product_id]],Table4[product_id],Table4[cost_price])</f>
        <v>9000</v>
      </c>
      <c r="P956" s="11">
        <f>_xlfn.XLOOKUP(order[[#This Row],[order_id]],shipment[order_id],shipment[ship_date])</f>
        <v>45394</v>
      </c>
      <c r="Q956" s="11">
        <f>_xlfn.XLOOKUP(order[[#This Row],[order_id]],shipment[order_id],shipment[delivery_date])</f>
        <v>45399</v>
      </c>
      <c r="R956" s="3" t="str">
        <f>_xlfn.XLOOKUP(order[[#This Row],[order_id]],shipment[shipment_id],shipment[courier])</f>
        <v>BlueDart</v>
      </c>
      <c r="S956" s="3">
        <f>order[[#This Row],[selling_price]]-order[[#This Row],[cost_price]]*order[[#This Row],[quantity]]-order[[#This Row],[discount]]</f>
        <v>-17797</v>
      </c>
      <c r="T956" s="3">
        <f>order[[#This Row],[quantity]]*order[[#This Row],[selling_price]]</f>
        <v>41847</v>
      </c>
    </row>
    <row r="957" spans="1:20" x14ac:dyDescent="0.3">
      <c r="A957">
        <v>956</v>
      </c>
      <c r="B957" s="11">
        <v>45481</v>
      </c>
      <c r="C957">
        <v>220</v>
      </c>
      <c r="D957" t="str">
        <f>_xlfn.XLOOKUP(order[[#This Row],[customer_id]],customer[customer_id],customer[customer_name])</f>
        <v>Rahul Mehta</v>
      </c>
      <c r="E957">
        <v>208</v>
      </c>
      <c r="F957">
        <v>4</v>
      </c>
      <c r="G957">
        <v>67312</v>
      </c>
      <c r="H957">
        <v>911</v>
      </c>
      <c r="I957" t="s">
        <v>9</v>
      </c>
      <c r="J957" t="s">
        <v>12</v>
      </c>
      <c r="K957" t="str">
        <f>_xlfn.XLOOKUP(order[[#This Row],[customer_id]],customer[customer_id],customer[city])</f>
        <v>Chennai</v>
      </c>
      <c r="L957" t="str">
        <f>_xlfn.XLOOKUP(order[[#This Row],[customer_id]],customer[customer_id],customer[state])</f>
        <v>Tamil Nadu</v>
      </c>
      <c r="M957" t="str">
        <f>_xlfn.XLOOKUP(order[[#This Row],[product_id]],products!$A$2:$A$11,products!$B$2:$B$11)</f>
        <v>Adidas Ultraboost Shoes</v>
      </c>
      <c r="N957" s="3" t="str">
        <f>_xlfn.XLOOKUP(order[[#This Row],[product_id]],products!$A$2:$A$11,products!$C$2:$C$11)</f>
        <v>Fashion</v>
      </c>
      <c r="O957" s="3">
        <f>_xlfn.XLOOKUP(order[[#This Row],[product_id]],Table4[product_id],Table4[cost_price])</f>
        <v>9000</v>
      </c>
      <c r="P957" s="11">
        <f>_xlfn.XLOOKUP(order[[#This Row],[order_id]],shipment[order_id],shipment[ship_date])</f>
        <v>45563</v>
      </c>
      <c r="Q957" s="11">
        <f>_xlfn.XLOOKUP(order[[#This Row],[order_id]],shipment[order_id],shipment[delivery_date])</f>
        <v>45566</v>
      </c>
      <c r="R957" s="3" t="str">
        <f>_xlfn.XLOOKUP(order[[#This Row],[order_id]],shipment[shipment_id],shipment[courier])</f>
        <v>Delhivery</v>
      </c>
      <c r="S957" s="3">
        <f>order[[#This Row],[selling_price]]-order[[#This Row],[cost_price]]*order[[#This Row],[quantity]]-order[[#This Row],[discount]]</f>
        <v>30401</v>
      </c>
      <c r="T957" s="3">
        <f>order[[#This Row],[quantity]]*order[[#This Row],[selling_price]]</f>
        <v>269248</v>
      </c>
    </row>
    <row r="958" spans="1:20" x14ac:dyDescent="0.3">
      <c r="A958">
        <v>260</v>
      </c>
      <c r="B958" s="11">
        <v>45381</v>
      </c>
      <c r="C958">
        <v>267</v>
      </c>
      <c r="D958" t="str">
        <f>_xlfn.XLOOKUP(order[[#This Row],[customer_id]],customer[customer_id],customer[customer_name])</f>
        <v>Neha Kapoor</v>
      </c>
      <c r="E958">
        <v>208</v>
      </c>
      <c r="F958">
        <v>4</v>
      </c>
      <c r="G958">
        <v>15613</v>
      </c>
      <c r="H958">
        <v>4599</v>
      </c>
      <c r="I958" t="s">
        <v>15</v>
      </c>
      <c r="J958" t="s">
        <v>14</v>
      </c>
      <c r="K958" t="str">
        <f>_xlfn.XLOOKUP(order[[#This Row],[customer_id]],customer[customer_id],customer[city])</f>
        <v>Hyderabad</v>
      </c>
      <c r="L958" t="str">
        <f>_xlfn.XLOOKUP(order[[#This Row],[customer_id]],customer[customer_id],customer[state])</f>
        <v>Telangana</v>
      </c>
      <c r="M958" t="str">
        <f>_xlfn.XLOOKUP(order[[#This Row],[product_id]],products!$A$2:$A$11,products!$B$2:$B$11)</f>
        <v>Adidas Ultraboost Shoes</v>
      </c>
      <c r="N958" s="3" t="str">
        <f>_xlfn.XLOOKUP(order[[#This Row],[product_id]],products!$A$2:$A$11,products!$C$2:$C$11)</f>
        <v>Fashion</v>
      </c>
      <c r="O958" s="3">
        <f>_xlfn.XLOOKUP(order[[#This Row],[product_id]],Table4[product_id],Table4[cost_price])</f>
        <v>9000</v>
      </c>
      <c r="P958" s="11">
        <f>_xlfn.XLOOKUP(order[[#This Row],[order_id]],shipment[order_id],shipment[ship_date])</f>
        <v>45353</v>
      </c>
      <c r="Q958" s="11">
        <f>_xlfn.XLOOKUP(order[[#This Row],[order_id]],shipment[order_id],shipment[delivery_date])</f>
        <v>45356</v>
      </c>
      <c r="R958" s="3" t="str">
        <f>_xlfn.XLOOKUP(order[[#This Row],[order_id]],shipment[shipment_id],shipment[courier])</f>
        <v>BlueDart</v>
      </c>
      <c r="S958" s="3">
        <f>order[[#This Row],[selling_price]]-order[[#This Row],[cost_price]]*order[[#This Row],[quantity]]-order[[#This Row],[discount]]</f>
        <v>-24986</v>
      </c>
      <c r="T958" s="3">
        <f>order[[#This Row],[quantity]]*order[[#This Row],[selling_price]]</f>
        <v>62452</v>
      </c>
    </row>
    <row r="959" spans="1:20" x14ac:dyDescent="0.3">
      <c r="A959">
        <v>958</v>
      </c>
      <c r="B959" s="11">
        <v>45407</v>
      </c>
      <c r="C959">
        <v>272</v>
      </c>
      <c r="D959" t="str">
        <f>_xlfn.XLOOKUP(order[[#This Row],[customer_id]],customer[customer_id],customer[customer_name])</f>
        <v>Manish Yadav</v>
      </c>
      <c r="E959">
        <v>205</v>
      </c>
      <c r="F959">
        <v>2</v>
      </c>
      <c r="G959">
        <v>35064</v>
      </c>
      <c r="H959">
        <v>588</v>
      </c>
      <c r="I959" t="s">
        <v>9</v>
      </c>
      <c r="J959" t="s">
        <v>10</v>
      </c>
      <c r="K959" t="str">
        <f>_xlfn.XLOOKUP(order[[#This Row],[customer_id]],customer[customer_id],customer[city])</f>
        <v>Hyderabad</v>
      </c>
      <c r="L959" t="str">
        <f>_xlfn.XLOOKUP(order[[#This Row],[customer_id]],customer[customer_id],customer[state])</f>
        <v>Telangana</v>
      </c>
      <c r="M959" t="str">
        <f>_xlfn.XLOOKUP(order[[#This Row],[product_id]],products!$A$2:$A$11,products!$B$2:$B$11)</f>
        <v>Prestige Pressure Cooker 5L</v>
      </c>
      <c r="N959" s="3" t="str">
        <f>_xlfn.XLOOKUP(order[[#This Row],[product_id]],products!$A$2:$A$11,products!$C$2:$C$11)</f>
        <v>Home &amp; Kitchen</v>
      </c>
      <c r="O959" s="3">
        <f>_xlfn.XLOOKUP(order[[#This Row],[product_id]],Table4[product_id],Table4[cost_price])</f>
        <v>1200</v>
      </c>
      <c r="P959" s="11">
        <f>_xlfn.XLOOKUP(order[[#This Row],[order_id]],shipment[order_id],shipment[ship_date])</f>
        <v>45294</v>
      </c>
      <c r="Q959" s="11">
        <f>_xlfn.XLOOKUP(order[[#This Row],[order_id]],shipment[order_id],shipment[delivery_date])</f>
        <v>45303</v>
      </c>
      <c r="R959" s="3" t="str">
        <f>_xlfn.XLOOKUP(order[[#This Row],[order_id]],shipment[shipment_id],shipment[courier])</f>
        <v>BlueDart</v>
      </c>
      <c r="S959" s="3">
        <f>order[[#This Row],[selling_price]]-order[[#This Row],[cost_price]]*order[[#This Row],[quantity]]-order[[#This Row],[discount]]</f>
        <v>32076</v>
      </c>
      <c r="T959" s="3">
        <f>order[[#This Row],[quantity]]*order[[#This Row],[selling_price]]</f>
        <v>70128</v>
      </c>
    </row>
    <row r="960" spans="1:20" x14ac:dyDescent="0.3">
      <c r="A960">
        <v>959</v>
      </c>
      <c r="B960" s="11">
        <v>45525</v>
      </c>
      <c r="C960">
        <v>182</v>
      </c>
      <c r="D960" t="str">
        <f>_xlfn.XLOOKUP(order[[#This Row],[customer_id]],customer[customer_id],customer[customer_name])</f>
        <v>Meera Joshi</v>
      </c>
      <c r="E960">
        <v>204</v>
      </c>
      <c r="F960">
        <v>1</v>
      </c>
      <c r="G960">
        <v>12266</v>
      </c>
      <c r="H960">
        <v>2744</v>
      </c>
      <c r="I960" t="s">
        <v>11</v>
      </c>
      <c r="J960" t="s">
        <v>12</v>
      </c>
      <c r="K960" t="str">
        <f>_xlfn.XLOOKUP(order[[#This Row],[customer_id]],customer[customer_id],customer[city])</f>
        <v>Delhi</v>
      </c>
      <c r="L960" t="str">
        <f>_xlfn.XLOOKUP(order[[#This Row],[customer_id]],customer[customer_id],customer[state])</f>
        <v>Delhi</v>
      </c>
      <c r="M960" t="str">
        <f>_xlfn.XLOOKUP(order[[#This Row],[product_id]],products!$A$2:$A$11,products!$B$2:$B$11)</f>
        <v>Levi's Slim Fit Jeans</v>
      </c>
      <c r="N960" s="3" t="str">
        <f>_xlfn.XLOOKUP(order[[#This Row],[product_id]],products!$A$2:$A$11,products!$C$2:$C$11)</f>
        <v>Fashion</v>
      </c>
      <c r="O960" s="3">
        <f>_xlfn.XLOOKUP(order[[#This Row],[product_id]],Table4[product_id],Table4[cost_price])</f>
        <v>1800</v>
      </c>
      <c r="P960" s="11">
        <f>_xlfn.XLOOKUP(order[[#This Row],[order_id]],shipment[order_id],shipment[ship_date])</f>
        <v>45484</v>
      </c>
      <c r="Q960" s="11">
        <f>_xlfn.XLOOKUP(order[[#This Row],[order_id]],shipment[order_id],shipment[delivery_date])</f>
        <v>45485</v>
      </c>
      <c r="R960" s="3" t="str">
        <f>_xlfn.XLOOKUP(order[[#This Row],[order_id]],shipment[shipment_id],shipment[courier])</f>
        <v>BlueDart</v>
      </c>
      <c r="S960" s="3">
        <f>order[[#This Row],[selling_price]]-order[[#This Row],[cost_price]]*order[[#This Row],[quantity]]-order[[#This Row],[discount]]</f>
        <v>7722</v>
      </c>
      <c r="T960" s="3">
        <f>order[[#This Row],[quantity]]*order[[#This Row],[selling_price]]</f>
        <v>12266</v>
      </c>
    </row>
    <row r="961" spans="1:20" x14ac:dyDescent="0.3">
      <c r="A961">
        <v>960</v>
      </c>
      <c r="B961" s="11">
        <v>45551</v>
      </c>
      <c r="C961">
        <v>192</v>
      </c>
      <c r="D961" t="str">
        <f>_xlfn.XLOOKUP(order[[#This Row],[customer_id]],customer[customer_id],customer[customer_name])</f>
        <v>Sneha Iyer</v>
      </c>
      <c r="E961">
        <v>203</v>
      </c>
      <c r="F961">
        <v>3</v>
      </c>
      <c r="G961">
        <v>68681</v>
      </c>
      <c r="H961">
        <v>2390</v>
      </c>
      <c r="I961" t="s">
        <v>11</v>
      </c>
      <c r="J961" t="s">
        <v>12</v>
      </c>
      <c r="K961" t="str">
        <f>_xlfn.XLOOKUP(order[[#This Row],[customer_id]],customer[customer_id],customer[city])</f>
        <v>Delhi</v>
      </c>
      <c r="L961" t="str">
        <f>_xlfn.XLOOKUP(order[[#This Row],[customer_id]],customer[customer_id],customer[state])</f>
        <v>Delhi</v>
      </c>
      <c r="M961" t="str">
        <f>_xlfn.XLOOKUP(order[[#This Row],[product_id]],products!$A$2:$A$11,products!$B$2:$B$11)</f>
        <v>Nike Air Max Shoes</v>
      </c>
      <c r="N961" s="3" t="str">
        <f>_xlfn.XLOOKUP(order[[#This Row],[product_id]],products!$A$2:$A$11,products!$C$2:$C$11)</f>
        <v>Fashion</v>
      </c>
      <c r="O961" s="3">
        <f>_xlfn.XLOOKUP(order[[#This Row],[product_id]],Table4[product_id],Table4[cost_price])</f>
        <v>4000</v>
      </c>
      <c r="P961" s="11">
        <f>_xlfn.XLOOKUP(order[[#This Row],[order_id]],shipment[order_id],shipment[ship_date])</f>
        <v>45576</v>
      </c>
      <c r="Q961" s="11">
        <f>_xlfn.XLOOKUP(order[[#This Row],[order_id]],shipment[order_id],shipment[delivery_date])</f>
        <v>45582</v>
      </c>
      <c r="R961" s="3" t="str">
        <f>_xlfn.XLOOKUP(order[[#This Row],[order_id]],shipment[shipment_id],shipment[courier])</f>
        <v>BlueDart</v>
      </c>
      <c r="S961" s="3">
        <f>order[[#This Row],[selling_price]]-order[[#This Row],[cost_price]]*order[[#This Row],[quantity]]-order[[#This Row],[discount]]</f>
        <v>54291</v>
      </c>
      <c r="T961" s="3">
        <f>order[[#This Row],[quantity]]*order[[#This Row],[selling_price]]</f>
        <v>206043</v>
      </c>
    </row>
    <row r="962" spans="1:20" x14ac:dyDescent="0.3">
      <c r="A962">
        <v>394</v>
      </c>
      <c r="B962" s="11">
        <v>45345</v>
      </c>
      <c r="C962">
        <v>222</v>
      </c>
      <c r="D962" t="str">
        <f>_xlfn.XLOOKUP(order[[#This Row],[customer_id]],customer[customer_id],customer[customer_name])</f>
        <v>Ananya Gupta</v>
      </c>
      <c r="E962">
        <v>208</v>
      </c>
      <c r="F962">
        <v>3</v>
      </c>
      <c r="G962">
        <v>30573</v>
      </c>
      <c r="H962">
        <v>4532</v>
      </c>
      <c r="I962" t="s">
        <v>15</v>
      </c>
      <c r="J962" t="s">
        <v>10</v>
      </c>
      <c r="K962" t="str">
        <f>_xlfn.XLOOKUP(order[[#This Row],[customer_id]],customer[customer_id],customer[city])</f>
        <v>Chennai</v>
      </c>
      <c r="L962" t="str">
        <f>_xlfn.XLOOKUP(order[[#This Row],[customer_id]],customer[customer_id],customer[state])</f>
        <v>Tamil Nadu</v>
      </c>
      <c r="M962" t="str">
        <f>_xlfn.XLOOKUP(order[[#This Row],[product_id]],products!$A$2:$A$11,products!$B$2:$B$11)</f>
        <v>Adidas Ultraboost Shoes</v>
      </c>
      <c r="N962" s="3" t="str">
        <f>_xlfn.XLOOKUP(order[[#This Row],[product_id]],products!$A$2:$A$11,products!$C$2:$C$11)</f>
        <v>Fashion</v>
      </c>
      <c r="O962" s="3">
        <f>_xlfn.XLOOKUP(order[[#This Row],[product_id]],Table4[product_id],Table4[cost_price])</f>
        <v>9000</v>
      </c>
      <c r="P962" s="11">
        <f>_xlfn.XLOOKUP(order[[#This Row],[order_id]],shipment[order_id],shipment[ship_date])</f>
        <v>45548</v>
      </c>
      <c r="Q962" s="11">
        <f>_xlfn.XLOOKUP(order[[#This Row],[order_id]],shipment[order_id],shipment[delivery_date])</f>
        <v>45555</v>
      </c>
      <c r="R962" s="3" t="str">
        <f>_xlfn.XLOOKUP(order[[#This Row],[order_id]],shipment[shipment_id],shipment[courier])</f>
        <v>DTDC</v>
      </c>
      <c r="S962" s="3">
        <f>order[[#This Row],[selling_price]]-order[[#This Row],[cost_price]]*order[[#This Row],[quantity]]-order[[#This Row],[discount]]</f>
        <v>-959</v>
      </c>
      <c r="T962" s="3">
        <f>order[[#This Row],[quantity]]*order[[#This Row],[selling_price]]</f>
        <v>91719</v>
      </c>
    </row>
    <row r="963" spans="1:20" x14ac:dyDescent="0.3">
      <c r="A963">
        <v>962</v>
      </c>
      <c r="B963" s="11">
        <v>45392</v>
      </c>
      <c r="C963">
        <v>279</v>
      </c>
      <c r="D963" t="str">
        <f>_xlfn.XLOOKUP(order[[#This Row],[customer_id]],customer[customer_id],customer[customer_name])</f>
        <v>Rohit Verma</v>
      </c>
      <c r="E963">
        <v>206</v>
      </c>
      <c r="F963">
        <v>4</v>
      </c>
      <c r="G963">
        <v>37049</v>
      </c>
      <c r="H963">
        <v>2957</v>
      </c>
      <c r="I963" t="s">
        <v>9</v>
      </c>
      <c r="J963" t="s">
        <v>10</v>
      </c>
      <c r="K963" t="str">
        <f>_xlfn.XLOOKUP(order[[#This Row],[customer_id]],customer[customer_id],customer[city])</f>
        <v>Pune</v>
      </c>
      <c r="L963" t="str">
        <f>_xlfn.XLOOKUP(order[[#This Row],[customer_id]],customer[customer_id],customer[state])</f>
        <v>Maharashtra</v>
      </c>
      <c r="M963" t="str">
        <f>_xlfn.XLOOKUP(order[[#This Row],[product_id]],products!$A$2:$A$11,products!$B$2:$B$11)</f>
        <v>Philips Air Fryer</v>
      </c>
      <c r="N963" s="3" t="str">
        <f>_xlfn.XLOOKUP(order[[#This Row],[product_id]],products!$A$2:$A$11,products!$C$2:$C$11)</f>
        <v>Home &amp; Kitchen</v>
      </c>
      <c r="O963" s="3">
        <f>_xlfn.XLOOKUP(order[[#This Row],[product_id]],Table4[product_id],Table4[cost_price])</f>
        <v>7000</v>
      </c>
      <c r="P963" s="11">
        <f>_xlfn.XLOOKUP(order[[#This Row],[order_id]],shipment[order_id],shipment[ship_date])</f>
        <v>45378</v>
      </c>
      <c r="Q963" s="11">
        <f>_xlfn.XLOOKUP(order[[#This Row],[order_id]],shipment[order_id],shipment[delivery_date])</f>
        <v>45380</v>
      </c>
      <c r="R963" s="3" t="str">
        <f>_xlfn.XLOOKUP(order[[#This Row],[order_id]],shipment[shipment_id],shipment[courier])</f>
        <v>Ekart</v>
      </c>
      <c r="S963" s="3">
        <f>order[[#This Row],[selling_price]]-order[[#This Row],[cost_price]]*order[[#This Row],[quantity]]-order[[#This Row],[discount]]</f>
        <v>6092</v>
      </c>
      <c r="T963" s="3">
        <f>order[[#This Row],[quantity]]*order[[#This Row],[selling_price]]</f>
        <v>148196</v>
      </c>
    </row>
    <row r="964" spans="1:20" x14ac:dyDescent="0.3">
      <c r="A964">
        <v>444</v>
      </c>
      <c r="B964" s="11">
        <v>45371</v>
      </c>
      <c r="C964">
        <v>258</v>
      </c>
      <c r="D964" t="str">
        <f>_xlfn.XLOOKUP(order[[#This Row],[customer_id]],customer[customer_id],customer[customer_name])</f>
        <v>Manish Yadav</v>
      </c>
      <c r="E964">
        <v>208</v>
      </c>
      <c r="F964">
        <v>1</v>
      </c>
      <c r="G964">
        <v>8709</v>
      </c>
      <c r="H964">
        <v>4344</v>
      </c>
      <c r="I964" t="s">
        <v>13</v>
      </c>
      <c r="J964" t="s">
        <v>14</v>
      </c>
      <c r="K964" t="str">
        <f>_xlfn.XLOOKUP(order[[#This Row],[customer_id]],customer[customer_id],customer[city])</f>
        <v>Delhi</v>
      </c>
      <c r="L964" t="str">
        <f>_xlfn.XLOOKUP(order[[#This Row],[customer_id]],customer[customer_id],customer[state])</f>
        <v>Delhi</v>
      </c>
      <c r="M964" t="str">
        <f>_xlfn.XLOOKUP(order[[#This Row],[product_id]],products!$A$2:$A$11,products!$B$2:$B$11)</f>
        <v>Adidas Ultraboost Shoes</v>
      </c>
      <c r="N964" s="3" t="str">
        <f>_xlfn.XLOOKUP(order[[#This Row],[product_id]],products!$A$2:$A$11,products!$C$2:$C$11)</f>
        <v>Fashion</v>
      </c>
      <c r="O964" s="3">
        <f>_xlfn.XLOOKUP(order[[#This Row],[product_id]],Table4[product_id],Table4[cost_price])</f>
        <v>9000</v>
      </c>
      <c r="P964" s="11">
        <f>_xlfn.XLOOKUP(order[[#This Row],[order_id]],shipment[order_id],shipment[ship_date])</f>
        <v>45370</v>
      </c>
      <c r="Q964" s="11">
        <f>_xlfn.XLOOKUP(order[[#This Row],[order_id]],shipment[order_id],shipment[delivery_date])</f>
        <v>45378</v>
      </c>
      <c r="R964" s="3" t="str">
        <f>_xlfn.XLOOKUP(order[[#This Row],[order_id]],shipment[shipment_id],shipment[courier])</f>
        <v>BlueDart</v>
      </c>
      <c r="S964" s="3">
        <f>order[[#This Row],[selling_price]]-order[[#This Row],[cost_price]]*order[[#This Row],[quantity]]-order[[#This Row],[discount]]</f>
        <v>-4635</v>
      </c>
      <c r="T964" s="3">
        <f>order[[#This Row],[quantity]]*order[[#This Row],[selling_price]]</f>
        <v>8709</v>
      </c>
    </row>
    <row r="965" spans="1:20" x14ac:dyDescent="0.3">
      <c r="A965">
        <v>964</v>
      </c>
      <c r="B965" s="11">
        <v>45404</v>
      </c>
      <c r="C965">
        <v>213</v>
      </c>
      <c r="D965" t="str">
        <f>_xlfn.XLOOKUP(order[[#This Row],[customer_id]],customer[customer_id],customer[customer_name])</f>
        <v>Arjun Nair</v>
      </c>
      <c r="E965">
        <v>208</v>
      </c>
      <c r="F965">
        <v>3</v>
      </c>
      <c r="G965">
        <v>33800</v>
      </c>
      <c r="H965">
        <v>629</v>
      </c>
      <c r="I965" t="s">
        <v>11</v>
      </c>
      <c r="J965" t="s">
        <v>10</v>
      </c>
      <c r="K965" t="str">
        <f>_xlfn.XLOOKUP(order[[#This Row],[customer_id]],customer[customer_id],customer[city])</f>
        <v>Ahmedabad</v>
      </c>
      <c r="L965" t="str">
        <f>_xlfn.XLOOKUP(order[[#This Row],[customer_id]],customer[customer_id],customer[state])</f>
        <v>Gujarat</v>
      </c>
      <c r="M965" t="str">
        <f>_xlfn.XLOOKUP(order[[#This Row],[product_id]],products!$A$2:$A$11,products!$B$2:$B$11)</f>
        <v>Adidas Ultraboost Shoes</v>
      </c>
      <c r="N965" s="3" t="str">
        <f>_xlfn.XLOOKUP(order[[#This Row],[product_id]],products!$A$2:$A$11,products!$C$2:$C$11)</f>
        <v>Fashion</v>
      </c>
      <c r="O965" s="3">
        <f>_xlfn.XLOOKUP(order[[#This Row],[product_id]],Table4[product_id],Table4[cost_price])</f>
        <v>9000</v>
      </c>
      <c r="P965" s="11">
        <f>_xlfn.XLOOKUP(order[[#This Row],[order_id]],shipment[order_id],shipment[ship_date])</f>
        <v>45474</v>
      </c>
      <c r="Q965" s="11">
        <f>_xlfn.XLOOKUP(order[[#This Row],[order_id]],shipment[order_id],shipment[delivery_date])</f>
        <v>45484</v>
      </c>
      <c r="R965" s="3" t="str">
        <f>_xlfn.XLOOKUP(order[[#This Row],[order_id]],shipment[shipment_id],shipment[courier])</f>
        <v>Delhivery</v>
      </c>
      <c r="S965" s="3">
        <f>order[[#This Row],[selling_price]]-order[[#This Row],[cost_price]]*order[[#This Row],[quantity]]-order[[#This Row],[discount]]</f>
        <v>6171</v>
      </c>
      <c r="T965" s="3">
        <f>order[[#This Row],[quantity]]*order[[#This Row],[selling_price]]</f>
        <v>101400</v>
      </c>
    </row>
    <row r="966" spans="1:20" x14ac:dyDescent="0.3">
      <c r="A966">
        <v>264</v>
      </c>
      <c r="B966" s="11">
        <v>45520</v>
      </c>
      <c r="C966">
        <v>266</v>
      </c>
      <c r="D966" t="str">
        <f>_xlfn.XLOOKUP(order[[#This Row],[customer_id]],customer[customer_id],customer[customer_name])</f>
        <v>Karan Patel</v>
      </c>
      <c r="E966">
        <v>208</v>
      </c>
      <c r="F966">
        <v>3</v>
      </c>
      <c r="G966">
        <v>16422</v>
      </c>
      <c r="H966">
        <v>4342</v>
      </c>
      <c r="I966" t="s">
        <v>13</v>
      </c>
      <c r="J966" t="s">
        <v>12</v>
      </c>
      <c r="K966" t="str">
        <f>_xlfn.XLOOKUP(order[[#This Row],[customer_id]],customer[customer_id],customer[city])</f>
        <v>Chennai</v>
      </c>
      <c r="L966" t="str">
        <f>_xlfn.XLOOKUP(order[[#This Row],[customer_id]],customer[customer_id],customer[state])</f>
        <v>Tamil Nadu</v>
      </c>
      <c r="M966" t="str">
        <f>_xlfn.XLOOKUP(order[[#This Row],[product_id]],products!$A$2:$A$11,products!$B$2:$B$11)</f>
        <v>Adidas Ultraboost Shoes</v>
      </c>
      <c r="N966" s="3" t="str">
        <f>_xlfn.XLOOKUP(order[[#This Row],[product_id]],products!$A$2:$A$11,products!$C$2:$C$11)</f>
        <v>Fashion</v>
      </c>
      <c r="O966" s="3">
        <f>_xlfn.XLOOKUP(order[[#This Row],[product_id]],Table4[product_id],Table4[cost_price])</f>
        <v>9000</v>
      </c>
      <c r="P966" s="11">
        <f>_xlfn.XLOOKUP(order[[#This Row],[order_id]],shipment[order_id],shipment[ship_date])</f>
        <v>45296</v>
      </c>
      <c r="Q966" s="11">
        <f>_xlfn.XLOOKUP(order[[#This Row],[order_id]],shipment[order_id],shipment[delivery_date])</f>
        <v>45305</v>
      </c>
      <c r="R966" s="3" t="str">
        <f>_xlfn.XLOOKUP(order[[#This Row],[order_id]],shipment[shipment_id],shipment[courier])</f>
        <v>DTDC</v>
      </c>
      <c r="S966" s="3">
        <f>order[[#This Row],[selling_price]]-order[[#This Row],[cost_price]]*order[[#This Row],[quantity]]-order[[#This Row],[discount]]</f>
        <v>-14920</v>
      </c>
      <c r="T966" s="3">
        <f>order[[#This Row],[quantity]]*order[[#This Row],[selling_price]]</f>
        <v>49266</v>
      </c>
    </row>
    <row r="967" spans="1:20" x14ac:dyDescent="0.3">
      <c r="A967">
        <v>2</v>
      </c>
      <c r="B967" s="11">
        <v>45479</v>
      </c>
      <c r="C967">
        <v>252</v>
      </c>
      <c r="D967" t="str">
        <f>_xlfn.XLOOKUP(order[[#This Row],[customer_id]],customer[customer_id],customer[customer_name])</f>
        <v>Ananya Gupta</v>
      </c>
      <c r="E967">
        <v>208</v>
      </c>
      <c r="F967">
        <v>4</v>
      </c>
      <c r="G967">
        <v>14136</v>
      </c>
      <c r="H967">
        <v>4244</v>
      </c>
      <c r="I967" t="s">
        <v>11</v>
      </c>
      <c r="J967" t="s">
        <v>12</v>
      </c>
      <c r="K967" t="str">
        <f>_xlfn.XLOOKUP(order[[#This Row],[customer_id]],customer[customer_id],customer[city])</f>
        <v>Pune</v>
      </c>
      <c r="L967" t="str">
        <f>_xlfn.XLOOKUP(order[[#This Row],[customer_id]],customer[customer_id],customer[state])</f>
        <v>Maharashtra</v>
      </c>
      <c r="M967" t="str">
        <f>_xlfn.XLOOKUP(order[[#This Row],[product_id]],products!$A$2:$A$11,products!$B$2:$B$11)</f>
        <v>Adidas Ultraboost Shoes</v>
      </c>
      <c r="N967" s="3" t="str">
        <f>_xlfn.XLOOKUP(order[[#This Row],[product_id]],products!$A$2:$A$11,products!$C$2:$C$11)</f>
        <v>Fashion</v>
      </c>
      <c r="O967" s="3">
        <f>_xlfn.XLOOKUP(order[[#This Row],[product_id]],Table4[product_id],Table4[cost_price])</f>
        <v>9000</v>
      </c>
      <c r="P967" s="11">
        <f>_xlfn.XLOOKUP(order[[#This Row],[order_id]],shipment[order_id],shipment[ship_date])</f>
        <v>45557</v>
      </c>
      <c r="Q967" s="11">
        <f>_xlfn.XLOOKUP(order[[#This Row],[order_id]],shipment[order_id],shipment[delivery_date])</f>
        <v>45560</v>
      </c>
      <c r="R967" s="3" t="str">
        <f>_xlfn.XLOOKUP(order[[#This Row],[order_id]],shipment[shipment_id],shipment[courier])</f>
        <v>BlueDart</v>
      </c>
      <c r="S967" s="3">
        <f>order[[#This Row],[selling_price]]-order[[#This Row],[cost_price]]*order[[#This Row],[quantity]]-order[[#This Row],[discount]]</f>
        <v>-26108</v>
      </c>
      <c r="T967" s="3">
        <f>order[[#This Row],[quantity]]*order[[#This Row],[selling_price]]</f>
        <v>56544</v>
      </c>
    </row>
    <row r="968" spans="1:20" x14ac:dyDescent="0.3">
      <c r="A968">
        <v>811</v>
      </c>
      <c r="B968" s="11">
        <v>45399</v>
      </c>
      <c r="C968">
        <v>150</v>
      </c>
      <c r="D968" t="str">
        <f>_xlfn.XLOOKUP(order[[#This Row],[customer_id]],customer[customer_id],customer[customer_name])</f>
        <v>Vikram Singh</v>
      </c>
      <c r="E968">
        <v>208</v>
      </c>
      <c r="F968">
        <v>3</v>
      </c>
      <c r="G968">
        <v>15505</v>
      </c>
      <c r="H968">
        <v>4140</v>
      </c>
      <c r="I968" t="s">
        <v>15</v>
      </c>
      <c r="J968" t="s">
        <v>14</v>
      </c>
      <c r="K968" t="str">
        <f>_xlfn.XLOOKUP(order[[#This Row],[customer_id]],customer[customer_id],customer[city])</f>
        <v>Mumbai</v>
      </c>
      <c r="L968" t="str">
        <f>_xlfn.XLOOKUP(order[[#This Row],[customer_id]],customer[customer_id],customer[state])</f>
        <v>Maharashtra</v>
      </c>
      <c r="M968" t="str">
        <f>_xlfn.XLOOKUP(order[[#This Row],[product_id]],products!$A$2:$A$11,products!$B$2:$B$11)</f>
        <v>Adidas Ultraboost Shoes</v>
      </c>
      <c r="N968" s="3" t="str">
        <f>_xlfn.XLOOKUP(order[[#This Row],[product_id]],products!$A$2:$A$11,products!$C$2:$C$11)</f>
        <v>Fashion</v>
      </c>
      <c r="O968" s="3">
        <f>_xlfn.XLOOKUP(order[[#This Row],[product_id]],Table4[product_id],Table4[cost_price])</f>
        <v>9000</v>
      </c>
      <c r="P968" s="11">
        <f>_xlfn.XLOOKUP(order[[#This Row],[order_id]],shipment[order_id],shipment[ship_date])</f>
        <v>45458</v>
      </c>
      <c r="Q968" s="11">
        <f>_xlfn.XLOOKUP(order[[#This Row],[order_id]],shipment[order_id],shipment[delivery_date])</f>
        <v>45467</v>
      </c>
      <c r="R968" s="3" t="str">
        <f>_xlfn.XLOOKUP(order[[#This Row],[order_id]],shipment[shipment_id],shipment[courier])</f>
        <v>Ekart</v>
      </c>
      <c r="S968" s="3">
        <f>order[[#This Row],[selling_price]]-order[[#This Row],[cost_price]]*order[[#This Row],[quantity]]-order[[#This Row],[discount]]</f>
        <v>-15635</v>
      </c>
      <c r="T968" s="3">
        <f>order[[#This Row],[quantity]]*order[[#This Row],[selling_price]]</f>
        <v>46515</v>
      </c>
    </row>
    <row r="969" spans="1:20" x14ac:dyDescent="0.3">
      <c r="A969">
        <v>968</v>
      </c>
      <c r="B969" s="11">
        <v>45509</v>
      </c>
      <c r="C969">
        <v>153</v>
      </c>
      <c r="D969" t="str">
        <f>_xlfn.XLOOKUP(order[[#This Row],[customer_id]],customer[customer_id],customer[customer_name])</f>
        <v>Meera Joshi</v>
      </c>
      <c r="E969">
        <v>209</v>
      </c>
      <c r="F969">
        <v>2</v>
      </c>
      <c r="G969">
        <v>59670</v>
      </c>
      <c r="H969">
        <v>2712</v>
      </c>
      <c r="I969" t="s">
        <v>11</v>
      </c>
      <c r="J969" t="s">
        <v>10</v>
      </c>
      <c r="K969" t="str">
        <f>_xlfn.XLOOKUP(order[[#This Row],[customer_id]],customer[customer_id],customer[city])</f>
        <v>Ahmedabad</v>
      </c>
      <c r="L969" t="str">
        <f>_xlfn.XLOOKUP(order[[#This Row],[customer_id]],customer[customer_id],customer[state])</f>
        <v>Gujarat</v>
      </c>
      <c r="M969" t="str">
        <f>_xlfn.XLOOKUP(order[[#This Row],[product_id]],products!$A$2:$A$11,products!$B$2:$B$11)</f>
        <v>Milton Thermosteel Bottle</v>
      </c>
      <c r="N969" s="3" t="str">
        <f>_xlfn.XLOOKUP(order[[#This Row],[product_id]],products!$A$2:$A$11,products!$C$2:$C$11)</f>
        <v>Home &amp; Kitchen</v>
      </c>
      <c r="O969" s="3">
        <f>_xlfn.XLOOKUP(order[[#This Row],[product_id]],Table4[product_id],Table4[cost_price])</f>
        <v>800</v>
      </c>
      <c r="P969" s="11">
        <f>_xlfn.XLOOKUP(order[[#This Row],[order_id]],shipment[order_id],shipment[ship_date])</f>
        <v>45519</v>
      </c>
      <c r="Q969" s="11">
        <f>_xlfn.XLOOKUP(order[[#This Row],[order_id]],shipment[order_id],shipment[delivery_date])</f>
        <v>45521</v>
      </c>
      <c r="R969" s="3" t="str">
        <f>_xlfn.XLOOKUP(order[[#This Row],[order_id]],shipment[shipment_id],shipment[courier])</f>
        <v>Ekart</v>
      </c>
      <c r="S969" s="3">
        <f>order[[#This Row],[selling_price]]-order[[#This Row],[cost_price]]*order[[#This Row],[quantity]]-order[[#This Row],[discount]]</f>
        <v>55358</v>
      </c>
      <c r="T969" s="3">
        <f>order[[#This Row],[quantity]]*order[[#This Row],[selling_price]]</f>
        <v>119340</v>
      </c>
    </row>
    <row r="970" spans="1:20" x14ac:dyDescent="0.3">
      <c r="A970">
        <v>969</v>
      </c>
      <c r="B970" s="11">
        <v>45318</v>
      </c>
      <c r="C970">
        <v>256</v>
      </c>
      <c r="D970" t="str">
        <f>_xlfn.XLOOKUP(order[[#This Row],[customer_id]],customer[customer_id],customer[customer_name])</f>
        <v>Priya Reddy</v>
      </c>
      <c r="E970">
        <v>207</v>
      </c>
      <c r="F970">
        <v>2</v>
      </c>
      <c r="G970">
        <v>57640</v>
      </c>
      <c r="H970">
        <v>4912</v>
      </c>
      <c r="I970" t="s">
        <v>9</v>
      </c>
      <c r="J970" t="s">
        <v>10</v>
      </c>
      <c r="K970" t="str">
        <f>_xlfn.XLOOKUP(order[[#This Row],[customer_id]],customer[customer_id],customer[city])</f>
        <v>Hyderabad</v>
      </c>
      <c r="L970" t="str">
        <f>_xlfn.XLOOKUP(order[[#This Row],[customer_id]],customer[customer_id],customer[state])</f>
        <v>Telangana</v>
      </c>
      <c r="M970" t="str">
        <f>_xlfn.XLOOKUP(order[[#This Row],[product_id]],products!$A$2:$A$11,products!$B$2:$B$11)</f>
        <v>Sony WH-1000XM4 Headphones</v>
      </c>
      <c r="N970" s="3" t="str">
        <f>_xlfn.XLOOKUP(order[[#This Row],[product_id]],products!$A$2:$A$11,products!$C$2:$C$11)</f>
        <v>Electronics</v>
      </c>
      <c r="O970" s="3">
        <f>_xlfn.XLOOKUP(order[[#This Row],[product_id]],Table4[product_id],Table4[cost_price])</f>
        <v>20000</v>
      </c>
      <c r="P970" s="11">
        <f>_xlfn.XLOOKUP(order[[#This Row],[order_id]],shipment[order_id],shipment[ship_date])</f>
        <v>45539</v>
      </c>
      <c r="Q970" s="11">
        <f>_xlfn.XLOOKUP(order[[#This Row],[order_id]],shipment[order_id],shipment[delivery_date])</f>
        <v>45546</v>
      </c>
      <c r="R970" s="3" t="str">
        <f>_xlfn.XLOOKUP(order[[#This Row],[order_id]],shipment[shipment_id],shipment[courier])</f>
        <v>BlueDart</v>
      </c>
      <c r="S970" s="3">
        <f>order[[#This Row],[selling_price]]-order[[#This Row],[cost_price]]*order[[#This Row],[quantity]]-order[[#This Row],[discount]]</f>
        <v>12728</v>
      </c>
      <c r="T970" s="3">
        <f>order[[#This Row],[quantity]]*order[[#This Row],[selling_price]]</f>
        <v>115280</v>
      </c>
    </row>
    <row r="971" spans="1:20" x14ac:dyDescent="0.3">
      <c r="A971">
        <v>500</v>
      </c>
      <c r="B971" s="11">
        <v>45419</v>
      </c>
      <c r="C971">
        <v>280</v>
      </c>
      <c r="D971" t="str">
        <f>_xlfn.XLOOKUP(order[[#This Row],[customer_id]],customer[customer_id],customer[customer_name])</f>
        <v>Aarav Sharma</v>
      </c>
      <c r="E971">
        <v>208</v>
      </c>
      <c r="F971">
        <v>2</v>
      </c>
      <c r="G971">
        <v>8655</v>
      </c>
      <c r="H971">
        <v>4093</v>
      </c>
      <c r="I971" t="s">
        <v>11</v>
      </c>
      <c r="J971" t="s">
        <v>14</v>
      </c>
      <c r="K971" t="str">
        <f>_xlfn.XLOOKUP(order[[#This Row],[customer_id]],customer[customer_id],customer[city])</f>
        <v>Hyderabad</v>
      </c>
      <c r="L971" t="str">
        <f>_xlfn.XLOOKUP(order[[#This Row],[customer_id]],customer[customer_id],customer[state])</f>
        <v>Telangana</v>
      </c>
      <c r="M971" t="str">
        <f>_xlfn.XLOOKUP(order[[#This Row],[product_id]],products!$A$2:$A$11,products!$B$2:$B$11)</f>
        <v>Adidas Ultraboost Shoes</v>
      </c>
      <c r="N971" s="3" t="str">
        <f>_xlfn.XLOOKUP(order[[#This Row],[product_id]],products!$A$2:$A$11,products!$C$2:$C$11)</f>
        <v>Fashion</v>
      </c>
      <c r="O971" s="3">
        <f>_xlfn.XLOOKUP(order[[#This Row],[product_id]],Table4[product_id],Table4[cost_price])</f>
        <v>9000</v>
      </c>
      <c r="P971" s="11">
        <f>_xlfn.XLOOKUP(order[[#This Row],[order_id]],shipment[order_id],shipment[ship_date])</f>
        <v>45461</v>
      </c>
      <c r="Q971" s="11">
        <f>_xlfn.XLOOKUP(order[[#This Row],[order_id]],shipment[order_id],shipment[delivery_date])</f>
        <v>45470</v>
      </c>
      <c r="R971" s="3" t="str">
        <f>_xlfn.XLOOKUP(order[[#This Row],[order_id]],shipment[shipment_id],shipment[courier])</f>
        <v>DTDC</v>
      </c>
      <c r="S971" s="3">
        <f>order[[#This Row],[selling_price]]-order[[#This Row],[cost_price]]*order[[#This Row],[quantity]]-order[[#This Row],[discount]]</f>
        <v>-13438</v>
      </c>
      <c r="T971" s="3">
        <f>order[[#This Row],[quantity]]*order[[#This Row],[selling_price]]</f>
        <v>17310</v>
      </c>
    </row>
    <row r="972" spans="1:20" x14ac:dyDescent="0.3">
      <c r="A972">
        <v>971</v>
      </c>
      <c r="B972" s="11">
        <v>45472</v>
      </c>
      <c r="C972">
        <v>229</v>
      </c>
      <c r="D972" t="str">
        <f>_xlfn.XLOOKUP(order[[#This Row],[customer_id]],customer[customer_id],customer[customer_name])</f>
        <v>Aarav Sharma</v>
      </c>
      <c r="E972">
        <v>205</v>
      </c>
      <c r="F972">
        <v>4</v>
      </c>
      <c r="G972">
        <v>33606</v>
      </c>
      <c r="H972">
        <v>461</v>
      </c>
      <c r="I972" t="s">
        <v>13</v>
      </c>
      <c r="J972" t="s">
        <v>14</v>
      </c>
      <c r="K972" t="str">
        <f>_xlfn.XLOOKUP(order[[#This Row],[customer_id]],customer[customer_id],customer[city])</f>
        <v>Hyderabad</v>
      </c>
      <c r="L972" t="str">
        <f>_xlfn.XLOOKUP(order[[#This Row],[customer_id]],customer[customer_id],customer[state])</f>
        <v>Telangana</v>
      </c>
      <c r="M972" t="str">
        <f>_xlfn.XLOOKUP(order[[#This Row],[product_id]],products!$A$2:$A$11,products!$B$2:$B$11)</f>
        <v>Prestige Pressure Cooker 5L</v>
      </c>
      <c r="N972" s="3" t="str">
        <f>_xlfn.XLOOKUP(order[[#This Row],[product_id]],products!$A$2:$A$11,products!$C$2:$C$11)</f>
        <v>Home &amp; Kitchen</v>
      </c>
      <c r="O972" s="3">
        <f>_xlfn.XLOOKUP(order[[#This Row],[product_id]],Table4[product_id],Table4[cost_price])</f>
        <v>1200</v>
      </c>
      <c r="P972" s="11">
        <f>_xlfn.XLOOKUP(order[[#This Row],[order_id]],shipment[order_id],shipment[ship_date])</f>
        <v>45442</v>
      </c>
      <c r="Q972" s="11">
        <f>_xlfn.XLOOKUP(order[[#This Row],[order_id]],shipment[order_id],shipment[delivery_date])</f>
        <v>45443</v>
      </c>
      <c r="R972" s="3" t="str">
        <f>_xlfn.XLOOKUP(order[[#This Row],[order_id]],shipment[shipment_id],shipment[courier])</f>
        <v>Delhivery</v>
      </c>
      <c r="S972" s="3">
        <f>order[[#This Row],[selling_price]]-order[[#This Row],[cost_price]]*order[[#This Row],[quantity]]-order[[#This Row],[discount]]</f>
        <v>28345</v>
      </c>
      <c r="T972" s="3">
        <f>order[[#This Row],[quantity]]*order[[#This Row],[selling_price]]</f>
        <v>134424</v>
      </c>
    </row>
    <row r="973" spans="1:20" x14ac:dyDescent="0.3">
      <c r="A973">
        <v>972</v>
      </c>
      <c r="B973" s="11">
        <v>45311</v>
      </c>
      <c r="C973">
        <v>139</v>
      </c>
      <c r="D973" t="str">
        <f>_xlfn.XLOOKUP(order[[#This Row],[customer_id]],customer[customer_id],customer[customer_name])</f>
        <v>Neha Kapoor</v>
      </c>
      <c r="E973">
        <v>203</v>
      </c>
      <c r="F973">
        <v>1</v>
      </c>
      <c r="G973">
        <v>66487</v>
      </c>
      <c r="H973">
        <v>2318</v>
      </c>
      <c r="I973" t="s">
        <v>11</v>
      </c>
      <c r="J973" t="s">
        <v>10</v>
      </c>
      <c r="K973" t="str">
        <f>_xlfn.XLOOKUP(order[[#This Row],[customer_id]],customer[customer_id],customer[city])</f>
        <v>Chennai</v>
      </c>
      <c r="L973" t="str">
        <f>_xlfn.XLOOKUP(order[[#This Row],[customer_id]],customer[customer_id],customer[state])</f>
        <v>Tamil Nadu</v>
      </c>
      <c r="M973" t="str">
        <f>_xlfn.XLOOKUP(order[[#This Row],[product_id]],products!$A$2:$A$11,products!$B$2:$B$11)</f>
        <v>Nike Air Max Shoes</v>
      </c>
      <c r="N973" s="3" t="str">
        <f>_xlfn.XLOOKUP(order[[#This Row],[product_id]],products!$A$2:$A$11,products!$C$2:$C$11)</f>
        <v>Fashion</v>
      </c>
      <c r="O973" s="3">
        <f>_xlfn.XLOOKUP(order[[#This Row],[product_id]],Table4[product_id],Table4[cost_price])</f>
        <v>4000</v>
      </c>
      <c r="P973" s="11">
        <f>_xlfn.XLOOKUP(order[[#This Row],[order_id]],shipment[order_id],shipment[ship_date])</f>
        <v>45347</v>
      </c>
      <c r="Q973" s="11">
        <f>_xlfn.XLOOKUP(order[[#This Row],[order_id]],shipment[order_id],shipment[delivery_date])</f>
        <v>45354</v>
      </c>
      <c r="R973" s="3" t="str">
        <f>_xlfn.XLOOKUP(order[[#This Row],[order_id]],shipment[shipment_id],shipment[courier])</f>
        <v>Delhivery</v>
      </c>
      <c r="S973" s="3">
        <f>order[[#This Row],[selling_price]]-order[[#This Row],[cost_price]]*order[[#This Row],[quantity]]-order[[#This Row],[discount]]</f>
        <v>60169</v>
      </c>
      <c r="T973" s="3">
        <f>order[[#This Row],[quantity]]*order[[#This Row],[selling_price]]</f>
        <v>66487</v>
      </c>
    </row>
    <row r="974" spans="1:20" x14ac:dyDescent="0.3">
      <c r="A974">
        <v>430</v>
      </c>
      <c r="B974" s="11">
        <v>45411</v>
      </c>
      <c r="C974">
        <v>225</v>
      </c>
      <c r="D974" t="str">
        <f>_xlfn.XLOOKUP(order[[#This Row],[customer_id]],customer[customer_id],customer[customer_name])</f>
        <v>Aarav Sharma</v>
      </c>
      <c r="E974">
        <v>208</v>
      </c>
      <c r="F974">
        <v>3</v>
      </c>
      <c r="G974">
        <v>12265</v>
      </c>
      <c r="H974">
        <v>4091</v>
      </c>
      <c r="I974" t="s">
        <v>15</v>
      </c>
      <c r="J974" t="s">
        <v>12</v>
      </c>
      <c r="K974" t="str">
        <f>_xlfn.XLOOKUP(order[[#This Row],[customer_id]],customer[customer_id],customer[city])</f>
        <v>Bangalore</v>
      </c>
      <c r="L974" t="str">
        <f>_xlfn.XLOOKUP(order[[#This Row],[customer_id]],customer[customer_id],customer[state])</f>
        <v>Karnataka</v>
      </c>
      <c r="M974" t="str">
        <f>_xlfn.XLOOKUP(order[[#This Row],[product_id]],products!$A$2:$A$11,products!$B$2:$B$11)</f>
        <v>Adidas Ultraboost Shoes</v>
      </c>
      <c r="N974" s="3" t="str">
        <f>_xlfn.XLOOKUP(order[[#This Row],[product_id]],products!$A$2:$A$11,products!$C$2:$C$11)</f>
        <v>Fashion</v>
      </c>
      <c r="O974" s="3">
        <f>_xlfn.XLOOKUP(order[[#This Row],[product_id]],Table4[product_id],Table4[cost_price])</f>
        <v>9000</v>
      </c>
      <c r="P974" s="11">
        <f>_xlfn.XLOOKUP(order[[#This Row],[order_id]],shipment[order_id],shipment[ship_date])</f>
        <v>45310</v>
      </c>
      <c r="Q974" s="11">
        <f>_xlfn.XLOOKUP(order[[#This Row],[order_id]],shipment[order_id],shipment[delivery_date])</f>
        <v>45320</v>
      </c>
      <c r="R974" s="3" t="str">
        <f>_xlfn.XLOOKUP(order[[#This Row],[order_id]],shipment[shipment_id],shipment[courier])</f>
        <v>Ekart</v>
      </c>
      <c r="S974" s="3">
        <f>order[[#This Row],[selling_price]]-order[[#This Row],[cost_price]]*order[[#This Row],[quantity]]-order[[#This Row],[discount]]</f>
        <v>-18826</v>
      </c>
      <c r="T974" s="3">
        <f>order[[#This Row],[quantity]]*order[[#This Row],[selling_price]]</f>
        <v>36795</v>
      </c>
    </row>
    <row r="975" spans="1:20" x14ac:dyDescent="0.3">
      <c r="A975">
        <v>974</v>
      </c>
      <c r="B975" s="11">
        <v>45330</v>
      </c>
      <c r="C975">
        <v>219</v>
      </c>
      <c r="D975" t="str">
        <f>_xlfn.XLOOKUP(order[[#This Row],[customer_id]],customer[customer_id],customer[customer_name])</f>
        <v>Meera Joshi</v>
      </c>
      <c r="E975">
        <v>205</v>
      </c>
      <c r="F975">
        <v>2</v>
      </c>
      <c r="G975">
        <v>58581</v>
      </c>
      <c r="H975">
        <v>34</v>
      </c>
      <c r="I975" t="s">
        <v>9</v>
      </c>
      <c r="J975" t="s">
        <v>10</v>
      </c>
      <c r="K975" t="str">
        <f>_xlfn.XLOOKUP(order[[#This Row],[customer_id]],customer[customer_id],customer[city])</f>
        <v>Bangalore</v>
      </c>
      <c r="L975" t="str">
        <f>_xlfn.XLOOKUP(order[[#This Row],[customer_id]],customer[customer_id],customer[state])</f>
        <v>Karnataka</v>
      </c>
      <c r="M975" t="str">
        <f>_xlfn.XLOOKUP(order[[#This Row],[product_id]],products!$A$2:$A$11,products!$B$2:$B$11)</f>
        <v>Prestige Pressure Cooker 5L</v>
      </c>
      <c r="N975" s="3" t="str">
        <f>_xlfn.XLOOKUP(order[[#This Row],[product_id]],products!$A$2:$A$11,products!$C$2:$C$11)</f>
        <v>Home &amp; Kitchen</v>
      </c>
      <c r="O975" s="3">
        <f>_xlfn.XLOOKUP(order[[#This Row],[product_id]],Table4[product_id],Table4[cost_price])</f>
        <v>1200</v>
      </c>
      <c r="P975" s="11">
        <f>_xlfn.XLOOKUP(order[[#This Row],[order_id]],shipment[order_id],shipment[ship_date])</f>
        <v>45424</v>
      </c>
      <c r="Q975" s="11">
        <f>_xlfn.XLOOKUP(order[[#This Row],[order_id]],shipment[order_id],shipment[delivery_date])</f>
        <v>45434</v>
      </c>
      <c r="R975" s="3" t="str">
        <f>_xlfn.XLOOKUP(order[[#This Row],[order_id]],shipment[shipment_id],shipment[courier])</f>
        <v>BlueDart</v>
      </c>
      <c r="S975" s="3">
        <f>order[[#This Row],[selling_price]]-order[[#This Row],[cost_price]]*order[[#This Row],[quantity]]-order[[#This Row],[discount]]</f>
        <v>56147</v>
      </c>
      <c r="T975" s="3">
        <f>order[[#This Row],[quantity]]*order[[#This Row],[selling_price]]</f>
        <v>117162</v>
      </c>
    </row>
    <row r="976" spans="1:20" x14ac:dyDescent="0.3">
      <c r="A976">
        <v>975</v>
      </c>
      <c r="B976" s="11">
        <v>45474</v>
      </c>
      <c r="C976">
        <v>133</v>
      </c>
      <c r="D976" t="str">
        <f>_xlfn.XLOOKUP(order[[#This Row],[customer_id]],customer[customer_id],customer[customer_name])</f>
        <v>Manish Yadav</v>
      </c>
      <c r="E976">
        <v>205</v>
      </c>
      <c r="F976">
        <v>1</v>
      </c>
      <c r="G976">
        <v>49063</v>
      </c>
      <c r="H976">
        <v>1362</v>
      </c>
      <c r="I976" t="s">
        <v>13</v>
      </c>
      <c r="J976" t="s">
        <v>10</v>
      </c>
      <c r="K976" t="str">
        <f>_xlfn.XLOOKUP(order[[#This Row],[customer_id]],customer[customer_id],customer[city])</f>
        <v>Hyderabad</v>
      </c>
      <c r="L976" t="str">
        <f>_xlfn.XLOOKUP(order[[#This Row],[customer_id]],customer[customer_id],customer[state])</f>
        <v>Telangana</v>
      </c>
      <c r="M976" t="str">
        <f>_xlfn.XLOOKUP(order[[#This Row],[product_id]],products!$A$2:$A$11,products!$B$2:$B$11)</f>
        <v>Prestige Pressure Cooker 5L</v>
      </c>
      <c r="N976" s="3" t="str">
        <f>_xlfn.XLOOKUP(order[[#This Row],[product_id]],products!$A$2:$A$11,products!$C$2:$C$11)</f>
        <v>Home &amp; Kitchen</v>
      </c>
      <c r="O976" s="3">
        <f>_xlfn.XLOOKUP(order[[#This Row],[product_id]],Table4[product_id],Table4[cost_price])</f>
        <v>1200</v>
      </c>
      <c r="P976" s="11">
        <f>_xlfn.XLOOKUP(order[[#This Row],[order_id]],shipment[order_id],shipment[ship_date])</f>
        <v>45342</v>
      </c>
      <c r="Q976" s="11">
        <f>_xlfn.XLOOKUP(order[[#This Row],[order_id]],shipment[order_id],shipment[delivery_date])</f>
        <v>45346</v>
      </c>
      <c r="R976" s="3" t="str">
        <f>_xlfn.XLOOKUP(order[[#This Row],[order_id]],shipment[shipment_id],shipment[courier])</f>
        <v>BlueDart</v>
      </c>
      <c r="S976" s="3">
        <f>order[[#This Row],[selling_price]]-order[[#This Row],[cost_price]]*order[[#This Row],[quantity]]-order[[#This Row],[discount]]</f>
        <v>46501</v>
      </c>
      <c r="T976" s="3">
        <f>order[[#This Row],[quantity]]*order[[#This Row],[selling_price]]</f>
        <v>49063</v>
      </c>
    </row>
    <row r="977" spans="1:20" x14ac:dyDescent="0.3">
      <c r="A977">
        <v>976</v>
      </c>
      <c r="B977" s="11">
        <v>45519</v>
      </c>
      <c r="C977">
        <v>107</v>
      </c>
      <c r="D977" t="str">
        <f>_xlfn.XLOOKUP(order[[#This Row],[customer_id]],customer[customer_id],customer[customer_name])</f>
        <v>Pooja Nair</v>
      </c>
      <c r="E977">
        <v>206</v>
      </c>
      <c r="F977">
        <v>3</v>
      </c>
      <c r="G977">
        <v>26291</v>
      </c>
      <c r="H977">
        <v>865</v>
      </c>
      <c r="I977" t="s">
        <v>15</v>
      </c>
      <c r="J977" t="s">
        <v>14</v>
      </c>
      <c r="K977" t="str">
        <f>_xlfn.XLOOKUP(order[[#This Row],[customer_id]],customer[customer_id],customer[city])</f>
        <v>Pune</v>
      </c>
      <c r="L977" t="str">
        <f>_xlfn.XLOOKUP(order[[#This Row],[customer_id]],customer[customer_id],customer[state])</f>
        <v>Maharashtra</v>
      </c>
      <c r="M977" t="str">
        <f>_xlfn.XLOOKUP(order[[#This Row],[product_id]],products!$A$2:$A$11,products!$B$2:$B$11)</f>
        <v>Philips Air Fryer</v>
      </c>
      <c r="N977" s="3" t="str">
        <f>_xlfn.XLOOKUP(order[[#This Row],[product_id]],products!$A$2:$A$11,products!$C$2:$C$11)</f>
        <v>Home &amp; Kitchen</v>
      </c>
      <c r="O977" s="3">
        <f>_xlfn.XLOOKUP(order[[#This Row],[product_id]],Table4[product_id],Table4[cost_price])</f>
        <v>7000</v>
      </c>
      <c r="P977" s="11">
        <f>_xlfn.XLOOKUP(order[[#This Row],[order_id]],shipment[order_id],shipment[ship_date])</f>
        <v>45336</v>
      </c>
      <c r="Q977" s="11">
        <f>_xlfn.XLOOKUP(order[[#This Row],[order_id]],shipment[order_id],shipment[delivery_date])</f>
        <v>45339</v>
      </c>
      <c r="R977" s="3" t="str">
        <f>_xlfn.XLOOKUP(order[[#This Row],[order_id]],shipment[shipment_id],shipment[courier])</f>
        <v>DTDC</v>
      </c>
      <c r="S977" s="3">
        <f>order[[#This Row],[selling_price]]-order[[#This Row],[cost_price]]*order[[#This Row],[quantity]]-order[[#This Row],[discount]]</f>
        <v>4426</v>
      </c>
      <c r="T977" s="3">
        <f>order[[#This Row],[quantity]]*order[[#This Row],[selling_price]]</f>
        <v>78873</v>
      </c>
    </row>
    <row r="978" spans="1:20" x14ac:dyDescent="0.3">
      <c r="A978">
        <v>689</v>
      </c>
      <c r="B978" s="11">
        <v>45640</v>
      </c>
      <c r="C978">
        <v>283</v>
      </c>
      <c r="D978" t="str">
        <f>_xlfn.XLOOKUP(order[[#This Row],[customer_id]],customer[customer_id],customer[customer_name])</f>
        <v>Neha Kapoor</v>
      </c>
      <c r="E978">
        <v>208</v>
      </c>
      <c r="F978">
        <v>2</v>
      </c>
      <c r="G978">
        <v>15081</v>
      </c>
      <c r="H978">
        <v>3708</v>
      </c>
      <c r="I978" t="s">
        <v>15</v>
      </c>
      <c r="J978" t="s">
        <v>10</v>
      </c>
      <c r="K978" t="str">
        <f>_xlfn.XLOOKUP(order[[#This Row],[customer_id]],customer[customer_id],customer[city])</f>
        <v>Ahmedabad</v>
      </c>
      <c r="L978" t="str">
        <f>_xlfn.XLOOKUP(order[[#This Row],[customer_id]],customer[customer_id],customer[state])</f>
        <v>Gujarat</v>
      </c>
      <c r="M978" t="str">
        <f>_xlfn.XLOOKUP(order[[#This Row],[product_id]],products!$A$2:$A$11,products!$B$2:$B$11)</f>
        <v>Adidas Ultraboost Shoes</v>
      </c>
      <c r="N978" s="3" t="str">
        <f>_xlfn.XLOOKUP(order[[#This Row],[product_id]],products!$A$2:$A$11,products!$C$2:$C$11)</f>
        <v>Fashion</v>
      </c>
      <c r="O978" s="3">
        <f>_xlfn.XLOOKUP(order[[#This Row],[product_id]],Table4[product_id],Table4[cost_price])</f>
        <v>9000</v>
      </c>
      <c r="P978" s="11">
        <f>_xlfn.XLOOKUP(order[[#This Row],[order_id]],shipment[order_id],shipment[ship_date])</f>
        <v>45600</v>
      </c>
      <c r="Q978" s="11">
        <f>_xlfn.XLOOKUP(order[[#This Row],[order_id]],shipment[order_id],shipment[delivery_date])</f>
        <v>45605</v>
      </c>
      <c r="R978" s="3" t="str">
        <f>_xlfn.XLOOKUP(order[[#This Row],[order_id]],shipment[shipment_id],shipment[courier])</f>
        <v>BlueDart</v>
      </c>
      <c r="S978" s="3">
        <f>order[[#This Row],[selling_price]]-order[[#This Row],[cost_price]]*order[[#This Row],[quantity]]-order[[#This Row],[discount]]</f>
        <v>-6627</v>
      </c>
      <c r="T978" s="3">
        <f>order[[#This Row],[quantity]]*order[[#This Row],[selling_price]]</f>
        <v>30162</v>
      </c>
    </row>
    <row r="979" spans="1:20" x14ac:dyDescent="0.3">
      <c r="A979">
        <v>978</v>
      </c>
      <c r="B979" s="11">
        <v>45584</v>
      </c>
      <c r="C979">
        <v>175</v>
      </c>
      <c r="D979" t="str">
        <f>_xlfn.XLOOKUP(order[[#This Row],[customer_id]],customer[customer_id],customer[customer_name])</f>
        <v>Aarav Sharma</v>
      </c>
      <c r="E979">
        <v>204</v>
      </c>
      <c r="F979">
        <v>1</v>
      </c>
      <c r="G979">
        <v>59567</v>
      </c>
      <c r="H979">
        <v>4656</v>
      </c>
      <c r="I979" t="s">
        <v>9</v>
      </c>
      <c r="J979" t="s">
        <v>10</v>
      </c>
      <c r="K979" t="str">
        <f>_xlfn.XLOOKUP(order[[#This Row],[customer_id]],customer[customer_id],customer[city])</f>
        <v>Ahmedabad</v>
      </c>
      <c r="L979" t="str">
        <f>_xlfn.XLOOKUP(order[[#This Row],[customer_id]],customer[customer_id],customer[state])</f>
        <v>Gujarat</v>
      </c>
      <c r="M979" t="str">
        <f>_xlfn.XLOOKUP(order[[#This Row],[product_id]],products!$A$2:$A$11,products!$B$2:$B$11)</f>
        <v>Levi's Slim Fit Jeans</v>
      </c>
      <c r="N979" s="3" t="str">
        <f>_xlfn.XLOOKUP(order[[#This Row],[product_id]],products!$A$2:$A$11,products!$C$2:$C$11)</f>
        <v>Fashion</v>
      </c>
      <c r="O979" s="3">
        <f>_xlfn.XLOOKUP(order[[#This Row],[product_id]],Table4[product_id],Table4[cost_price])</f>
        <v>1800</v>
      </c>
      <c r="P979" s="11">
        <f>_xlfn.XLOOKUP(order[[#This Row],[order_id]],shipment[order_id],shipment[ship_date])</f>
        <v>45458</v>
      </c>
      <c r="Q979" s="11">
        <f>_xlfn.XLOOKUP(order[[#This Row],[order_id]],shipment[order_id],shipment[delivery_date])</f>
        <v>45462</v>
      </c>
      <c r="R979" s="3" t="str">
        <f>_xlfn.XLOOKUP(order[[#This Row],[order_id]],shipment[shipment_id],shipment[courier])</f>
        <v>BlueDart</v>
      </c>
      <c r="S979" s="3">
        <f>order[[#This Row],[selling_price]]-order[[#This Row],[cost_price]]*order[[#This Row],[quantity]]-order[[#This Row],[discount]]</f>
        <v>53111</v>
      </c>
      <c r="T979" s="3">
        <f>order[[#This Row],[quantity]]*order[[#This Row],[selling_price]]</f>
        <v>59567</v>
      </c>
    </row>
    <row r="980" spans="1:20" x14ac:dyDescent="0.3">
      <c r="A980">
        <v>979</v>
      </c>
      <c r="B980" s="11">
        <v>45598</v>
      </c>
      <c r="C980">
        <v>209</v>
      </c>
      <c r="D980" t="str">
        <f>_xlfn.XLOOKUP(order[[#This Row],[customer_id]],customer[customer_id],customer[customer_name])</f>
        <v>Neha Kapoor</v>
      </c>
      <c r="E980">
        <v>209</v>
      </c>
      <c r="F980">
        <v>3</v>
      </c>
      <c r="G980">
        <v>28266</v>
      </c>
      <c r="H980">
        <v>4658</v>
      </c>
      <c r="I980" t="s">
        <v>15</v>
      </c>
      <c r="J980" t="s">
        <v>10</v>
      </c>
      <c r="K980" t="str">
        <f>_xlfn.XLOOKUP(order[[#This Row],[customer_id]],customer[customer_id],customer[city])</f>
        <v>Mumbai</v>
      </c>
      <c r="L980" t="str">
        <f>_xlfn.XLOOKUP(order[[#This Row],[customer_id]],customer[customer_id],customer[state])</f>
        <v>Maharashtra</v>
      </c>
      <c r="M980" t="str">
        <f>_xlfn.XLOOKUP(order[[#This Row],[product_id]],products!$A$2:$A$11,products!$B$2:$B$11)</f>
        <v>Milton Thermosteel Bottle</v>
      </c>
      <c r="N980" s="3" t="str">
        <f>_xlfn.XLOOKUP(order[[#This Row],[product_id]],products!$A$2:$A$11,products!$C$2:$C$11)</f>
        <v>Home &amp; Kitchen</v>
      </c>
      <c r="O980" s="3">
        <f>_xlfn.XLOOKUP(order[[#This Row],[product_id]],Table4[product_id],Table4[cost_price])</f>
        <v>800</v>
      </c>
      <c r="P980" s="11">
        <f>_xlfn.XLOOKUP(order[[#This Row],[order_id]],shipment[order_id],shipment[ship_date])</f>
        <v>45559</v>
      </c>
      <c r="Q980" s="11">
        <f>_xlfn.XLOOKUP(order[[#This Row],[order_id]],shipment[order_id],shipment[delivery_date])</f>
        <v>45568</v>
      </c>
      <c r="R980" s="3" t="str">
        <f>_xlfn.XLOOKUP(order[[#This Row],[order_id]],shipment[shipment_id],shipment[courier])</f>
        <v>Ekart</v>
      </c>
      <c r="S980" s="3">
        <f>order[[#This Row],[selling_price]]-order[[#This Row],[cost_price]]*order[[#This Row],[quantity]]-order[[#This Row],[discount]]</f>
        <v>21208</v>
      </c>
      <c r="T980" s="3">
        <f>order[[#This Row],[quantity]]*order[[#This Row],[selling_price]]</f>
        <v>84798</v>
      </c>
    </row>
    <row r="981" spans="1:20" x14ac:dyDescent="0.3">
      <c r="A981">
        <v>980</v>
      </c>
      <c r="B981" s="11">
        <v>45606</v>
      </c>
      <c r="C981">
        <v>246</v>
      </c>
      <c r="D981" t="str">
        <f>_xlfn.XLOOKUP(order[[#This Row],[customer_id]],customer[customer_id],customer[customer_name])</f>
        <v>Priya Reddy</v>
      </c>
      <c r="E981">
        <v>204</v>
      </c>
      <c r="F981">
        <v>2</v>
      </c>
      <c r="G981">
        <v>53793</v>
      </c>
      <c r="H981">
        <v>3458</v>
      </c>
      <c r="I981" t="s">
        <v>15</v>
      </c>
      <c r="J981" t="s">
        <v>14</v>
      </c>
      <c r="K981" t="str">
        <f>_xlfn.XLOOKUP(order[[#This Row],[customer_id]],customer[customer_id],customer[city])</f>
        <v>Pune</v>
      </c>
      <c r="L981" t="str">
        <f>_xlfn.XLOOKUP(order[[#This Row],[customer_id]],customer[customer_id],customer[state])</f>
        <v>Maharashtra</v>
      </c>
      <c r="M981" t="str">
        <f>_xlfn.XLOOKUP(order[[#This Row],[product_id]],products!$A$2:$A$11,products!$B$2:$B$11)</f>
        <v>Levi's Slim Fit Jeans</v>
      </c>
      <c r="N981" s="3" t="str">
        <f>_xlfn.XLOOKUP(order[[#This Row],[product_id]],products!$A$2:$A$11,products!$C$2:$C$11)</f>
        <v>Fashion</v>
      </c>
      <c r="O981" s="3">
        <f>_xlfn.XLOOKUP(order[[#This Row],[product_id]],Table4[product_id],Table4[cost_price])</f>
        <v>1800</v>
      </c>
      <c r="P981" s="11">
        <f>_xlfn.XLOOKUP(order[[#This Row],[order_id]],shipment[order_id],shipment[ship_date])</f>
        <v>45583</v>
      </c>
      <c r="Q981" s="11">
        <f>_xlfn.XLOOKUP(order[[#This Row],[order_id]],shipment[order_id],shipment[delivery_date])</f>
        <v>45587</v>
      </c>
      <c r="R981" s="3" t="str">
        <f>_xlfn.XLOOKUP(order[[#This Row],[order_id]],shipment[shipment_id],shipment[courier])</f>
        <v>DTDC</v>
      </c>
      <c r="S981" s="3">
        <f>order[[#This Row],[selling_price]]-order[[#This Row],[cost_price]]*order[[#This Row],[quantity]]-order[[#This Row],[discount]]</f>
        <v>46735</v>
      </c>
      <c r="T981" s="3">
        <f>order[[#This Row],[quantity]]*order[[#This Row],[selling_price]]</f>
        <v>107586</v>
      </c>
    </row>
    <row r="982" spans="1:20" x14ac:dyDescent="0.3">
      <c r="A982">
        <v>23</v>
      </c>
      <c r="B982" s="11">
        <v>45492</v>
      </c>
      <c r="C982">
        <v>229</v>
      </c>
      <c r="D982" t="str">
        <f>_xlfn.XLOOKUP(order[[#This Row],[customer_id]],customer[customer_id],customer[customer_name])</f>
        <v>Aarav Sharma</v>
      </c>
      <c r="E982">
        <v>208</v>
      </c>
      <c r="F982">
        <v>1</v>
      </c>
      <c r="G982">
        <v>10559</v>
      </c>
      <c r="H982">
        <v>3461</v>
      </c>
      <c r="I982" t="s">
        <v>11</v>
      </c>
      <c r="J982" t="s">
        <v>14</v>
      </c>
      <c r="K982" t="str">
        <f>_xlfn.XLOOKUP(order[[#This Row],[customer_id]],customer[customer_id],customer[city])</f>
        <v>Hyderabad</v>
      </c>
      <c r="L982" t="str">
        <f>_xlfn.XLOOKUP(order[[#This Row],[customer_id]],customer[customer_id],customer[state])</f>
        <v>Telangana</v>
      </c>
      <c r="M982" t="str">
        <f>_xlfn.XLOOKUP(order[[#This Row],[product_id]],products!$A$2:$A$11,products!$B$2:$B$11)</f>
        <v>Adidas Ultraboost Shoes</v>
      </c>
      <c r="N982" s="3" t="str">
        <f>_xlfn.XLOOKUP(order[[#This Row],[product_id]],products!$A$2:$A$11,products!$C$2:$C$11)</f>
        <v>Fashion</v>
      </c>
      <c r="O982" s="3">
        <f>_xlfn.XLOOKUP(order[[#This Row],[product_id]],Table4[product_id],Table4[cost_price])</f>
        <v>9000</v>
      </c>
      <c r="P982" s="11">
        <f>_xlfn.XLOOKUP(order[[#This Row],[order_id]],shipment[order_id],shipment[ship_date])</f>
        <v>45609</v>
      </c>
      <c r="Q982" s="11">
        <f>_xlfn.XLOOKUP(order[[#This Row],[order_id]],shipment[order_id],shipment[delivery_date])</f>
        <v>45611</v>
      </c>
      <c r="R982" s="3" t="str">
        <f>_xlfn.XLOOKUP(order[[#This Row],[order_id]],shipment[shipment_id],shipment[courier])</f>
        <v>Ekart</v>
      </c>
      <c r="S982" s="3">
        <f>order[[#This Row],[selling_price]]-order[[#This Row],[cost_price]]*order[[#This Row],[quantity]]-order[[#This Row],[discount]]</f>
        <v>-1902</v>
      </c>
      <c r="T982" s="3">
        <f>order[[#This Row],[quantity]]*order[[#This Row],[selling_price]]</f>
        <v>10559</v>
      </c>
    </row>
    <row r="983" spans="1:20" x14ac:dyDescent="0.3">
      <c r="A983">
        <v>982</v>
      </c>
      <c r="B983" s="11">
        <v>45432</v>
      </c>
      <c r="C983">
        <v>133</v>
      </c>
      <c r="D983" t="str">
        <f>_xlfn.XLOOKUP(order[[#This Row],[customer_id]],customer[customer_id],customer[customer_name])</f>
        <v>Manish Yadav</v>
      </c>
      <c r="E983">
        <v>205</v>
      </c>
      <c r="F983">
        <v>1</v>
      </c>
      <c r="G983">
        <v>42460</v>
      </c>
      <c r="H983">
        <v>126</v>
      </c>
      <c r="I983" t="s">
        <v>11</v>
      </c>
      <c r="J983" t="s">
        <v>14</v>
      </c>
      <c r="K983" t="str">
        <f>_xlfn.XLOOKUP(order[[#This Row],[customer_id]],customer[customer_id],customer[city])</f>
        <v>Hyderabad</v>
      </c>
      <c r="L983" t="str">
        <f>_xlfn.XLOOKUP(order[[#This Row],[customer_id]],customer[customer_id],customer[state])</f>
        <v>Telangana</v>
      </c>
      <c r="M983" t="str">
        <f>_xlfn.XLOOKUP(order[[#This Row],[product_id]],products!$A$2:$A$11,products!$B$2:$B$11)</f>
        <v>Prestige Pressure Cooker 5L</v>
      </c>
      <c r="N983" s="3" t="str">
        <f>_xlfn.XLOOKUP(order[[#This Row],[product_id]],products!$A$2:$A$11,products!$C$2:$C$11)</f>
        <v>Home &amp; Kitchen</v>
      </c>
      <c r="O983" s="3">
        <f>_xlfn.XLOOKUP(order[[#This Row],[product_id]],Table4[product_id],Table4[cost_price])</f>
        <v>1200</v>
      </c>
      <c r="P983" s="11">
        <f>_xlfn.XLOOKUP(order[[#This Row],[order_id]],shipment[order_id],shipment[ship_date])</f>
        <v>45472</v>
      </c>
      <c r="Q983" s="11">
        <f>_xlfn.XLOOKUP(order[[#This Row],[order_id]],shipment[order_id],shipment[delivery_date])</f>
        <v>45480</v>
      </c>
      <c r="R983" s="3" t="str">
        <f>_xlfn.XLOOKUP(order[[#This Row],[order_id]],shipment[shipment_id],shipment[courier])</f>
        <v>BlueDart</v>
      </c>
      <c r="S983" s="3">
        <f>order[[#This Row],[selling_price]]-order[[#This Row],[cost_price]]*order[[#This Row],[quantity]]-order[[#This Row],[discount]]</f>
        <v>41134</v>
      </c>
      <c r="T983" s="3">
        <f>order[[#This Row],[quantity]]*order[[#This Row],[selling_price]]</f>
        <v>42460</v>
      </c>
    </row>
    <row r="984" spans="1:20" x14ac:dyDescent="0.3">
      <c r="A984">
        <v>983</v>
      </c>
      <c r="B984" s="11">
        <v>45319</v>
      </c>
      <c r="C984">
        <v>237</v>
      </c>
      <c r="D984" t="str">
        <f>_xlfn.XLOOKUP(order[[#This Row],[customer_id]],customer[customer_id],customer[customer_name])</f>
        <v>Ananya Gupta</v>
      </c>
      <c r="E984">
        <v>209</v>
      </c>
      <c r="F984">
        <v>2</v>
      </c>
      <c r="G984">
        <v>59721</v>
      </c>
      <c r="H984">
        <v>4052</v>
      </c>
      <c r="I984" t="s">
        <v>11</v>
      </c>
      <c r="J984" t="s">
        <v>10</v>
      </c>
      <c r="K984" t="str">
        <f>_xlfn.XLOOKUP(order[[#This Row],[customer_id]],customer[customer_id],customer[city])</f>
        <v>Hyderabad</v>
      </c>
      <c r="L984" t="str">
        <f>_xlfn.XLOOKUP(order[[#This Row],[customer_id]],customer[customer_id],customer[state])</f>
        <v>Telangana</v>
      </c>
      <c r="M984" t="str">
        <f>_xlfn.XLOOKUP(order[[#This Row],[product_id]],products!$A$2:$A$11,products!$B$2:$B$11)</f>
        <v>Milton Thermosteel Bottle</v>
      </c>
      <c r="N984" s="3" t="str">
        <f>_xlfn.XLOOKUP(order[[#This Row],[product_id]],products!$A$2:$A$11,products!$C$2:$C$11)</f>
        <v>Home &amp; Kitchen</v>
      </c>
      <c r="O984" s="3">
        <f>_xlfn.XLOOKUP(order[[#This Row],[product_id]],Table4[product_id],Table4[cost_price])</f>
        <v>800</v>
      </c>
      <c r="P984" s="11">
        <f>_xlfn.XLOOKUP(order[[#This Row],[order_id]],shipment[order_id],shipment[ship_date])</f>
        <v>45386</v>
      </c>
      <c r="Q984" s="11">
        <f>_xlfn.XLOOKUP(order[[#This Row],[order_id]],shipment[order_id],shipment[delivery_date])</f>
        <v>45394</v>
      </c>
      <c r="R984" s="3" t="str">
        <f>_xlfn.XLOOKUP(order[[#This Row],[order_id]],shipment[shipment_id],shipment[courier])</f>
        <v>Ekart</v>
      </c>
      <c r="S984" s="3">
        <f>order[[#This Row],[selling_price]]-order[[#This Row],[cost_price]]*order[[#This Row],[quantity]]-order[[#This Row],[discount]]</f>
        <v>54069</v>
      </c>
      <c r="T984" s="3">
        <f>order[[#This Row],[quantity]]*order[[#This Row],[selling_price]]</f>
        <v>119442</v>
      </c>
    </row>
    <row r="985" spans="1:20" x14ac:dyDescent="0.3">
      <c r="A985">
        <v>984</v>
      </c>
      <c r="B985" s="11">
        <v>45425</v>
      </c>
      <c r="C985">
        <v>241</v>
      </c>
      <c r="D985" t="str">
        <f>_xlfn.XLOOKUP(order[[#This Row],[customer_id]],customer[customer_id],customer[customer_name])</f>
        <v>Rohit Verma</v>
      </c>
      <c r="E985">
        <v>203</v>
      </c>
      <c r="F985">
        <v>4</v>
      </c>
      <c r="G985">
        <v>48704</v>
      </c>
      <c r="H985">
        <v>2935</v>
      </c>
      <c r="I985" t="s">
        <v>9</v>
      </c>
      <c r="J985" t="s">
        <v>10</v>
      </c>
      <c r="K985" t="str">
        <f>_xlfn.XLOOKUP(order[[#This Row],[customer_id]],customer[customer_id],customer[city])</f>
        <v>Chennai</v>
      </c>
      <c r="L985" t="str">
        <f>_xlfn.XLOOKUP(order[[#This Row],[customer_id]],customer[customer_id],customer[state])</f>
        <v>Tamil Nadu</v>
      </c>
      <c r="M985" t="str">
        <f>_xlfn.XLOOKUP(order[[#This Row],[product_id]],products!$A$2:$A$11,products!$B$2:$B$11)</f>
        <v>Nike Air Max Shoes</v>
      </c>
      <c r="N985" s="3" t="str">
        <f>_xlfn.XLOOKUP(order[[#This Row],[product_id]],products!$A$2:$A$11,products!$C$2:$C$11)</f>
        <v>Fashion</v>
      </c>
      <c r="O985" s="3">
        <f>_xlfn.XLOOKUP(order[[#This Row],[product_id]],Table4[product_id],Table4[cost_price])</f>
        <v>4000</v>
      </c>
      <c r="P985" s="11">
        <f>_xlfn.XLOOKUP(order[[#This Row],[order_id]],shipment[order_id],shipment[ship_date])</f>
        <v>45329</v>
      </c>
      <c r="Q985" s="11">
        <f>_xlfn.XLOOKUP(order[[#This Row],[order_id]],shipment[order_id],shipment[delivery_date])</f>
        <v>45336</v>
      </c>
      <c r="R985" s="3" t="str">
        <f>_xlfn.XLOOKUP(order[[#This Row],[order_id]],shipment[shipment_id],shipment[courier])</f>
        <v>Ekart</v>
      </c>
      <c r="S985" s="3">
        <f>order[[#This Row],[selling_price]]-order[[#This Row],[cost_price]]*order[[#This Row],[quantity]]-order[[#This Row],[discount]]</f>
        <v>29769</v>
      </c>
      <c r="T985" s="3">
        <f>order[[#This Row],[quantity]]*order[[#This Row],[selling_price]]</f>
        <v>194816</v>
      </c>
    </row>
    <row r="986" spans="1:20" x14ac:dyDescent="0.3">
      <c r="A986">
        <v>267</v>
      </c>
      <c r="B986" s="11">
        <v>45424</v>
      </c>
      <c r="C986">
        <v>283</v>
      </c>
      <c r="D986" t="str">
        <f>_xlfn.XLOOKUP(order[[#This Row],[customer_id]],customer[customer_id],customer[customer_name])</f>
        <v>Neha Kapoor</v>
      </c>
      <c r="E986">
        <v>208</v>
      </c>
      <c r="F986">
        <v>3</v>
      </c>
      <c r="G986">
        <v>20975</v>
      </c>
      <c r="H986">
        <v>3294</v>
      </c>
      <c r="I986" t="s">
        <v>9</v>
      </c>
      <c r="J986" t="s">
        <v>12</v>
      </c>
      <c r="K986" t="str">
        <f>_xlfn.XLOOKUP(order[[#This Row],[customer_id]],customer[customer_id],customer[city])</f>
        <v>Ahmedabad</v>
      </c>
      <c r="L986" t="str">
        <f>_xlfn.XLOOKUP(order[[#This Row],[customer_id]],customer[customer_id],customer[state])</f>
        <v>Gujarat</v>
      </c>
      <c r="M986" t="str">
        <f>_xlfn.XLOOKUP(order[[#This Row],[product_id]],products!$A$2:$A$11,products!$B$2:$B$11)</f>
        <v>Adidas Ultraboost Shoes</v>
      </c>
      <c r="N986" s="3" t="str">
        <f>_xlfn.XLOOKUP(order[[#This Row],[product_id]],products!$A$2:$A$11,products!$C$2:$C$11)</f>
        <v>Fashion</v>
      </c>
      <c r="O986" s="3">
        <f>_xlfn.XLOOKUP(order[[#This Row],[product_id]],Table4[product_id],Table4[cost_price])</f>
        <v>9000</v>
      </c>
      <c r="P986" s="11">
        <f>_xlfn.XLOOKUP(order[[#This Row],[order_id]],shipment[order_id],shipment[ship_date])</f>
        <v>45370</v>
      </c>
      <c r="Q986" s="11">
        <f>_xlfn.XLOOKUP(order[[#This Row],[order_id]],shipment[order_id],shipment[delivery_date])</f>
        <v>45374</v>
      </c>
      <c r="R986" s="3" t="str">
        <f>_xlfn.XLOOKUP(order[[#This Row],[order_id]],shipment[shipment_id],shipment[courier])</f>
        <v>Delhivery</v>
      </c>
      <c r="S986" s="3">
        <f>order[[#This Row],[selling_price]]-order[[#This Row],[cost_price]]*order[[#This Row],[quantity]]-order[[#This Row],[discount]]</f>
        <v>-9319</v>
      </c>
      <c r="T986" s="3">
        <f>order[[#This Row],[quantity]]*order[[#This Row],[selling_price]]</f>
        <v>62925</v>
      </c>
    </row>
    <row r="987" spans="1:20" x14ac:dyDescent="0.3">
      <c r="A987">
        <v>986</v>
      </c>
      <c r="B987" s="11">
        <v>45497</v>
      </c>
      <c r="C987">
        <v>171</v>
      </c>
      <c r="D987" t="str">
        <f>_xlfn.XLOOKUP(order[[#This Row],[customer_id]],customer[customer_id],customer[customer_name])</f>
        <v>Vikram Singh</v>
      </c>
      <c r="E987">
        <v>208</v>
      </c>
      <c r="F987">
        <v>1</v>
      </c>
      <c r="G987">
        <v>12162</v>
      </c>
      <c r="H987">
        <v>3127</v>
      </c>
      <c r="I987" t="s">
        <v>9</v>
      </c>
      <c r="J987" t="s">
        <v>12</v>
      </c>
      <c r="K987" t="str">
        <f>_xlfn.XLOOKUP(order[[#This Row],[customer_id]],customer[customer_id],customer[city])</f>
        <v>Pune</v>
      </c>
      <c r="L987" t="str">
        <f>_xlfn.XLOOKUP(order[[#This Row],[customer_id]],customer[customer_id],customer[state])</f>
        <v>Maharashtra</v>
      </c>
      <c r="M987" t="str">
        <f>_xlfn.XLOOKUP(order[[#This Row],[product_id]],products!$A$2:$A$11,products!$B$2:$B$11)</f>
        <v>Adidas Ultraboost Shoes</v>
      </c>
      <c r="N987" s="3" t="str">
        <f>_xlfn.XLOOKUP(order[[#This Row],[product_id]],products!$A$2:$A$11,products!$C$2:$C$11)</f>
        <v>Fashion</v>
      </c>
      <c r="O987" s="3">
        <f>_xlfn.XLOOKUP(order[[#This Row],[product_id]],Table4[product_id],Table4[cost_price])</f>
        <v>9000</v>
      </c>
      <c r="P987" s="11">
        <f>_xlfn.XLOOKUP(order[[#This Row],[order_id]],shipment[order_id],shipment[ship_date])</f>
        <v>45356</v>
      </c>
      <c r="Q987" s="11">
        <f>_xlfn.XLOOKUP(order[[#This Row],[order_id]],shipment[order_id],shipment[delivery_date])</f>
        <v>45357</v>
      </c>
      <c r="R987" s="3" t="str">
        <f>_xlfn.XLOOKUP(order[[#This Row],[order_id]],shipment[shipment_id],shipment[courier])</f>
        <v>Delhivery</v>
      </c>
      <c r="S987" s="3">
        <f>order[[#This Row],[selling_price]]-order[[#This Row],[cost_price]]*order[[#This Row],[quantity]]-order[[#This Row],[discount]]</f>
        <v>35</v>
      </c>
      <c r="T987" s="3">
        <f>order[[#This Row],[quantity]]*order[[#This Row],[selling_price]]</f>
        <v>12162</v>
      </c>
    </row>
    <row r="988" spans="1:20" x14ac:dyDescent="0.3">
      <c r="A988">
        <v>987</v>
      </c>
      <c r="B988" s="11">
        <v>45348</v>
      </c>
      <c r="C988">
        <v>266</v>
      </c>
      <c r="D988" t="str">
        <f>_xlfn.XLOOKUP(order[[#This Row],[customer_id]],customer[customer_id],customer[customer_name])</f>
        <v>Karan Patel</v>
      </c>
      <c r="E988">
        <v>209</v>
      </c>
      <c r="F988">
        <v>3</v>
      </c>
      <c r="G988">
        <v>29842</v>
      </c>
      <c r="H988">
        <v>4576</v>
      </c>
      <c r="I988" t="s">
        <v>13</v>
      </c>
      <c r="J988" t="s">
        <v>10</v>
      </c>
      <c r="K988" t="str">
        <f>_xlfn.XLOOKUP(order[[#This Row],[customer_id]],customer[customer_id],customer[city])</f>
        <v>Chennai</v>
      </c>
      <c r="L988" t="str">
        <f>_xlfn.XLOOKUP(order[[#This Row],[customer_id]],customer[customer_id],customer[state])</f>
        <v>Tamil Nadu</v>
      </c>
      <c r="M988" t="str">
        <f>_xlfn.XLOOKUP(order[[#This Row],[product_id]],products!$A$2:$A$11,products!$B$2:$B$11)</f>
        <v>Milton Thermosteel Bottle</v>
      </c>
      <c r="N988" s="3" t="str">
        <f>_xlfn.XLOOKUP(order[[#This Row],[product_id]],products!$A$2:$A$11,products!$C$2:$C$11)</f>
        <v>Home &amp; Kitchen</v>
      </c>
      <c r="O988" s="3">
        <f>_xlfn.XLOOKUP(order[[#This Row],[product_id]],Table4[product_id],Table4[cost_price])</f>
        <v>800</v>
      </c>
      <c r="P988" s="11">
        <f>_xlfn.XLOOKUP(order[[#This Row],[order_id]],shipment[order_id],shipment[ship_date])</f>
        <v>45423</v>
      </c>
      <c r="Q988" s="11">
        <f>_xlfn.XLOOKUP(order[[#This Row],[order_id]],shipment[order_id],shipment[delivery_date])</f>
        <v>45424</v>
      </c>
      <c r="R988" s="3" t="str">
        <f>_xlfn.XLOOKUP(order[[#This Row],[order_id]],shipment[shipment_id],shipment[courier])</f>
        <v>Delhivery</v>
      </c>
      <c r="S988" s="3">
        <f>order[[#This Row],[selling_price]]-order[[#This Row],[cost_price]]*order[[#This Row],[quantity]]-order[[#This Row],[discount]]</f>
        <v>22866</v>
      </c>
      <c r="T988" s="3">
        <f>order[[#This Row],[quantity]]*order[[#This Row],[selling_price]]</f>
        <v>89526</v>
      </c>
    </row>
    <row r="989" spans="1:20" x14ac:dyDescent="0.3">
      <c r="A989">
        <v>988</v>
      </c>
      <c r="B989" s="11">
        <v>45345</v>
      </c>
      <c r="C989">
        <v>111</v>
      </c>
      <c r="D989" t="str">
        <f>_xlfn.XLOOKUP(order[[#This Row],[customer_id]],customer[customer_id],customer[customer_name])</f>
        <v>Ishita Bose</v>
      </c>
      <c r="E989">
        <v>209</v>
      </c>
      <c r="F989">
        <v>3</v>
      </c>
      <c r="G989">
        <v>21278</v>
      </c>
      <c r="H989">
        <v>1088</v>
      </c>
      <c r="I989" t="s">
        <v>9</v>
      </c>
      <c r="J989" t="s">
        <v>10</v>
      </c>
      <c r="K989" t="str">
        <f>_xlfn.XLOOKUP(order[[#This Row],[customer_id]],customer[customer_id],customer[city])</f>
        <v>Ahmedabad</v>
      </c>
      <c r="L989" t="str">
        <f>_xlfn.XLOOKUP(order[[#This Row],[customer_id]],customer[customer_id],customer[state])</f>
        <v>Gujarat</v>
      </c>
      <c r="M989" t="str">
        <f>_xlfn.XLOOKUP(order[[#This Row],[product_id]],products!$A$2:$A$11,products!$B$2:$B$11)</f>
        <v>Milton Thermosteel Bottle</v>
      </c>
      <c r="N989" s="3" t="str">
        <f>_xlfn.XLOOKUP(order[[#This Row],[product_id]],products!$A$2:$A$11,products!$C$2:$C$11)</f>
        <v>Home &amp; Kitchen</v>
      </c>
      <c r="O989" s="3">
        <f>_xlfn.XLOOKUP(order[[#This Row],[product_id]],Table4[product_id],Table4[cost_price])</f>
        <v>800</v>
      </c>
      <c r="P989" s="11">
        <f>_xlfn.XLOOKUP(order[[#This Row],[order_id]],shipment[order_id],shipment[ship_date])</f>
        <v>45376</v>
      </c>
      <c r="Q989" s="11">
        <f>_xlfn.XLOOKUP(order[[#This Row],[order_id]],shipment[order_id],shipment[delivery_date])</f>
        <v>45385</v>
      </c>
      <c r="R989" s="3" t="str">
        <f>_xlfn.XLOOKUP(order[[#This Row],[order_id]],shipment[shipment_id],shipment[courier])</f>
        <v>Ekart</v>
      </c>
      <c r="S989" s="3">
        <f>order[[#This Row],[selling_price]]-order[[#This Row],[cost_price]]*order[[#This Row],[quantity]]-order[[#This Row],[discount]]</f>
        <v>17790</v>
      </c>
      <c r="T989" s="3">
        <f>order[[#This Row],[quantity]]*order[[#This Row],[selling_price]]</f>
        <v>63834</v>
      </c>
    </row>
    <row r="990" spans="1:20" x14ac:dyDescent="0.3">
      <c r="A990">
        <v>989</v>
      </c>
      <c r="B990" s="11">
        <v>45617</v>
      </c>
      <c r="C990">
        <v>212</v>
      </c>
      <c r="D990" t="str">
        <f>_xlfn.XLOOKUP(order[[#This Row],[customer_id]],customer[customer_id],customer[customer_name])</f>
        <v>Vikram Singh</v>
      </c>
      <c r="E990">
        <v>207</v>
      </c>
      <c r="F990">
        <v>3</v>
      </c>
      <c r="G990">
        <v>69910</v>
      </c>
      <c r="H990">
        <v>4695</v>
      </c>
      <c r="I990" t="s">
        <v>15</v>
      </c>
      <c r="J990" t="s">
        <v>12</v>
      </c>
      <c r="K990" t="str">
        <f>_xlfn.XLOOKUP(order[[#This Row],[customer_id]],customer[customer_id],customer[city])</f>
        <v>Ahmedabad</v>
      </c>
      <c r="L990" t="str">
        <f>_xlfn.XLOOKUP(order[[#This Row],[customer_id]],customer[customer_id],customer[state])</f>
        <v>Gujarat</v>
      </c>
      <c r="M990" t="str">
        <f>_xlfn.XLOOKUP(order[[#This Row],[product_id]],products!$A$2:$A$11,products!$B$2:$B$11)</f>
        <v>Sony WH-1000XM4 Headphones</v>
      </c>
      <c r="N990" s="3" t="str">
        <f>_xlfn.XLOOKUP(order[[#This Row],[product_id]],products!$A$2:$A$11,products!$C$2:$C$11)</f>
        <v>Electronics</v>
      </c>
      <c r="O990" s="3">
        <f>_xlfn.XLOOKUP(order[[#This Row],[product_id]],Table4[product_id],Table4[cost_price])</f>
        <v>20000</v>
      </c>
      <c r="P990" s="11">
        <f>_xlfn.XLOOKUP(order[[#This Row],[order_id]],shipment[order_id],shipment[ship_date])</f>
        <v>45445</v>
      </c>
      <c r="Q990" s="11">
        <f>_xlfn.XLOOKUP(order[[#This Row],[order_id]],shipment[order_id],shipment[delivery_date])</f>
        <v>45446</v>
      </c>
      <c r="R990" s="3" t="str">
        <f>_xlfn.XLOOKUP(order[[#This Row],[order_id]],shipment[shipment_id],shipment[courier])</f>
        <v>BlueDart</v>
      </c>
      <c r="S990" s="3">
        <f>order[[#This Row],[selling_price]]-order[[#This Row],[cost_price]]*order[[#This Row],[quantity]]-order[[#This Row],[discount]]</f>
        <v>5215</v>
      </c>
      <c r="T990" s="3">
        <f>order[[#This Row],[quantity]]*order[[#This Row],[selling_price]]</f>
        <v>209730</v>
      </c>
    </row>
    <row r="991" spans="1:20" x14ac:dyDescent="0.3">
      <c r="A991">
        <v>557</v>
      </c>
      <c r="B991" s="11">
        <v>45618</v>
      </c>
      <c r="C991">
        <v>259</v>
      </c>
      <c r="D991" t="str">
        <f>_xlfn.XLOOKUP(order[[#This Row],[customer_id]],customer[customer_id],customer[customer_name])</f>
        <v>Siddharth Jain</v>
      </c>
      <c r="E991">
        <v>208</v>
      </c>
      <c r="F991">
        <v>2</v>
      </c>
      <c r="G991">
        <v>13868</v>
      </c>
      <c r="H991">
        <v>3203</v>
      </c>
      <c r="I991" t="s">
        <v>9</v>
      </c>
      <c r="J991" t="s">
        <v>12</v>
      </c>
      <c r="K991" t="str">
        <f>_xlfn.XLOOKUP(order[[#This Row],[customer_id]],customer[customer_id],customer[city])</f>
        <v>Hyderabad</v>
      </c>
      <c r="L991" t="str">
        <f>_xlfn.XLOOKUP(order[[#This Row],[customer_id]],customer[customer_id],customer[state])</f>
        <v>Telangana</v>
      </c>
      <c r="M991" t="str">
        <f>_xlfn.XLOOKUP(order[[#This Row],[product_id]],products!$A$2:$A$11,products!$B$2:$B$11)</f>
        <v>Adidas Ultraboost Shoes</v>
      </c>
      <c r="N991" s="3" t="str">
        <f>_xlfn.XLOOKUP(order[[#This Row],[product_id]],products!$A$2:$A$11,products!$C$2:$C$11)</f>
        <v>Fashion</v>
      </c>
      <c r="O991" s="3">
        <f>_xlfn.XLOOKUP(order[[#This Row],[product_id]],Table4[product_id],Table4[cost_price])</f>
        <v>9000</v>
      </c>
      <c r="P991" s="11">
        <f>_xlfn.XLOOKUP(order[[#This Row],[order_id]],shipment[order_id],shipment[ship_date])</f>
        <v>45483</v>
      </c>
      <c r="Q991" s="11">
        <f>_xlfn.XLOOKUP(order[[#This Row],[order_id]],shipment[order_id],shipment[delivery_date])</f>
        <v>45489</v>
      </c>
      <c r="R991" s="3" t="str">
        <f>_xlfn.XLOOKUP(order[[#This Row],[order_id]],shipment[shipment_id],shipment[courier])</f>
        <v>Delhivery</v>
      </c>
      <c r="S991" s="3">
        <f>order[[#This Row],[selling_price]]-order[[#This Row],[cost_price]]*order[[#This Row],[quantity]]-order[[#This Row],[discount]]</f>
        <v>-7335</v>
      </c>
      <c r="T991" s="3">
        <f>order[[#This Row],[quantity]]*order[[#This Row],[selling_price]]</f>
        <v>27736</v>
      </c>
    </row>
    <row r="992" spans="1:20" x14ac:dyDescent="0.3">
      <c r="A992">
        <v>161</v>
      </c>
      <c r="B992" s="11">
        <v>45515</v>
      </c>
      <c r="C992">
        <v>264</v>
      </c>
      <c r="D992" t="str">
        <f>_xlfn.XLOOKUP(order[[#This Row],[customer_id]],customer[customer_id],customer[customer_name])</f>
        <v>Ishita Bose</v>
      </c>
      <c r="E992">
        <v>208</v>
      </c>
      <c r="F992">
        <v>4</v>
      </c>
      <c r="G992">
        <v>14228</v>
      </c>
      <c r="H992">
        <v>3169</v>
      </c>
      <c r="I992" t="s">
        <v>15</v>
      </c>
      <c r="J992" t="s">
        <v>14</v>
      </c>
      <c r="K992" t="str">
        <f>_xlfn.XLOOKUP(order[[#This Row],[customer_id]],customer[customer_id],customer[city])</f>
        <v>Delhi</v>
      </c>
      <c r="L992" t="str">
        <f>_xlfn.XLOOKUP(order[[#This Row],[customer_id]],customer[customer_id],customer[state])</f>
        <v>Delhi</v>
      </c>
      <c r="M992" t="str">
        <f>_xlfn.XLOOKUP(order[[#This Row],[product_id]],products!$A$2:$A$11,products!$B$2:$B$11)</f>
        <v>Adidas Ultraboost Shoes</v>
      </c>
      <c r="N992" s="3" t="str">
        <f>_xlfn.XLOOKUP(order[[#This Row],[product_id]],products!$A$2:$A$11,products!$C$2:$C$11)</f>
        <v>Fashion</v>
      </c>
      <c r="O992" s="3">
        <f>_xlfn.XLOOKUP(order[[#This Row],[product_id]],Table4[product_id],Table4[cost_price])</f>
        <v>9000</v>
      </c>
      <c r="P992" s="11">
        <f>_xlfn.XLOOKUP(order[[#This Row],[order_id]],shipment[order_id],shipment[ship_date])</f>
        <v>45538</v>
      </c>
      <c r="Q992" s="11">
        <f>_xlfn.XLOOKUP(order[[#This Row],[order_id]],shipment[order_id],shipment[delivery_date])</f>
        <v>45541</v>
      </c>
      <c r="R992" s="3" t="str">
        <f>_xlfn.XLOOKUP(order[[#This Row],[order_id]],shipment[shipment_id],shipment[courier])</f>
        <v>BlueDart</v>
      </c>
      <c r="S992" s="3">
        <f>order[[#This Row],[selling_price]]-order[[#This Row],[cost_price]]*order[[#This Row],[quantity]]-order[[#This Row],[discount]]</f>
        <v>-24941</v>
      </c>
      <c r="T992" s="3">
        <f>order[[#This Row],[quantity]]*order[[#This Row],[selling_price]]</f>
        <v>56912</v>
      </c>
    </row>
    <row r="993" spans="1:20" x14ac:dyDescent="0.3">
      <c r="A993">
        <v>946</v>
      </c>
      <c r="B993" s="11">
        <v>45621</v>
      </c>
      <c r="C993">
        <v>280</v>
      </c>
      <c r="D993" t="str">
        <f>_xlfn.XLOOKUP(order[[#This Row],[customer_id]],customer[customer_id],customer[customer_name])</f>
        <v>Aarav Sharma</v>
      </c>
      <c r="E993">
        <v>208</v>
      </c>
      <c r="F993">
        <v>4</v>
      </c>
      <c r="G993">
        <v>29949</v>
      </c>
      <c r="H993">
        <v>3120</v>
      </c>
      <c r="I993" t="s">
        <v>9</v>
      </c>
      <c r="J993" t="s">
        <v>10</v>
      </c>
      <c r="K993" t="str">
        <f>_xlfn.XLOOKUP(order[[#This Row],[customer_id]],customer[customer_id],customer[city])</f>
        <v>Hyderabad</v>
      </c>
      <c r="L993" t="str">
        <f>_xlfn.XLOOKUP(order[[#This Row],[customer_id]],customer[customer_id],customer[state])</f>
        <v>Telangana</v>
      </c>
      <c r="M993" t="str">
        <f>_xlfn.XLOOKUP(order[[#This Row],[product_id]],products!$A$2:$A$11,products!$B$2:$B$11)</f>
        <v>Adidas Ultraboost Shoes</v>
      </c>
      <c r="N993" s="3" t="str">
        <f>_xlfn.XLOOKUP(order[[#This Row],[product_id]],products!$A$2:$A$11,products!$C$2:$C$11)</f>
        <v>Fashion</v>
      </c>
      <c r="O993" s="3">
        <f>_xlfn.XLOOKUP(order[[#This Row],[product_id]],Table4[product_id],Table4[cost_price])</f>
        <v>9000</v>
      </c>
      <c r="P993" s="11">
        <f>_xlfn.XLOOKUP(order[[#This Row],[order_id]],shipment[order_id],shipment[ship_date])</f>
        <v>45572</v>
      </c>
      <c r="Q993" s="11">
        <f>_xlfn.XLOOKUP(order[[#This Row],[order_id]],shipment[order_id],shipment[delivery_date])</f>
        <v>45576</v>
      </c>
      <c r="R993" s="3" t="str">
        <f>_xlfn.XLOOKUP(order[[#This Row],[order_id]],shipment[shipment_id],shipment[courier])</f>
        <v>Ekart</v>
      </c>
      <c r="S993" s="3">
        <f>order[[#This Row],[selling_price]]-order[[#This Row],[cost_price]]*order[[#This Row],[quantity]]-order[[#This Row],[discount]]</f>
        <v>-9171</v>
      </c>
      <c r="T993" s="3">
        <f>order[[#This Row],[quantity]]*order[[#This Row],[selling_price]]</f>
        <v>119796</v>
      </c>
    </row>
    <row r="994" spans="1:20" x14ac:dyDescent="0.3">
      <c r="A994">
        <v>99</v>
      </c>
      <c r="B994" s="11">
        <v>45604</v>
      </c>
      <c r="C994">
        <v>121</v>
      </c>
      <c r="D994" t="str">
        <f>_xlfn.XLOOKUP(order[[#This Row],[customer_id]],customer[customer_id],customer[customer_name])</f>
        <v>Rohit Verma</v>
      </c>
      <c r="E994">
        <v>208</v>
      </c>
      <c r="F994">
        <v>2</v>
      </c>
      <c r="G994">
        <v>3139</v>
      </c>
      <c r="H994">
        <v>2911</v>
      </c>
      <c r="I994" t="s">
        <v>11</v>
      </c>
      <c r="J994" t="s">
        <v>10</v>
      </c>
      <c r="K994" t="str">
        <f>_xlfn.XLOOKUP(order[[#This Row],[customer_id]],customer[customer_id],customer[city])</f>
        <v>Bangalore</v>
      </c>
      <c r="L994" t="str">
        <f>_xlfn.XLOOKUP(order[[#This Row],[customer_id]],customer[customer_id],customer[state])</f>
        <v>Karnataka</v>
      </c>
      <c r="M994" t="str">
        <f>_xlfn.XLOOKUP(order[[#This Row],[product_id]],products!$A$2:$A$11,products!$B$2:$B$11)</f>
        <v>Adidas Ultraboost Shoes</v>
      </c>
      <c r="N994" s="3" t="str">
        <f>_xlfn.XLOOKUP(order[[#This Row],[product_id]],products!$A$2:$A$11,products!$C$2:$C$11)</f>
        <v>Fashion</v>
      </c>
      <c r="O994" s="3">
        <f>_xlfn.XLOOKUP(order[[#This Row],[product_id]],Table4[product_id],Table4[cost_price])</f>
        <v>9000</v>
      </c>
      <c r="P994" s="11">
        <f>_xlfn.XLOOKUP(order[[#This Row],[order_id]],shipment[order_id],shipment[ship_date])</f>
        <v>45394</v>
      </c>
      <c r="Q994" s="11">
        <f>_xlfn.XLOOKUP(order[[#This Row],[order_id]],shipment[order_id],shipment[delivery_date])</f>
        <v>45395</v>
      </c>
      <c r="R994" s="3" t="str">
        <f>_xlfn.XLOOKUP(order[[#This Row],[order_id]],shipment[shipment_id],shipment[courier])</f>
        <v>Delhivery</v>
      </c>
      <c r="S994" s="3">
        <f>order[[#This Row],[selling_price]]-order[[#This Row],[cost_price]]*order[[#This Row],[quantity]]-order[[#This Row],[discount]]</f>
        <v>-17772</v>
      </c>
      <c r="T994" s="3">
        <f>order[[#This Row],[quantity]]*order[[#This Row],[selling_price]]</f>
        <v>6278</v>
      </c>
    </row>
    <row r="995" spans="1:20" x14ac:dyDescent="0.3">
      <c r="A995">
        <v>877</v>
      </c>
      <c r="B995" s="11">
        <v>45657</v>
      </c>
      <c r="C995">
        <v>120</v>
      </c>
      <c r="D995" t="str">
        <f>_xlfn.XLOOKUP(order[[#This Row],[customer_id]],customer[customer_id],customer[customer_name])</f>
        <v>Aarav Sharma</v>
      </c>
      <c r="E995">
        <v>208</v>
      </c>
      <c r="F995">
        <v>3</v>
      </c>
      <c r="G995">
        <v>13848</v>
      </c>
      <c r="H995">
        <v>2730</v>
      </c>
      <c r="I995" t="s">
        <v>9</v>
      </c>
      <c r="J995" t="s">
        <v>14</v>
      </c>
      <c r="K995" t="str">
        <f>_xlfn.XLOOKUP(order[[#This Row],[customer_id]],customer[customer_id],customer[city])</f>
        <v>Ahmedabad</v>
      </c>
      <c r="L995" t="str">
        <f>_xlfn.XLOOKUP(order[[#This Row],[customer_id]],customer[customer_id],customer[state])</f>
        <v>Gujarat</v>
      </c>
      <c r="M995" t="str">
        <f>_xlfn.XLOOKUP(order[[#This Row],[product_id]],products!$A$2:$A$11,products!$B$2:$B$11)</f>
        <v>Adidas Ultraboost Shoes</v>
      </c>
      <c r="N995" s="3" t="str">
        <f>_xlfn.XLOOKUP(order[[#This Row],[product_id]],products!$A$2:$A$11,products!$C$2:$C$11)</f>
        <v>Fashion</v>
      </c>
      <c r="O995" s="3">
        <f>_xlfn.XLOOKUP(order[[#This Row],[product_id]],Table4[product_id],Table4[cost_price])</f>
        <v>9000</v>
      </c>
      <c r="P995" s="11">
        <f>_xlfn.XLOOKUP(order[[#This Row],[order_id]],shipment[order_id],shipment[ship_date])</f>
        <v>45353</v>
      </c>
      <c r="Q995" s="11">
        <f>_xlfn.XLOOKUP(order[[#This Row],[order_id]],shipment[order_id],shipment[delivery_date])</f>
        <v>45356</v>
      </c>
      <c r="R995" s="3" t="str">
        <f>_xlfn.XLOOKUP(order[[#This Row],[order_id]],shipment[shipment_id],shipment[courier])</f>
        <v>Ekart</v>
      </c>
      <c r="S995" s="3">
        <f>order[[#This Row],[selling_price]]-order[[#This Row],[cost_price]]*order[[#This Row],[quantity]]-order[[#This Row],[discount]]</f>
        <v>-15882</v>
      </c>
      <c r="T995" s="3">
        <f>order[[#This Row],[quantity]]*order[[#This Row],[selling_price]]</f>
        <v>41544</v>
      </c>
    </row>
    <row r="996" spans="1:20" x14ac:dyDescent="0.3">
      <c r="A996">
        <v>1124</v>
      </c>
      <c r="B996" s="11">
        <v>45328</v>
      </c>
      <c r="C996">
        <v>186</v>
      </c>
      <c r="D996" t="str">
        <f>_xlfn.XLOOKUP(order[[#This Row],[customer_id]],customer[customer_id],customer[customer_name])</f>
        <v>Meera Joshi</v>
      </c>
      <c r="E996">
        <v>208</v>
      </c>
      <c r="F996">
        <v>4</v>
      </c>
      <c r="G996">
        <v>6200</v>
      </c>
      <c r="H996">
        <v>2719</v>
      </c>
      <c r="I996" t="s">
        <v>11</v>
      </c>
      <c r="J996" t="s">
        <v>12</v>
      </c>
      <c r="K996" t="str">
        <f>_xlfn.XLOOKUP(order[[#This Row],[customer_id]],customer[customer_id],customer[city])</f>
        <v>Mumbai</v>
      </c>
      <c r="L996" t="str">
        <f>_xlfn.XLOOKUP(order[[#This Row],[customer_id]],customer[customer_id],customer[state])</f>
        <v>Maharashtra</v>
      </c>
      <c r="M996" t="str">
        <f>_xlfn.XLOOKUP(order[[#This Row],[product_id]],products!$A$2:$A$11,products!$B$2:$B$11)</f>
        <v>Adidas Ultraboost Shoes</v>
      </c>
      <c r="N996" s="3" t="str">
        <f>_xlfn.XLOOKUP(order[[#This Row],[product_id]],products!$A$2:$A$11,products!$C$2:$C$11)</f>
        <v>Fashion</v>
      </c>
      <c r="O996" s="3">
        <f>_xlfn.XLOOKUP(order[[#This Row],[product_id]],Table4[product_id],Table4[cost_price])</f>
        <v>9000</v>
      </c>
      <c r="P996" s="11">
        <f>_xlfn.XLOOKUP(order[[#This Row],[order_id]],shipment[order_id],shipment[ship_date])</f>
        <v>45466</v>
      </c>
      <c r="Q996" s="11">
        <f>_xlfn.XLOOKUP(order[[#This Row],[order_id]],shipment[order_id],shipment[delivery_date])</f>
        <v>45475</v>
      </c>
      <c r="R996" s="3" t="str">
        <f>_xlfn.XLOOKUP(order[[#This Row],[order_id]],shipment[shipment_id],shipment[courier])</f>
        <v>DTDC</v>
      </c>
      <c r="S996" s="3">
        <f>order[[#This Row],[selling_price]]-order[[#This Row],[cost_price]]*order[[#This Row],[quantity]]-order[[#This Row],[discount]]</f>
        <v>-32519</v>
      </c>
      <c r="T996" s="3">
        <f>order[[#This Row],[quantity]]*order[[#This Row],[selling_price]]</f>
        <v>24800</v>
      </c>
    </row>
    <row r="997" spans="1:20" x14ac:dyDescent="0.3">
      <c r="A997">
        <v>826</v>
      </c>
      <c r="B997" s="11">
        <v>45419</v>
      </c>
      <c r="C997">
        <v>123</v>
      </c>
      <c r="D997" t="str">
        <f>_xlfn.XLOOKUP(order[[#This Row],[customer_id]],customer[customer_id],customer[customer_name])</f>
        <v>Ananya Gupta</v>
      </c>
      <c r="E997">
        <v>208</v>
      </c>
      <c r="F997">
        <v>4</v>
      </c>
      <c r="G997">
        <v>30889</v>
      </c>
      <c r="H997">
        <v>2711</v>
      </c>
      <c r="I997" t="s">
        <v>13</v>
      </c>
      <c r="J997" t="s">
        <v>10</v>
      </c>
      <c r="K997" t="str">
        <f>_xlfn.XLOOKUP(order[[#This Row],[customer_id]],customer[customer_id],customer[city])</f>
        <v>Hyderabad</v>
      </c>
      <c r="L997" t="str">
        <f>_xlfn.XLOOKUP(order[[#This Row],[customer_id]],customer[customer_id],customer[state])</f>
        <v>Telangana</v>
      </c>
      <c r="M997" t="str">
        <f>_xlfn.XLOOKUP(order[[#This Row],[product_id]],products!$A$2:$A$11,products!$B$2:$B$11)</f>
        <v>Adidas Ultraboost Shoes</v>
      </c>
      <c r="N997" s="3" t="str">
        <f>_xlfn.XLOOKUP(order[[#This Row],[product_id]],products!$A$2:$A$11,products!$C$2:$C$11)</f>
        <v>Fashion</v>
      </c>
      <c r="O997" s="3">
        <f>_xlfn.XLOOKUP(order[[#This Row],[product_id]],Table4[product_id],Table4[cost_price])</f>
        <v>9000</v>
      </c>
      <c r="P997" s="11">
        <f>_xlfn.XLOOKUP(order[[#This Row],[order_id]],shipment[order_id],shipment[ship_date])</f>
        <v>45320</v>
      </c>
      <c r="Q997" s="11">
        <f>_xlfn.XLOOKUP(order[[#This Row],[order_id]],shipment[order_id],shipment[delivery_date])</f>
        <v>45322</v>
      </c>
      <c r="R997" s="3" t="str">
        <f>_xlfn.XLOOKUP(order[[#This Row],[order_id]],shipment[shipment_id],shipment[courier])</f>
        <v>Ekart</v>
      </c>
      <c r="S997" s="3">
        <f>order[[#This Row],[selling_price]]-order[[#This Row],[cost_price]]*order[[#This Row],[quantity]]-order[[#This Row],[discount]]</f>
        <v>-7822</v>
      </c>
      <c r="T997" s="3">
        <f>order[[#This Row],[quantity]]*order[[#This Row],[selling_price]]</f>
        <v>123556</v>
      </c>
    </row>
    <row r="998" spans="1:20" x14ac:dyDescent="0.3">
      <c r="A998">
        <v>997</v>
      </c>
      <c r="B998" s="11">
        <v>45345</v>
      </c>
      <c r="C998">
        <v>142</v>
      </c>
      <c r="D998" t="str">
        <f>_xlfn.XLOOKUP(order[[#This Row],[customer_id]],customer[customer_id],customer[customer_name])</f>
        <v>Rahul Mehta</v>
      </c>
      <c r="E998">
        <v>207</v>
      </c>
      <c r="F998">
        <v>1</v>
      </c>
      <c r="G998">
        <v>29579</v>
      </c>
      <c r="H998">
        <v>13</v>
      </c>
      <c r="I998" t="s">
        <v>13</v>
      </c>
      <c r="J998" t="s">
        <v>10</v>
      </c>
      <c r="K998" t="str">
        <f>_xlfn.XLOOKUP(order[[#This Row],[customer_id]],customer[customer_id],customer[city])</f>
        <v>Pune</v>
      </c>
      <c r="L998" t="str">
        <f>_xlfn.XLOOKUP(order[[#This Row],[customer_id]],customer[customer_id],customer[state])</f>
        <v>Maharashtra</v>
      </c>
      <c r="M998" t="str">
        <f>_xlfn.XLOOKUP(order[[#This Row],[product_id]],products!$A$2:$A$11,products!$B$2:$B$11)</f>
        <v>Sony WH-1000XM4 Headphones</v>
      </c>
      <c r="N998" s="3" t="str">
        <f>_xlfn.XLOOKUP(order[[#This Row],[product_id]],products!$A$2:$A$11,products!$C$2:$C$11)</f>
        <v>Electronics</v>
      </c>
      <c r="O998" s="3">
        <f>_xlfn.XLOOKUP(order[[#This Row],[product_id]],Table4[product_id],Table4[cost_price])</f>
        <v>20000</v>
      </c>
      <c r="P998" s="11">
        <f>_xlfn.XLOOKUP(order[[#This Row],[order_id]],shipment[order_id],shipment[ship_date])</f>
        <v>45507</v>
      </c>
      <c r="Q998" s="11">
        <f>_xlfn.XLOOKUP(order[[#This Row],[order_id]],shipment[order_id],shipment[delivery_date])</f>
        <v>45511</v>
      </c>
      <c r="R998" s="3" t="str">
        <f>_xlfn.XLOOKUP(order[[#This Row],[order_id]],shipment[shipment_id],shipment[courier])</f>
        <v>Ekart</v>
      </c>
      <c r="S998" s="3">
        <f>order[[#This Row],[selling_price]]-order[[#This Row],[cost_price]]*order[[#This Row],[quantity]]-order[[#This Row],[discount]]</f>
        <v>9566</v>
      </c>
      <c r="T998" s="3">
        <f>order[[#This Row],[quantity]]*order[[#This Row],[selling_price]]</f>
        <v>29579</v>
      </c>
    </row>
    <row r="999" spans="1:20" x14ac:dyDescent="0.3">
      <c r="A999">
        <v>654</v>
      </c>
      <c r="B999" s="11">
        <v>45301</v>
      </c>
      <c r="C999">
        <v>222</v>
      </c>
      <c r="D999" t="str">
        <f>_xlfn.XLOOKUP(order[[#This Row],[customer_id]],customer[customer_id],customer[customer_name])</f>
        <v>Ananya Gupta</v>
      </c>
      <c r="E999">
        <v>208</v>
      </c>
      <c r="F999">
        <v>4</v>
      </c>
      <c r="G999">
        <v>17182</v>
      </c>
      <c r="H999">
        <v>2644</v>
      </c>
      <c r="I999" t="s">
        <v>9</v>
      </c>
      <c r="J999" t="s">
        <v>14</v>
      </c>
      <c r="K999" t="str">
        <f>_xlfn.XLOOKUP(order[[#This Row],[customer_id]],customer[customer_id],customer[city])</f>
        <v>Chennai</v>
      </c>
      <c r="L999" t="str">
        <f>_xlfn.XLOOKUP(order[[#This Row],[customer_id]],customer[customer_id],customer[state])</f>
        <v>Tamil Nadu</v>
      </c>
      <c r="M999" t="str">
        <f>_xlfn.XLOOKUP(order[[#This Row],[product_id]],products!$A$2:$A$11,products!$B$2:$B$11)</f>
        <v>Adidas Ultraboost Shoes</v>
      </c>
      <c r="N999" s="3" t="str">
        <f>_xlfn.XLOOKUP(order[[#This Row],[product_id]],products!$A$2:$A$11,products!$C$2:$C$11)</f>
        <v>Fashion</v>
      </c>
      <c r="O999" s="3">
        <f>_xlfn.XLOOKUP(order[[#This Row],[product_id]],Table4[product_id],Table4[cost_price])</f>
        <v>9000</v>
      </c>
      <c r="P999" s="11">
        <f>_xlfn.XLOOKUP(order[[#This Row],[order_id]],shipment[order_id],shipment[ship_date])</f>
        <v>45486</v>
      </c>
      <c r="Q999" s="11">
        <f>_xlfn.XLOOKUP(order[[#This Row],[order_id]],shipment[order_id],shipment[delivery_date])</f>
        <v>45488</v>
      </c>
      <c r="R999" s="3" t="str">
        <f>_xlfn.XLOOKUP(order[[#This Row],[order_id]],shipment[shipment_id],shipment[courier])</f>
        <v>Delhivery</v>
      </c>
      <c r="S999" s="3">
        <f>order[[#This Row],[selling_price]]-order[[#This Row],[cost_price]]*order[[#This Row],[quantity]]-order[[#This Row],[discount]]</f>
        <v>-21462</v>
      </c>
      <c r="T999" s="3">
        <f>order[[#This Row],[quantity]]*order[[#This Row],[selling_price]]</f>
        <v>68728</v>
      </c>
    </row>
    <row r="1000" spans="1:20" x14ac:dyDescent="0.3">
      <c r="A1000">
        <v>999</v>
      </c>
      <c r="B1000" s="11">
        <v>45324</v>
      </c>
      <c r="C1000">
        <v>163</v>
      </c>
      <c r="D1000" t="str">
        <f>_xlfn.XLOOKUP(order[[#This Row],[customer_id]],customer[customer_id],customer[customer_name])</f>
        <v>Ananya Gupta</v>
      </c>
      <c r="E1000">
        <v>206</v>
      </c>
      <c r="F1000">
        <v>4</v>
      </c>
      <c r="G1000">
        <v>32291</v>
      </c>
      <c r="H1000">
        <v>2136</v>
      </c>
      <c r="I1000" t="s">
        <v>15</v>
      </c>
      <c r="J1000" t="s">
        <v>12</v>
      </c>
      <c r="K1000" t="str">
        <f>_xlfn.XLOOKUP(order[[#This Row],[customer_id]],customer[customer_id],customer[city])</f>
        <v>Chennai</v>
      </c>
      <c r="L1000" t="str">
        <f>_xlfn.XLOOKUP(order[[#This Row],[customer_id]],customer[customer_id],customer[state])</f>
        <v>Tamil Nadu</v>
      </c>
      <c r="M1000" t="str">
        <f>_xlfn.XLOOKUP(order[[#This Row],[product_id]],products!$A$2:$A$11,products!$B$2:$B$11)</f>
        <v>Philips Air Fryer</v>
      </c>
      <c r="N1000" s="3" t="str">
        <f>_xlfn.XLOOKUP(order[[#This Row],[product_id]],products!$A$2:$A$11,products!$C$2:$C$11)</f>
        <v>Home &amp; Kitchen</v>
      </c>
      <c r="O1000" s="3">
        <f>_xlfn.XLOOKUP(order[[#This Row],[product_id]],Table4[product_id],Table4[cost_price])</f>
        <v>7000</v>
      </c>
      <c r="P1000" s="11">
        <f>_xlfn.XLOOKUP(order[[#This Row],[order_id]],shipment[order_id],shipment[ship_date])</f>
        <v>45395</v>
      </c>
      <c r="Q1000" s="11">
        <f>_xlfn.XLOOKUP(order[[#This Row],[order_id]],shipment[order_id],shipment[delivery_date])</f>
        <v>45403</v>
      </c>
      <c r="R1000" s="3" t="str">
        <f>_xlfn.XLOOKUP(order[[#This Row],[order_id]],shipment[shipment_id],shipment[courier])</f>
        <v>BlueDart</v>
      </c>
      <c r="S1000" s="3">
        <f>order[[#This Row],[selling_price]]-order[[#This Row],[cost_price]]*order[[#This Row],[quantity]]-order[[#This Row],[discount]]</f>
        <v>2155</v>
      </c>
      <c r="T1000" s="3">
        <f>order[[#This Row],[quantity]]*order[[#This Row],[selling_price]]</f>
        <v>129164</v>
      </c>
    </row>
    <row r="1001" spans="1:20" x14ac:dyDescent="0.3">
      <c r="A1001">
        <v>1042</v>
      </c>
      <c r="B1001" s="11">
        <v>45393</v>
      </c>
      <c r="C1001">
        <v>164</v>
      </c>
      <c r="D1001" t="str">
        <f>_xlfn.XLOOKUP(order[[#This Row],[customer_id]],customer[customer_id],customer[customer_name])</f>
        <v>Pooja Nair</v>
      </c>
      <c r="E1001">
        <v>208</v>
      </c>
      <c r="F1001">
        <v>4</v>
      </c>
      <c r="G1001">
        <v>35551</v>
      </c>
      <c r="H1001">
        <v>2415</v>
      </c>
      <c r="I1001" t="s">
        <v>9</v>
      </c>
      <c r="J1001" t="s">
        <v>14</v>
      </c>
      <c r="K1001" t="str">
        <f>_xlfn.XLOOKUP(order[[#This Row],[customer_id]],customer[customer_id],customer[city])</f>
        <v>Ahmedabad</v>
      </c>
      <c r="L1001" t="str">
        <f>_xlfn.XLOOKUP(order[[#This Row],[customer_id]],customer[customer_id],customer[state])</f>
        <v>Gujarat</v>
      </c>
      <c r="M1001" t="str">
        <f>_xlfn.XLOOKUP(order[[#This Row],[product_id]],products!$A$2:$A$11,products!$B$2:$B$11)</f>
        <v>Adidas Ultraboost Shoes</v>
      </c>
      <c r="N1001" s="3" t="str">
        <f>_xlfn.XLOOKUP(order[[#This Row],[product_id]],products!$A$2:$A$11,products!$C$2:$C$11)</f>
        <v>Fashion</v>
      </c>
      <c r="O1001" s="3">
        <f>_xlfn.XLOOKUP(order[[#This Row],[product_id]],Table4[product_id],Table4[cost_price])</f>
        <v>9000</v>
      </c>
      <c r="P1001" s="11">
        <f>_xlfn.XLOOKUP(order[[#This Row],[order_id]],shipment[order_id],shipment[ship_date])</f>
        <v>45393</v>
      </c>
      <c r="Q1001" s="11">
        <f>_xlfn.XLOOKUP(order[[#This Row],[order_id]],shipment[order_id],shipment[delivery_date])</f>
        <v>45398</v>
      </c>
      <c r="R1001" s="3" t="str">
        <f>_xlfn.XLOOKUP(order[[#This Row],[order_id]],shipment[shipment_id],shipment[courier])</f>
        <v>Delhivery</v>
      </c>
      <c r="S1001" s="3">
        <f>order[[#This Row],[selling_price]]-order[[#This Row],[cost_price]]*order[[#This Row],[quantity]]-order[[#This Row],[discount]]</f>
        <v>-2864</v>
      </c>
      <c r="T1001" s="3">
        <f>order[[#This Row],[quantity]]*order[[#This Row],[selling_price]]</f>
        <v>142204</v>
      </c>
    </row>
    <row r="1002" spans="1:20" x14ac:dyDescent="0.3">
      <c r="A1002">
        <v>1001</v>
      </c>
      <c r="B1002" s="11">
        <v>45494</v>
      </c>
      <c r="C1002">
        <v>159</v>
      </c>
      <c r="D1002" t="str">
        <f>_xlfn.XLOOKUP(order[[#This Row],[customer_id]],customer[customer_id],customer[customer_name])</f>
        <v>Neha Kapoor</v>
      </c>
      <c r="E1002">
        <v>205</v>
      </c>
      <c r="F1002">
        <v>2</v>
      </c>
      <c r="G1002">
        <v>46234</v>
      </c>
      <c r="H1002">
        <v>1668</v>
      </c>
      <c r="I1002" t="s">
        <v>13</v>
      </c>
      <c r="J1002" t="s">
        <v>14</v>
      </c>
      <c r="K1002" t="str">
        <f>_xlfn.XLOOKUP(order[[#This Row],[customer_id]],customer[customer_id],customer[city])</f>
        <v>Ahmedabad</v>
      </c>
      <c r="L1002" t="str">
        <f>_xlfn.XLOOKUP(order[[#This Row],[customer_id]],customer[customer_id],customer[state])</f>
        <v>Gujarat</v>
      </c>
      <c r="M1002" t="str">
        <f>_xlfn.XLOOKUP(order[[#This Row],[product_id]],products!$A$2:$A$11,products!$B$2:$B$11)</f>
        <v>Prestige Pressure Cooker 5L</v>
      </c>
      <c r="N1002" s="3" t="str">
        <f>_xlfn.XLOOKUP(order[[#This Row],[product_id]],products!$A$2:$A$11,products!$C$2:$C$11)</f>
        <v>Home &amp; Kitchen</v>
      </c>
      <c r="O1002" s="3">
        <f>_xlfn.XLOOKUP(order[[#This Row],[product_id]],Table4[product_id],Table4[cost_price])</f>
        <v>1200</v>
      </c>
      <c r="P1002" s="11">
        <f>_xlfn.XLOOKUP(order[[#This Row],[order_id]],shipment[order_id],shipment[ship_date])</f>
        <v>45511</v>
      </c>
      <c r="Q1002" s="11">
        <f>_xlfn.XLOOKUP(order[[#This Row],[order_id]],shipment[order_id],shipment[delivery_date])</f>
        <v>45516</v>
      </c>
      <c r="R1002" s="3" t="str">
        <f>_xlfn.XLOOKUP(order[[#This Row],[order_id]],shipment[shipment_id],shipment[courier])</f>
        <v>Delhivery</v>
      </c>
      <c r="S1002" s="3">
        <f>order[[#This Row],[selling_price]]-order[[#This Row],[cost_price]]*order[[#This Row],[quantity]]-order[[#This Row],[discount]]</f>
        <v>42166</v>
      </c>
      <c r="T1002" s="3">
        <f>order[[#This Row],[quantity]]*order[[#This Row],[selling_price]]</f>
        <v>92468</v>
      </c>
    </row>
    <row r="1003" spans="1:20" x14ac:dyDescent="0.3">
      <c r="A1003">
        <v>758</v>
      </c>
      <c r="B1003" s="11">
        <v>45502</v>
      </c>
      <c r="C1003">
        <v>117</v>
      </c>
      <c r="D1003" t="str">
        <f>_xlfn.XLOOKUP(order[[#This Row],[customer_id]],customer[customer_id],customer[customer_name])</f>
        <v>Rohit Verma</v>
      </c>
      <c r="E1003">
        <v>208</v>
      </c>
      <c r="F1003">
        <v>2</v>
      </c>
      <c r="G1003">
        <v>8906</v>
      </c>
      <c r="H1003">
        <v>2388</v>
      </c>
      <c r="I1003" t="s">
        <v>11</v>
      </c>
      <c r="J1003" t="s">
        <v>14</v>
      </c>
      <c r="K1003" t="str">
        <f>_xlfn.XLOOKUP(order[[#This Row],[customer_id]],customer[customer_id],customer[city])</f>
        <v>Bangalore</v>
      </c>
      <c r="L1003" t="str">
        <f>_xlfn.XLOOKUP(order[[#This Row],[customer_id]],customer[customer_id],customer[state])</f>
        <v>Karnataka</v>
      </c>
      <c r="M1003" t="str">
        <f>_xlfn.XLOOKUP(order[[#This Row],[product_id]],products!$A$2:$A$11,products!$B$2:$B$11)</f>
        <v>Adidas Ultraboost Shoes</v>
      </c>
      <c r="N1003" s="3" t="str">
        <f>_xlfn.XLOOKUP(order[[#This Row],[product_id]],products!$A$2:$A$11,products!$C$2:$C$11)</f>
        <v>Fashion</v>
      </c>
      <c r="O1003" s="3">
        <f>_xlfn.XLOOKUP(order[[#This Row],[product_id]],Table4[product_id],Table4[cost_price])</f>
        <v>9000</v>
      </c>
      <c r="P1003" s="11">
        <f>_xlfn.XLOOKUP(order[[#This Row],[order_id]],shipment[order_id],shipment[ship_date])</f>
        <v>45528</v>
      </c>
      <c r="Q1003" s="11">
        <f>_xlfn.XLOOKUP(order[[#This Row],[order_id]],shipment[order_id],shipment[delivery_date])</f>
        <v>45538</v>
      </c>
      <c r="R1003" s="3" t="str">
        <f>_xlfn.XLOOKUP(order[[#This Row],[order_id]],shipment[shipment_id],shipment[courier])</f>
        <v>Delhivery</v>
      </c>
      <c r="S1003" s="3">
        <f>order[[#This Row],[selling_price]]-order[[#This Row],[cost_price]]*order[[#This Row],[quantity]]-order[[#This Row],[discount]]</f>
        <v>-11482</v>
      </c>
      <c r="T1003" s="3">
        <f>order[[#This Row],[quantity]]*order[[#This Row],[selling_price]]</f>
        <v>17812</v>
      </c>
    </row>
    <row r="1004" spans="1:20" x14ac:dyDescent="0.3">
      <c r="A1004">
        <v>795</v>
      </c>
      <c r="B1004" s="11">
        <v>45299</v>
      </c>
      <c r="C1004">
        <v>198</v>
      </c>
      <c r="D1004" t="str">
        <f>_xlfn.XLOOKUP(order[[#This Row],[customer_id]],customer[customer_id],customer[customer_name])</f>
        <v>Ananya Gupta</v>
      </c>
      <c r="E1004">
        <v>208</v>
      </c>
      <c r="F1004">
        <v>3</v>
      </c>
      <c r="G1004">
        <v>25673</v>
      </c>
      <c r="H1004">
        <v>2213</v>
      </c>
      <c r="I1004" t="s">
        <v>15</v>
      </c>
      <c r="J1004" t="s">
        <v>10</v>
      </c>
      <c r="K1004" t="str">
        <f>_xlfn.XLOOKUP(order[[#This Row],[customer_id]],customer[customer_id],customer[city])</f>
        <v>Bangalore</v>
      </c>
      <c r="L1004" t="str">
        <f>_xlfn.XLOOKUP(order[[#This Row],[customer_id]],customer[customer_id],customer[state])</f>
        <v>Karnataka</v>
      </c>
      <c r="M1004" t="str">
        <f>_xlfn.XLOOKUP(order[[#This Row],[product_id]],products!$A$2:$A$11,products!$B$2:$B$11)</f>
        <v>Adidas Ultraboost Shoes</v>
      </c>
      <c r="N1004" s="3" t="str">
        <f>_xlfn.XLOOKUP(order[[#This Row],[product_id]],products!$A$2:$A$11,products!$C$2:$C$11)</f>
        <v>Fashion</v>
      </c>
      <c r="O1004" s="3">
        <f>_xlfn.XLOOKUP(order[[#This Row],[product_id]],Table4[product_id],Table4[cost_price])</f>
        <v>9000</v>
      </c>
      <c r="P1004" s="11">
        <f>_xlfn.XLOOKUP(order[[#This Row],[order_id]],shipment[order_id],shipment[ship_date])</f>
        <v>45348</v>
      </c>
      <c r="Q1004" s="11">
        <f>_xlfn.XLOOKUP(order[[#This Row],[order_id]],shipment[order_id],shipment[delivery_date])</f>
        <v>45350</v>
      </c>
      <c r="R1004" s="3" t="str">
        <f>_xlfn.XLOOKUP(order[[#This Row],[order_id]],shipment[shipment_id],shipment[courier])</f>
        <v>Ekart</v>
      </c>
      <c r="S1004" s="3">
        <f>order[[#This Row],[selling_price]]-order[[#This Row],[cost_price]]*order[[#This Row],[quantity]]-order[[#This Row],[discount]]</f>
        <v>-3540</v>
      </c>
      <c r="T1004" s="3">
        <f>order[[#This Row],[quantity]]*order[[#This Row],[selling_price]]</f>
        <v>77019</v>
      </c>
    </row>
    <row r="1005" spans="1:20" x14ac:dyDescent="0.3">
      <c r="A1005">
        <v>886</v>
      </c>
      <c r="B1005" s="11">
        <v>45356</v>
      </c>
      <c r="C1005">
        <v>270</v>
      </c>
      <c r="D1005" t="str">
        <f>_xlfn.XLOOKUP(order[[#This Row],[customer_id]],customer[customer_id],customer[customer_name])</f>
        <v>Karan Patel</v>
      </c>
      <c r="E1005">
        <v>208</v>
      </c>
      <c r="F1005">
        <v>4</v>
      </c>
      <c r="G1005">
        <v>20206</v>
      </c>
      <c r="H1005">
        <v>2043</v>
      </c>
      <c r="I1005" t="s">
        <v>13</v>
      </c>
      <c r="J1005" t="s">
        <v>12</v>
      </c>
      <c r="K1005" t="str">
        <f>_xlfn.XLOOKUP(order[[#This Row],[customer_id]],customer[customer_id],customer[city])</f>
        <v>Mumbai</v>
      </c>
      <c r="L1005" t="str">
        <f>_xlfn.XLOOKUP(order[[#This Row],[customer_id]],customer[customer_id],customer[state])</f>
        <v>Maharashtra</v>
      </c>
      <c r="M1005" t="str">
        <f>_xlfn.XLOOKUP(order[[#This Row],[product_id]],products!$A$2:$A$11,products!$B$2:$B$11)</f>
        <v>Adidas Ultraboost Shoes</v>
      </c>
      <c r="N1005" s="3" t="str">
        <f>_xlfn.XLOOKUP(order[[#This Row],[product_id]],products!$A$2:$A$11,products!$C$2:$C$11)</f>
        <v>Fashion</v>
      </c>
      <c r="O1005" s="3">
        <f>_xlfn.XLOOKUP(order[[#This Row],[product_id]],Table4[product_id],Table4[cost_price])</f>
        <v>9000</v>
      </c>
      <c r="P1005" s="11">
        <f>_xlfn.XLOOKUP(order[[#This Row],[order_id]],shipment[order_id],shipment[ship_date])</f>
        <v>45342</v>
      </c>
      <c r="Q1005" s="11">
        <f>_xlfn.XLOOKUP(order[[#This Row],[order_id]],shipment[order_id],shipment[delivery_date])</f>
        <v>45344</v>
      </c>
      <c r="R1005" s="3" t="str">
        <f>_xlfn.XLOOKUP(order[[#This Row],[order_id]],shipment[shipment_id],shipment[courier])</f>
        <v>DTDC</v>
      </c>
      <c r="S1005" s="3">
        <f>order[[#This Row],[selling_price]]-order[[#This Row],[cost_price]]*order[[#This Row],[quantity]]-order[[#This Row],[discount]]</f>
        <v>-17837</v>
      </c>
      <c r="T1005" s="3">
        <f>order[[#This Row],[quantity]]*order[[#This Row],[selling_price]]</f>
        <v>80824</v>
      </c>
    </row>
    <row r="1006" spans="1:20" x14ac:dyDescent="0.3">
      <c r="A1006">
        <v>1147</v>
      </c>
      <c r="B1006" s="11">
        <v>45311</v>
      </c>
      <c r="C1006">
        <v>192</v>
      </c>
      <c r="D1006" t="str">
        <f>_xlfn.XLOOKUP(order[[#This Row],[customer_id]],customer[customer_id],customer[customer_name])</f>
        <v>Sneha Iyer</v>
      </c>
      <c r="E1006">
        <v>208</v>
      </c>
      <c r="F1006">
        <v>2</v>
      </c>
      <c r="G1006">
        <v>3765</v>
      </c>
      <c r="H1006">
        <v>1902</v>
      </c>
      <c r="I1006" t="s">
        <v>15</v>
      </c>
      <c r="J1006" t="s">
        <v>10</v>
      </c>
      <c r="K1006" t="str">
        <f>_xlfn.XLOOKUP(order[[#This Row],[customer_id]],customer[customer_id],customer[city])</f>
        <v>Delhi</v>
      </c>
      <c r="L1006" t="str">
        <f>_xlfn.XLOOKUP(order[[#This Row],[customer_id]],customer[customer_id],customer[state])</f>
        <v>Delhi</v>
      </c>
      <c r="M1006" t="str">
        <f>_xlfn.XLOOKUP(order[[#This Row],[product_id]],products!$A$2:$A$11,products!$B$2:$B$11)</f>
        <v>Adidas Ultraboost Shoes</v>
      </c>
      <c r="N1006" s="3" t="str">
        <f>_xlfn.XLOOKUP(order[[#This Row],[product_id]],products!$A$2:$A$11,products!$C$2:$C$11)</f>
        <v>Fashion</v>
      </c>
      <c r="O1006" s="3">
        <f>_xlfn.XLOOKUP(order[[#This Row],[product_id]],Table4[product_id],Table4[cost_price])</f>
        <v>9000</v>
      </c>
      <c r="P1006" s="11">
        <f>_xlfn.XLOOKUP(order[[#This Row],[order_id]],shipment[order_id],shipment[ship_date])</f>
        <v>45634</v>
      </c>
      <c r="Q1006" s="11">
        <f>_xlfn.XLOOKUP(order[[#This Row],[order_id]],shipment[order_id],shipment[delivery_date])</f>
        <v>45639</v>
      </c>
      <c r="R1006" s="3" t="str">
        <f>_xlfn.XLOOKUP(order[[#This Row],[order_id]],shipment[shipment_id],shipment[courier])</f>
        <v>Ekart</v>
      </c>
      <c r="S1006" s="3">
        <f>order[[#This Row],[selling_price]]-order[[#This Row],[cost_price]]*order[[#This Row],[quantity]]-order[[#This Row],[discount]]</f>
        <v>-16137</v>
      </c>
      <c r="T1006" s="3">
        <f>order[[#This Row],[quantity]]*order[[#This Row],[selling_price]]</f>
        <v>7530</v>
      </c>
    </row>
    <row r="1007" spans="1:20" x14ac:dyDescent="0.3">
      <c r="A1007">
        <v>341</v>
      </c>
      <c r="B1007" s="11">
        <v>45526</v>
      </c>
      <c r="C1007">
        <v>105</v>
      </c>
      <c r="D1007" t="str">
        <f>_xlfn.XLOOKUP(order[[#This Row],[customer_id]],customer[customer_id],customer[customer_name])</f>
        <v>Vikram Singh</v>
      </c>
      <c r="E1007">
        <v>208</v>
      </c>
      <c r="F1007">
        <v>2</v>
      </c>
      <c r="G1007">
        <v>1502</v>
      </c>
      <c r="H1007">
        <v>1846</v>
      </c>
      <c r="I1007" t="s">
        <v>15</v>
      </c>
      <c r="J1007" t="s">
        <v>12</v>
      </c>
      <c r="K1007" t="str">
        <f>_xlfn.XLOOKUP(order[[#This Row],[customer_id]],customer[customer_id],customer[city])</f>
        <v>Pune</v>
      </c>
      <c r="L1007" t="str">
        <f>_xlfn.XLOOKUP(order[[#This Row],[customer_id]],customer[customer_id],customer[state])</f>
        <v>Maharashtra</v>
      </c>
      <c r="M1007" t="str">
        <f>_xlfn.XLOOKUP(order[[#This Row],[product_id]],products!$A$2:$A$11,products!$B$2:$B$11)</f>
        <v>Adidas Ultraboost Shoes</v>
      </c>
      <c r="N1007" s="3" t="str">
        <f>_xlfn.XLOOKUP(order[[#This Row],[product_id]],products!$A$2:$A$11,products!$C$2:$C$11)</f>
        <v>Fashion</v>
      </c>
      <c r="O1007" s="3">
        <f>_xlfn.XLOOKUP(order[[#This Row],[product_id]],Table4[product_id],Table4[cost_price])</f>
        <v>9000</v>
      </c>
      <c r="P1007" s="11">
        <f>_xlfn.XLOOKUP(order[[#This Row],[order_id]],shipment[order_id],shipment[ship_date])</f>
        <v>45515</v>
      </c>
      <c r="Q1007" s="11">
        <f>_xlfn.XLOOKUP(order[[#This Row],[order_id]],shipment[order_id],shipment[delivery_date])</f>
        <v>45520</v>
      </c>
      <c r="R1007" s="3" t="str">
        <f>_xlfn.XLOOKUP(order[[#This Row],[order_id]],shipment[shipment_id],shipment[courier])</f>
        <v>BlueDart</v>
      </c>
      <c r="S1007" s="3">
        <f>order[[#This Row],[selling_price]]-order[[#This Row],[cost_price]]*order[[#This Row],[quantity]]-order[[#This Row],[discount]]</f>
        <v>-18344</v>
      </c>
      <c r="T1007" s="3">
        <f>order[[#This Row],[quantity]]*order[[#This Row],[selling_price]]</f>
        <v>3004</v>
      </c>
    </row>
    <row r="1008" spans="1:20" x14ac:dyDescent="0.3">
      <c r="A1008">
        <v>1007</v>
      </c>
      <c r="B1008" s="11">
        <v>45510</v>
      </c>
      <c r="C1008">
        <v>264</v>
      </c>
      <c r="D1008" t="str">
        <f>_xlfn.XLOOKUP(order[[#This Row],[customer_id]],customer[customer_id],customer[customer_name])</f>
        <v>Ishita Bose</v>
      </c>
      <c r="E1008">
        <v>207</v>
      </c>
      <c r="F1008">
        <v>1</v>
      </c>
      <c r="G1008">
        <v>56432</v>
      </c>
      <c r="H1008">
        <v>3028</v>
      </c>
      <c r="I1008" t="s">
        <v>11</v>
      </c>
      <c r="J1008" t="s">
        <v>10</v>
      </c>
      <c r="K1008" t="str">
        <f>_xlfn.XLOOKUP(order[[#This Row],[customer_id]],customer[customer_id],customer[city])</f>
        <v>Delhi</v>
      </c>
      <c r="L1008" t="str">
        <f>_xlfn.XLOOKUP(order[[#This Row],[customer_id]],customer[customer_id],customer[state])</f>
        <v>Delhi</v>
      </c>
      <c r="M1008" t="str">
        <f>_xlfn.XLOOKUP(order[[#This Row],[product_id]],products!$A$2:$A$11,products!$B$2:$B$11)</f>
        <v>Sony WH-1000XM4 Headphones</v>
      </c>
      <c r="N1008" s="3" t="str">
        <f>_xlfn.XLOOKUP(order[[#This Row],[product_id]],products!$A$2:$A$11,products!$C$2:$C$11)</f>
        <v>Electronics</v>
      </c>
      <c r="O1008" s="3">
        <f>_xlfn.XLOOKUP(order[[#This Row],[product_id]],Table4[product_id],Table4[cost_price])</f>
        <v>20000</v>
      </c>
      <c r="P1008" s="11">
        <f>_xlfn.XLOOKUP(order[[#This Row],[order_id]],shipment[order_id],shipment[ship_date])</f>
        <v>45389</v>
      </c>
      <c r="Q1008" s="11">
        <f>_xlfn.XLOOKUP(order[[#This Row],[order_id]],shipment[order_id],shipment[delivery_date])</f>
        <v>45395</v>
      </c>
      <c r="R1008" s="3" t="str">
        <f>_xlfn.XLOOKUP(order[[#This Row],[order_id]],shipment[shipment_id],shipment[courier])</f>
        <v>Delhivery</v>
      </c>
      <c r="S1008" s="3">
        <f>order[[#This Row],[selling_price]]-order[[#This Row],[cost_price]]*order[[#This Row],[quantity]]-order[[#This Row],[discount]]</f>
        <v>33404</v>
      </c>
      <c r="T1008" s="3">
        <f>order[[#This Row],[quantity]]*order[[#This Row],[selling_price]]</f>
        <v>56432</v>
      </c>
    </row>
    <row r="1009" spans="1:20" x14ac:dyDescent="0.3">
      <c r="A1009">
        <v>1008</v>
      </c>
      <c r="B1009" s="11">
        <v>45364</v>
      </c>
      <c r="C1009">
        <v>249</v>
      </c>
      <c r="D1009" t="str">
        <f>_xlfn.XLOOKUP(order[[#This Row],[customer_id]],customer[customer_id],customer[customer_name])</f>
        <v>Rahul Mehta</v>
      </c>
      <c r="E1009">
        <v>205</v>
      </c>
      <c r="F1009">
        <v>1</v>
      </c>
      <c r="G1009">
        <v>24201</v>
      </c>
      <c r="H1009">
        <v>4536</v>
      </c>
      <c r="I1009" t="s">
        <v>9</v>
      </c>
      <c r="J1009" t="s">
        <v>10</v>
      </c>
      <c r="K1009" t="str">
        <f>_xlfn.XLOOKUP(order[[#This Row],[customer_id]],customer[customer_id],customer[city])</f>
        <v>Delhi</v>
      </c>
      <c r="L1009" t="str">
        <f>_xlfn.XLOOKUP(order[[#This Row],[customer_id]],customer[customer_id],customer[state])</f>
        <v>Delhi</v>
      </c>
      <c r="M1009" t="str">
        <f>_xlfn.XLOOKUP(order[[#This Row],[product_id]],products!$A$2:$A$11,products!$B$2:$B$11)</f>
        <v>Prestige Pressure Cooker 5L</v>
      </c>
      <c r="N1009" s="3" t="str">
        <f>_xlfn.XLOOKUP(order[[#This Row],[product_id]],products!$A$2:$A$11,products!$C$2:$C$11)</f>
        <v>Home &amp; Kitchen</v>
      </c>
      <c r="O1009" s="3">
        <f>_xlfn.XLOOKUP(order[[#This Row],[product_id]],Table4[product_id],Table4[cost_price])</f>
        <v>1200</v>
      </c>
      <c r="P1009" s="11">
        <f>_xlfn.XLOOKUP(order[[#This Row],[order_id]],shipment[order_id],shipment[ship_date])</f>
        <v>45544</v>
      </c>
      <c r="Q1009" s="11">
        <f>_xlfn.XLOOKUP(order[[#This Row],[order_id]],shipment[order_id],shipment[delivery_date])</f>
        <v>45547</v>
      </c>
      <c r="R1009" s="3" t="str">
        <f>_xlfn.XLOOKUP(order[[#This Row],[order_id]],shipment[shipment_id],shipment[courier])</f>
        <v>Ekart</v>
      </c>
      <c r="S1009" s="3">
        <f>order[[#This Row],[selling_price]]-order[[#This Row],[cost_price]]*order[[#This Row],[quantity]]-order[[#This Row],[discount]]</f>
        <v>18465</v>
      </c>
      <c r="T1009" s="3">
        <f>order[[#This Row],[quantity]]*order[[#This Row],[selling_price]]</f>
        <v>24201</v>
      </c>
    </row>
    <row r="1010" spans="1:20" x14ac:dyDescent="0.3">
      <c r="A1010">
        <v>489</v>
      </c>
      <c r="B1010" s="11">
        <v>45418</v>
      </c>
      <c r="C1010">
        <v>221</v>
      </c>
      <c r="D1010" t="str">
        <f>_xlfn.XLOOKUP(order[[#This Row],[customer_id]],customer[customer_id],customer[customer_name])</f>
        <v>Manish Yadav</v>
      </c>
      <c r="E1010">
        <v>208</v>
      </c>
      <c r="F1010">
        <v>4</v>
      </c>
      <c r="G1010">
        <v>4016</v>
      </c>
      <c r="H1010">
        <v>1792</v>
      </c>
      <c r="I1010" t="s">
        <v>9</v>
      </c>
      <c r="J1010" t="s">
        <v>10</v>
      </c>
      <c r="K1010" t="str">
        <f>_xlfn.XLOOKUP(order[[#This Row],[customer_id]],customer[customer_id],customer[city])</f>
        <v>Bangalore</v>
      </c>
      <c r="L1010" t="str">
        <f>_xlfn.XLOOKUP(order[[#This Row],[customer_id]],customer[customer_id],customer[state])</f>
        <v>Karnataka</v>
      </c>
      <c r="M1010" t="str">
        <f>_xlfn.XLOOKUP(order[[#This Row],[product_id]],products!$A$2:$A$11,products!$B$2:$B$11)</f>
        <v>Adidas Ultraboost Shoes</v>
      </c>
      <c r="N1010" s="3" t="str">
        <f>_xlfn.XLOOKUP(order[[#This Row],[product_id]],products!$A$2:$A$11,products!$C$2:$C$11)</f>
        <v>Fashion</v>
      </c>
      <c r="O1010" s="3">
        <f>_xlfn.XLOOKUP(order[[#This Row],[product_id]],Table4[product_id],Table4[cost_price])</f>
        <v>9000</v>
      </c>
      <c r="P1010" s="11">
        <f>_xlfn.XLOOKUP(order[[#This Row],[order_id]],shipment[order_id],shipment[ship_date])</f>
        <v>45325</v>
      </c>
      <c r="Q1010" s="11">
        <f>_xlfn.XLOOKUP(order[[#This Row],[order_id]],shipment[order_id],shipment[delivery_date])</f>
        <v>45333</v>
      </c>
      <c r="R1010" s="3" t="str">
        <f>_xlfn.XLOOKUP(order[[#This Row],[order_id]],shipment[shipment_id],shipment[courier])</f>
        <v>BlueDart</v>
      </c>
      <c r="S1010" s="3">
        <f>order[[#This Row],[selling_price]]-order[[#This Row],[cost_price]]*order[[#This Row],[quantity]]-order[[#This Row],[discount]]</f>
        <v>-33776</v>
      </c>
      <c r="T1010" s="3">
        <f>order[[#This Row],[quantity]]*order[[#This Row],[selling_price]]</f>
        <v>16064</v>
      </c>
    </row>
    <row r="1011" spans="1:20" x14ac:dyDescent="0.3">
      <c r="A1011">
        <v>922</v>
      </c>
      <c r="B1011" s="11">
        <v>45508</v>
      </c>
      <c r="C1011">
        <v>150</v>
      </c>
      <c r="D1011" t="str">
        <f>_xlfn.XLOOKUP(order[[#This Row],[customer_id]],customer[customer_id],customer[customer_name])</f>
        <v>Vikram Singh</v>
      </c>
      <c r="E1011">
        <v>208</v>
      </c>
      <c r="F1011">
        <v>4</v>
      </c>
      <c r="G1011">
        <v>19684</v>
      </c>
      <c r="H1011">
        <v>1760</v>
      </c>
      <c r="I1011" t="s">
        <v>13</v>
      </c>
      <c r="J1011" t="s">
        <v>12</v>
      </c>
      <c r="K1011" t="str">
        <f>_xlfn.XLOOKUP(order[[#This Row],[customer_id]],customer[customer_id],customer[city])</f>
        <v>Mumbai</v>
      </c>
      <c r="L1011" t="str">
        <f>_xlfn.XLOOKUP(order[[#This Row],[customer_id]],customer[customer_id],customer[state])</f>
        <v>Maharashtra</v>
      </c>
      <c r="M1011" t="str">
        <f>_xlfn.XLOOKUP(order[[#This Row],[product_id]],products!$A$2:$A$11,products!$B$2:$B$11)</f>
        <v>Adidas Ultraboost Shoes</v>
      </c>
      <c r="N1011" s="3" t="str">
        <f>_xlfn.XLOOKUP(order[[#This Row],[product_id]],products!$A$2:$A$11,products!$C$2:$C$11)</f>
        <v>Fashion</v>
      </c>
      <c r="O1011" s="3">
        <f>_xlfn.XLOOKUP(order[[#This Row],[product_id]],Table4[product_id],Table4[cost_price])</f>
        <v>9000</v>
      </c>
      <c r="P1011" s="11">
        <f>_xlfn.XLOOKUP(order[[#This Row],[order_id]],shipment[order_id],shipment[ship_date])</f>
        <v>45496</v>
      </c>
      <c r="Q1011" s="11">
        <f>_xlfn.XLOOKUP(order[[#This Row],[order_id]],shipment[order_id],shipment[delivery_date])</f>
        <v>45501</v>
      </c>
      <c r="R1011" s="3" t="str">
        <f>_xlfn.XLOOKUP(order[[#This Row],[order_id]],shipment[shipment_id],shipment[courier])</f>
        <v>DTDC</v>
      </c>
      <c r="S1011" s="3">
        <f>order[[#This Row],[selling_price]]-order[[#This Row],[cost_price]]*order[[#This Row],[quantity]]-order[[#This Row],[discount]]</f>
        <v>-18076</v>
      </c>
      <c r="T1011" s="3">
        <f>order[[#This Row],[quantity]]*order[[#This Row],[selling_price]]</f>
        <v>78736</v>
      </c>
    </row>
    <row r="1012" spans="1:20" x14ac:dyDescent="0.3">
      <c r="A1012">
        <v>1011</v>
      </c>
      <c r="B1012" s="11">
        <v>45625</v>
      </c>
      <c r="C1012">
        <v>141</v>
      </c>
      <c r="D1012" t="str">
        <f>_xlfn.XLOOKUP(order[[#This Row],[customer_id]],customer[customer_id],customer[customer_name])</f>
        <v>Neha Kapoor</v>
      </c>
      <c r="E1012">
        <v>204</v>
      </c>
      <c r="F1012">
        <v>4</v>
      </c>
      <c r="G1012">
        <v>68524</v>
      </c>
      <c r="H1012">
        <v>2946</v>
      </c>
      <c r="I1012" t="s">
        <v>15</v>
      </c>
      <c r="J1012" t="s">
        <v>12</v>
      </c>
      <c r="K1012" t="str">
        <f>_xlfn.XLOOKUP(order[[#This Row],[customer_id]],customer[customer_id],customer[city])</f>
        <v>Ahmedabad</v>
      </c>
      <c r="L1012" t="str">
        <f>_xlfn.XLOOKUP(order[[#This Row],[customer_id]],customer[customer_id],customer[state])</f>
        <v>Gujarat</v>
      </c>
      <c r="M1012" t="str">
        <f>_xlfn.XLOOKUP(order[[#This Row],[product_id]],products!$A$2:$A$11,products!$B$2:$B$11)</f>
        <v>Levi's Slim Fit Jeans</v>
      </c>
      <c r="N1012" s="3" t="str">
        <f>_xlfn.XLOOKUP(order[[#This Row],[product_id]],products!$A$2:$A$11,products!$C$2:$C$11)</f>
        <v>Fashion</v>
      </c>
      <c r="O1012" s="3">
        <f>_xlfn.XLOOKUP(order[[#This Row],[product_id]],Table4[product_id],Table4[cost_price])</f>
        <v>1800</v>
      </c>
      <c r="P1012" s="11">
        <f>_xlfn.XLOOKUP(order[[#This Row],[order_id]],shipment[order_id],shipment[ship_date])</f>
        <v>45297</v>
      </c>
      <c r="Q1012" s="11">
        <f>_xlfn.XLOOKUP(order[[#This Row],[order_id]],shipment[order_id],shipment[delivery_date])</f>
        <v>45302</v>
      </c>
      <c r="R1012" s="3" t="str">
        <f>_xlfn.XLOOKUP(order[[#This Row],[order_id]],shipment[shipment_id],shipment[courier])</f>
        <v>BlueDart</v>
      </c>
      <c r="S1012" s="3">
        <f>order[[#This Row],[selling_price]]-order[[#This Row],[cost_price]]*order[[#This Row],[quantity]]-order[[#This Row],[discount]]</f>
        <v>58378</v>
      </c>
      <c r="T1012" s="3">
        <f>order[[#This Row],[quantity]]*order[[#This Row],[selling_price]]</f>
        <v>274096</v>
      </c>
    </row>
    <row r="1013" spans="1:20" x14ac:dyDescent="0.3">
      <c r="A1013">
        <v>1012</v>
      </c>
      <c r="B1013" s="11">
        <v>45531</v>
      </c>
      <c r="C1013">
        <v>203</v>
      </c>
      <c r="D1013" t="str">
        <f>_xlfn.XLOOKUP(order[[#This Row],[customer_id]],customer[customer_id],customer[customer_name])</f>
        <v>Vikram Singh</v>
      </c>
      <c r="E1013">
        <v>207</v>
      </c>
      <c r="F1013">
        <v>2</v>
      </c>
      <c r="G1013">
        <v>44842</v>
      </c>
      <c r="H1013">
        <v>3207</v>
      </c>
      <c r="I1013" t="s">
        <v>13</v>
      </c>
      <c r="J1013" t="s">
        <v>12</v>
      </c>
      <c r="K1013" t="str">
        <f>_xlfn.XLOOKUP(order[[#This Row],[customer_id]],customer[customer_id],customer[city])</f>
        <v>Delhi</v>
      </c>
      <c r="L1013" t="str">
        <f>_xlfn.XLOOKUP(order[[#This Row],[customer_id]],customer[customer_id],customer[state])</f>
        <v>Delhi</v>
      </c>
      <c r="M1013" t="str">
        <f>_xlfn.XLOOKUP(order[[#This Row],[product_id]],products!$A$2:$A$11,products!$B$2:$B$11)</f>
        <v>Sony WH-1000XM4 Headphones</v>
      </c>
      <c r="N1013" s="3" t="str">
        <f>_xlfn.XLOOKUP(order[[#This Row],[product_id]],products!$A$2:$A$11,products!$C$2:$C$11)</f>
        <v>Electronics</v>
      </c>
      <c r="O1013" s="3">
        <f>_xlfn.XLOOKUP(order[[#This Row],[product_id]],Table4[product_id],Table4[cost_price])</f>
        <v>20000</v>
      </c>
      <c r="P1013" s="11">
        <f>_xlfn.XLOOKUP(order[[#This Row],[order_id]],shipment[order_id],shipment[ship_date])</f>
        <v>45649</v>
      </c>
      <c r="Q1013" s="11">
        <f>_xlfn.XLOOKUP(order[[#This Row],[order_id]],shipment[order_id],shipment[delivery_date])</f>
        <v>45653</v>
      </c>
      <c r="R1013" s="3" t="str">
        <f>_xlfn.XLOOKUP(order[[#This Row],[order_id]],shipment[shipment_id],shipment[courier])</f>
        <v>Ekart</v>
      </c>
      <c r="S1013" s="3">
        <f>order[[#This Row],[selling_price]]-order[[#This Row],[cost_price]]*order[[#This Row],[quantity]]-order[[#This Row],[discount]]</f>
        <v>1635</v>
      </c>
      <c r="T1013" s="3">
        <f>order[[#This Row],[quantity]]*order[[#This Row],[selling_price]]</f>
        <v>89684</v>
      </c>
    </row>
    <row r="1014" spans="1:20" x14ac:dyDescent="0.3">
      <c r="A1014">
        <v>674</v>
      </c>
      <c r="B1014" s="11">
        <v>45298</v>
      </c>
      <c r="C1014">
        <v>101</v>
      </c>
      <c r="D1014" t="str">
        <f>_xlfn.XLOOKUP(order[[#This Row],[customer_id]],customer[customer_id],customer[customer_name])</f>
        <v>Manish Yadav</v>
      </c>
      <c r="E1014">
        <v>208</v>
      </c>
      <c r="F1014">
        <v>4</v>
      </c>
      <c r="G1014">
        <v>23223</v>
      </c>
      <c r="H1014">
        <v>1544</v>
      </c>
      <c r="I1014" t="s">
        <v>11</v>
      </c>
      <c r="J1014" t="s">
        <v>10</v>
      </c>
      <c r="K1014" t="str">
        <f>_xlfn.XLOOKUP(order[[#This Row],[customer_id]],customer[customer_id],customer[city])</f>
        <v>Chennai</v>
      </c>
      <c r="L1014" t="str">
        <f>_xlfn.XLOOKUP(order[[#This Row],[customer_id]],customer[customer_id],customer[state])</f>
        <v>Tamil Nadu</v>
      </c>
      <c r="M1014" t="str">
        <f>_xlfn.XLOOKUP(order[[#This Row],[product_id]],products!$A$2:$A$11,products!$B$2:$B$11)</f>
        <v>Adidas Ultraboost Shoes</v>
      </c>
      <c r="N1014" s="3" t="str">
        <f>_xlfn.XLOOKUP(order[[#This Row],[product_id]],products!$A$2:$A$11,products!$C$2:$C$11)</f>
        <v>Fashion</v>
      </c>
      <c r="O1014" s="3">
        <f>_xlfn.XLOOKUP(order[[#This Row],[product_id]],Table4[product_id],Table4[cost_price])</f>
        <v>9000</v>
      </c>
      <c r="P1014" s="11">
        <f>_xlfn.XLOOKUP(order[[#This Row],[order_id]],shipment[order_id],shipment[ship_date])</f>
        <v>45367</v>
      </c>
      <c r="Q1014" s="11">
        <f>_xlfn.XLOOKUP(order[[#This Row],[order_id]],shipment[order_id],shipment[delivery_date])</f>
        <v>45375</v>
      </c>
      <c r="R1014" s="3" t="str">
        <f>_xlfn.XLOOKUP(order[[#This Row],[order_id]],shipment[shipment_id],shipment[courier])</f>
        <v>DTDC</v>
      </c>
      <c r="S1014" s="3">
        <f>order[[#This Row],[selling_price]]-order[[#This Row],[cost_price]]*order[[#This Row],[quantity]]-order[[#This Row],[discount]]</f>
        <v>-14321</v>
      </c>
      <c r="T1014" s="3">
        <f>order[[#This Row],[quantity]]*order[[#This Row],[selling_price]]</f>
        <v>92892</v>
      </c>
    </row>
    <row r="1015" spans="1:20" x14ac:dyDescent="0.3">
      <c r="A1015">
        <v>1014</v>
      </c>
      <c r="B1015" s="11">
        <v>45441</v>
      </c>
      <c r="C1015">
        <v>270</v>
      </c>
      <c r="D1015" t="str">
        <f>_xlfn.XLOOKUP(order[[#This Row],[customer_id]],customer[customer_id],customer[customer_name])</f>
        <v>Karan Patel</v>
      </c>
      <c r="E1015">
        <v>205</v>
      </c>
      <c r="F1015">
        <v>1</v>
      </c>
      <c r="G1015">
        <v>19766</v>
      </c>
      <c r="H1015">
        <v>3645</v>
      </c>
      <c r="I1015" t="s">
        <v>11</v>
      </c>
      <c r="J1015" t="s">
        <v>10</v>
      </c>
      <c r="K1015" t="str">
        <f>_xlfn.XLOOKUP(order[[#This Row],[customer_id]],customer[customer_id],customer[city])</f>
        <v>Mumbai</v>
      </c>
      <c r="L1015" t="str">
        <f>_xlfn.XLOOKUP(order[[#This Row],[customer_id]],customer[customer_id],customer[state])</f>
        <v>Maharashtra</v>
      </c>
      <c r="M1015" t="str">
        <f>_xlfn.XLOOKUP(order[[#This Row],[product_id]],products!$A$2:$A$11,products!$B$2:$B$11)</f>
        <v>Prestige Pressure Cooker 5L</v>
      </c>
      <c r="N1015" s="3" t="str">
        <f>_xlfn.XLOOKUP(order[[#This Row],[product_id]],products!$A$2:$A$11,products!$C$2:$C$11)</f>
        <v>Home &amp; Kitchen</v>
      </c>
      <c r="O1015" s="3">
        <f>_xlfn.XLOOKUP(order[[#This Row],[product_id]],Table4[product_id],Table4[cost_price])</f>
        <v>1200</v>
      </c>
      <c r="P1015" s="11">
        <f>_xlfn.XLOOKUP(order[[#This Row],[order_id]],shipment[order_id],shipment[ship_date])</f>
        <v>45452</v>
      </c>
      <c r="Q1015" s="11">
        <f>_xlfn.XLOOKUP(order[[#This Row],[order_id]],shipment[order_id],shipment[delivery_date])</f>
        <v>45461</v>
      </c>
      <c r="R1015" s="3" t="str">
        <f>_xlfn.XLOOKUP(order[[#This Row],[order_id]],shipment[shipment_id],shipment[courier])</f>
        <v>Ekart</v>
      </c>
      <c r="S1015" s="3">
        <f>order[[#This Row],[selling_price]]-order[[#This Row],[cost_price]]*order[[#This Row],[quantity]]-order[[#This Row],[discount]]</f>
        <v>14921</v>
      </c>
      <c r="T1015" s="3">
        <f>order[[#This Row],[quantity]]*order[[#This Row],[selling_price]]</f>
        <v>19766</v>
      </c>
    </row>
    <row r="1016" spans="1:20" x14ac:dyDescent="0.3">
      <c r="A1016">
        <v>1015</v>
      </c>
      <c r="B1016" s="11">
        <v>45528</v>
      </c>
      <c r="C1016">
        <v>216</v>
      </c>
      <c r="D1016" t="str">
        <f>_xlfn.XLOOKUP(order[[#This Row],[customer_id]],customer[customer_id],customer[customer_name])</f>
        <v>Karan Patel</v>
      </c>
      <c r="E1016">
        <v>210</v>
      </c>
      <c r="F1016">
        <v>1</v>
      </c>
      <c r="G1016">
        <v>39898</v>
      </c>
      <c r="H1016">
        <v>3139</v>
      </c>
      <c r="I1016" t="s">
        <v>15</v>
      </c>
      <c r="J1016" t="s">
        <v>14</v>
      </c>
      <c r="K1016" t="str">
        <f>_xlfn.XLOOKUP(order[[#This Row],[customer_id]],customer[customer_id],customer[city])</f>
        <v>Pune</v>
      </c>
      <c r="L1016" t="str">
        <f>_xlfn.XLOOKUP(order[[#This Row],[customer_id]],customer[customer_id],customer[state])</f>
        <v>Maharashtra</v>
      </c>
      <c r="M1016" t="str">
        <f>_xlfn.XLOOKUP(order[[#This Row],[product_id]],products!$A$2:$A$11,products!$B$2:$B$11)</f>
        <v>LG 43 Inch Smart TV</v>
      </c>
      <c r="N1016" s="3" t="str">
        <f>_xlfn.XLOOKUP(order[[#This Row],[product_id]],products!$A$2:$A$11,products!$C$2:$C$11)</f>
        <v>Electronics</v>
      </c>
      <c r="O1016" s="3">
        <f>_xlfn.XLOOKUP(order[[#This Row],[product_id]],Table4[product_id],Table4[cost_price])</f>
        <v>30000</v>
      </c>
      <c r="P1016" s="11">
        <f>_xlfn.XLOOKUP(order[[#This Row],[order_id]],shipment[order_id],shipment[ship_date])</f>
        <v>45294</v>
      </c>
      <c r="Q1016" s="11">
        <f>_xlfn.XLOOKUP(order[[#This Row],[order_id]],shipment[order_id],shipment[delivery_date])</f>
        <v>45304</v>
      </c>
      <c r="R1016" s="3" t="str">
        <f>_xlfn.XLOOKUP(order[[#This Row],[order_id]],shipment[shipment_id],shipment[courier])</f>
        <v>Ekart</v>
      </c>
      <c r="S1016" s="3">
        <f>order[[#This Row],[selling_price]]-order[[#This Row],[cost_price]]*order[[#This Row],[quantity]]-order[[#This Row],[discount]]</f>
        <v>6759</v>
      </c>
      <c r="T1016" s="3">
        <f>order[[#This Row],[quantity]]*order[[#This Row],[selling_price]]</f>
        <v>39898</v>
      </c>
    </row>
    <row r="1017" spans="1:20" x14ac:dyDescent="0.3">
      <c r="A1017">
        <v>601</v>
      </c>
      <c r="B1017" s="11">
        <v>45395</v>
      </c>
      <c r="C1017">
        <v>181</v>
      </c>
      <c r="D1017" t="str">
        <f>_xlfn.XLOOKUP(order[[#This Row],[customer_id]],customer[customer_id],customer[customer_name])</f>
        <v>Manish Yadav</v>
      </c>
      <c r="E1017">
        <v>208</v>
      </c>
      <c r="F1017">
        <v>4</v>
      </c>
      <c r="G1017">
        <v>4865</v>
      </c>
      <c r="H1017">
        <v>1405</v>
      </c>
      <c r="I1017" t="s">
        <v>15</v>
      </c>
      <c r="J1017" t="s">
        <v>14</v>
      </c>
      <c r="K1017" t="str">
        <f>_xlfn.XLOOKUP(order[[#This Row],[customer_id]],customer[customer_id],customer[city])</f>
        <v>Delhi</v>
      </c>
      <c r="L1017" t="str">
        <f>_xlfn.XLOOKUP(order[[#This Row],[customer_id]],customer[customer_id],customer[state])</f>
        <v>Delhi</v>
      </c>
      <c r="M1017" t="str">
        <f>_xlfn.XLOOKUP(order[[#This Row],[product_id]],products!$A$2:$A$11,products!$B$2:$B$11)</f>
        <v>Adidas Ultraboost Shoes</v>
      </c>
      <c r="N1017" s="3" t="str">
        <f>_xlfn.XLOOKUP(order[[#This Row],[product_id]],products!$A$2:$A$11,products!$C$2:$C$11)</f>
        <v>Fashion</v>
      </c>
      <c r="O1017" s="3">
        <f>_xlfn.XLOOKUP(order[[#This Row],[product_id]],Table4[product_id],Table4[cost_price])</f>
        <v>9000</v>
      </c>
      <c r="P1017" s="11">
        <f>_xlfn.XLOOKUP(order[[#This Row],[order_id]],shipment[order_id],shipment[ship_date])</f>
        <v>45329</v>
      </c>
      <c r="Q1017" s="11">
        <f>_xlfn.XLOOKUP(order[[#This Row],[order_id]],shipment[order_id],shipment[delivery_date])</f>
        <v>45333</v>
      </c>
      <c r="R1017" s="3" t="str">
        <f>_xlfn.XLOOKUP(order[[#This Row],[order_id]],shipment[shipment_id],shipment[courier])</f>
        <v>BlueDart</v>
      </c>
      <c r="S1017" s="3">
        <f>order[[#This Row],[selling_price]]-order[[#This Row],[cost_price]]*order[[#This Row],[quantity]]-order[[#This Row],[discount]]</f>
        <v>-32540</v>
      </c>
      <c r="T1017" s="3">
        <f>order[[#This Row],[quantity]]*order[[#This Row],[selling_price]]</f>
        <v>19460</v>
      </c>
    </row>
    <row r="1018" spans="1:20" x14ac:dyDescent="0.3">
      <c r="A1018">
        <v>1017</v>
      </c>
      <c r="B1018" s="11">
        <v>45506</v>
      </c>
      <c r="C1018">
        <v>243</v>
      </c>
      <c r="D1018" t="str">
        <f>_xlfn.XLOOKUP(order[[#This Row],[customer_id]],customer[customer_id],customer[customer_name])</f>
        <v>Ananya Gupta</v>
      </c>
      <c r="E1018">
        <v>206</v>
      </c>
      <c r="F1018">
        <v>1</v>
      </c>
      <c r="G1018">
        <v>54842</v>
      </c>
      <c r="H1018">
        <v>2974</v>
      </c>
      <c r="I1018" t="s">
        <v>15</v>
      </c>
      <c r="J1018" t="s">
        <v>10</v>
      </c>
      <c r="K1018" t="str">
        <f>_xlfn.XLOOKUP(order[[#This Row],[customer_id]],customer[customer_id],customer[city])</f>
        <v>Ahmedabad</v>
      </c>
      <c r="L1018" t="str">
        <f>_xlfn.XLOOKUP(order[[#This Row],[customer_id]],customer[customer_id],customer[state])</f>
        <v>Gujarat</v>
      </c>
      <c r="M1018" t="str">
        <f>_xlfn.XLOOKUP(order[[#This Row],[product_id]],products!$A$2:$A$11,products!$B$2:$B$11)</f>
        <v>Philips Air Fryer</v>
      </c>
      <c r="N1018" s="3" t="str">
        <f>_xlfn.XLOOKUP(order[[#This Row],[product_id]],products!$A$2:$A$11,products!$C$2:$C$11)</f>
        <v>Home &amp; Kitchen</v>
      </c>
      <c r="O1018" s="3">
        <f>_xlfn.XLOOKUP(order[[#This Row],[product_id]],Table4[product_id],Table4[cost_price])</f>
        <v>7000</v>
      </c>
      <c r="P1018" s="11">
        <f>_xlfn.XLOOKUP(order[[#This Row],[order_id]],shipment[order_id],shipment[ship_date])</f>
        <v>45307</v>
      </c>
      <c r="Q1018" s="11">
        <f>_xlfn.XLOOKUP(order[[#This Row],[order_id]],shipment[order_id],shipment[delivery_date])</f>
        <v>45317</v>
      </c>
      <c r="R1018" s="3" t="str">
        <f>_xlfn.XLOOKUP(order[[#This Row],[order_id]],shipment[shipment_id],shipment[courier])</f>
        <v>Ekart</v>
      </c>
      <c r="S1018" s="3">
        <f>order[[#This Row],[selling_price]]-order[[#This Row],[cost_price]]*order[[#This Row],[quantity]]-order[[#This Row],[discount]]</f>
        <v>44868</v>
      </c>
      <c r="T1018" s="3">
        <f>order[[#This Row],[quantity]]*order[[#This Row],[selling_price]]</f>
        <v>54842</v>
      </c>
    </row>
    <row r="1019" spans="1:20" x14ac:dyDescent="0.3">
      <c r="A1019">
        <v>488</v>
      </c>
      <c r="B1019" s="11">
        <v>45540</v>
      </c>
      <c r="C1019">
        <v>101</v>
      </c>
      <c r="D1019" t="str">
        <f>_xlfn.XLOOKUP(order[[#This Row],[customer_id]],customer[customer_id],customer[customer_name])</f>
        <v>Manish Yadav</v>
      </c>
      <c r="E1019">
        <v>208</v>
      </c>
      <c r="F1019">
        <v>4</v>
      </c>
      <c r="G1019">
        <v>34327</v>
      </c>
      <c r="H1019">
        <v>1081</v>
      </c>
      <c r="I1019" t="s">
        <v>13</v>
      </c>
      <c r="J1019" t="s">
        <v>10</v>
      </c>
      <c r="K1019" t="str">
        <f>_xlfn.XLOOKUP(order[[#This Row],[customer_id]],customer[customer_id],customer[city])</f>
        <v>Chennai</v>
      </c>
      <c r="L1019" t="str">
        <f>_xlfn.XLOOKUP(order[[#This Row],[customer_id]],customer[customer_id],customer[state])</f>
        <v>Tamil Nadu</v>
      </c>
      <c r="M1019" t="str">
        <f>_xlfn.XLOOKUP(order[[#This Row],[product_id]],products!$A$2:$A$11,products!$B$2:$B$11)</f>
        <v>Adidas Ultraboost Shoes</v>
      </c>
      <c r="N1019" s="3" t="str">
        <f>_xlfn.XLOOKUP(order[[#This Row],[product_id]],products!$A$2:$A$11,products!$C$2:$C$11)</f>
        <v>Fashion</v>
      </c>
      <c r="O1019" s="3">
        <f>_xlfn.XLOOKUP(order[[#This Row],[product_id]],Table4[product_id],Table4[cost_price])</f>
        <v>9000</v>
      </c>
      <c r="P1019" s="11">
        <f>_xlfn.XLOOKUP(order[[#This Row],[order_id]],shipment[order_id],shipment[ship_date])</f>
        <v>45441</v>
      </c>
      <c r="Q1019" s="11">
        <f>_xlfn.XLOOKUP(order[[#This Row],[order_id]],shipment[order_id],shipment[delivery_date])</f>
        <v>45442</v>
      </c>
      <c r="R1019" s="3" t="str">
        <f>_xlfn.XLOOKUP(order[[#This Row],[order_id]],shipment[shipment_id],shipment[courier])</f>
        <v>DTDC</v>
      </c>
      <c r="S1019" s="3">
        <f>order[[#This Row],[selling_price]]-order[[#This Row],[cost_price]]*order[[#This Row],[quantity]]-order[[#This Row],[discount]]</f>
        <v>-2754</v>
      </c>
      <c r="T1019" s="3">
        <f>order[[#This Row],[quantity]]*order[[#This Row],[selling_price]]</f>
        <v>137308</v>
      </c>
    </row>
    <row r="1020" spans="1:20" x14ac:dyDescent="0.3">
      <c r="A1020">
        <v>1019</v>
      </c>
      <c r="B1020" s="11">
        <v>45445</v>
      </c>
      <c r="C1020">
        <v>163</v>
      </c>
      <c r="D1020" t="str">
        <f>_xlfn.XLOOKUP(order[[#This Row],[customer_id]],customer[customer_id],customer[customer_name])</f>
        <v>Ananya Gupta</v>
      </c>
      <c r="E1020">
        <v>204</v>
      </c>
      <c r="F1020">
        <v>1</v>
      </c>
      <c r="G1020">
        <v>36128</v>
      </c>
      <c r="H1020">
        <v>386</v>
      </c>
      <c r="I1020" t="s">
        <v>13</v>
      </c>
      <c r="J1020" t="s">
        <v>12</v>
      </c>
      <c r="K1020" t="str">
        <f>_xlfn.XLOOKUP(order[[#This Row],[customer_id]],customer[customer_id],customer[city])</f>
        <v>Chennai</v>
      </c>
      <c r="L1020" t="str">
        <f>_xlfn.XLOOKUP(order[[#This Row],[customer_id]],customer[customer_id],customer[state])</f>
        <v>Tamil Nadu</v>
      </c>
      <c r="M1020" t="str">
        <f>_xlfn.XLOOKUP(order[[#This Row],[product_id]],products!$A$2:$A$11,products!$B$2:$B$11)</f>
        <v>Levi's Slim Fit Jeans</v>
      </c>
      <c r="N1020" s="3" t="str">
        <f>_xlfn.XLOOKUP(order[[#This Row],[product_id]],products!$A$2:$A$11,products!$C$2:$C$11)</f>
        <v>Fashion</v>
      </c>
      <c r="O1020" s="3">
        <f>_xlfn.XLOOKUP(order[[#This Row],[product_id]],Table4[product_id],Table4[cost_price])</f>
        <v>1800</v>
      </c>
      <c r="P1020" s="11">
        <f>_xlfn.XLOOKUP(order[[#This Row],[order_id]],shipment[order_id],shipment[ship_date])</f>
        <v>45389</v>
      </c>
      <c r="Q1020" s="11">
        <f>_xlfn.XLOOKUP(order[[#This Row],[order_id]],shipment[order_id],shipment[delivery_date])</f>
        <v>45393</v>
      </c>
      <c r="R1020" s="3" t="str">
        <f>_xlfn.XLOOKUP(order[[#This Row],[order_id]],shipment[shipment_id],shipment[courier])</f>
        <v>DTDC</v>
      </c>
      <c r="S1020" s="3">
        <f>order[[#This Row],[selling_price]]-order[[#This Row],[cost_price]]*order[[#This Row],[quantity]]-order[[#This Row],[discount]]</f>
        <v>33942</v>
      </c>
      <c r="T1020" s="3">
        <f>order[[#This Row],[quantity]]*order[[#This Row],[selling_price]]</f>
        <v>36128</v>
      </c>
    </row>
    <row r="1021" spans="1:20" x14ac:dyDescent="0.3">
      <c r="A1021">
        <v>1020</v>
      </c>
      <c r="B1021" s="11">
        <v>45509</v>
      </c>
      <c r="C1021">
        <v>196</v>
      </c>
      <c r="D1021" t="str">
        <f>_xlfn.XLOOKUP(order[[#This Row],[customer_id]],customer[customer_id],customer[customer_name])</f>
        <v>Pooja Nair</v>
      </c>
      <c r="E1021">
        <v>209</v>
      </c>
      <c r="F1021">
        <v>4</v>
      </c>
      <c r="G1021">
        <v>10682</v>
      </c>
      <c r="H1021">
        <v>3272</v>
      </c>
      <c r="I1021" t="s">
        <v>9</v>
      </c>
      <c r="J1021" t="s">
        <v>14</v>
      </c>
      <c r="K1021" t="str">
        <f>_xlfn.XLOOKUP(order[[#This Row],[customer_id]],customer[customer_id],customer[city])</f>
        <v>Pune</v>
      </c>
      <c r="L1021" t="str">
        <f>_xlfn.XLOOKUP(order[[#This Row],[customer_id]],customer[customer_id],customer[state])</f>
        <v>Maharashtra</v>
      </c>
      <c r="M1021" t="str">
        <f>_xlfn.XLOOKUP(order[[#This Row],[product_id]],products!$A$2:$A$11,products!$B$2:$B$11)</f>
        <v>Milton Thermosteel Bottle</v>
      </c>
      <c r="N1021" s="3" t="str">
        <f>_xlfn.XLOOKUP(order[[#This Row],[product_id]],products!$A$2:$A$11,products!$C$2:$C$11)</f>
        <v>Home &amp; Kitchen</v>
      </c>
      <c r="O1021" s="3">
        <f>_xlfn.XLOOKUP(order[[#This Row],[product_id]],Table4[product_id],Table4[cost_price])</f>
        <v>800</v>
      </c>
      <c r="P1021" s="11">
        <f>_xlfn.XLOOKUP(order[[#This Row],[order_id]],shipment[order_id],shipment[ship_date])</f>
        <v>45329</v>
      </c>
      <c r="Q1021" s="11">
        <f>_xlfn.XLOOKUP(order[[#This Row],[order_id]],shipment[order_id],shipment[delivery_date])</f>
        <v>45338</v>
      </c>
      <c r="R1021" s="3" t="str">
        <f>_xlfn.XLOOKUP(order[[#This Row],[order_id]],shipment[shipment_id],shipment[courier])</f>
        <v>Ekart</v>
      </c>
      <c r="S1021" s="3">
        <f>order[[#This Row],[selling_price]]-order[[#This Row],[cost_price]]*order[[#This Row],[quantity]]-order[[#This Row],[discount]]</f>
        <v>4210</v>
      </c>
      <c r="T1021" s="3">
        <f>order[[#This Row],[quantity]]*order[[#This Row],[selling_price]]</f>
        <v>42728</v>
      </c>
    </row>
    <row r="1022" spans="1:20" x14ac:dyDescent="0.3">
      <c r="A1022">
        <v>1021</v>
      </c>
      <c r="B1022" s="11">
        <v>45321</v>
      </c>
      <c r="C1022">
        <v>285</v>
      </c>
      <c r="D1022" t="str">
        <f>_xlfn.XLOOKUP(order[[#This Row],[customer_id]],customer[customer_id],customer[customer_name])</f>
        <v>Priya Reddy</v>
      </c>
      <c r="E1022">
        <v>204</v>
      </c>
      <c r="F1022">
        <v>1</v>
      </c>
      <c r="G1022">
        <v>29556</v>
      </c>
      <c r="H1022">
        <v>4237</v>
      </c>
      <c r="I1022" t="s">
        <v>11</v>
      </c>
      <c r="J1022" t="s">
        <v>14</v>
      </c>
      <c r="K1022" t="str">
        <f>_xlfn.XLOOKUP(order[[#This Row],[customer_id]],customer[customer_id],customer[city])</f>
        <v>Delhi</v>
      </c>
      <c r="L1022" t="str">
        <f>_xlfn.XLOOKUP(order[[#This Row],[customer_id]],customer[customer_id],customer[state])</f>
        <v>Delhi</v>
      </c>
      <c r="M1022" t="str">
        <f>_xlfn.XLOOKUP(order[[#This Row],[product_id]],products!$A$2:$A$11,products!$B$2:$B$11)</f>
        <v>Levi's Slim Fit Jeans</v>
      </c>
      <c r="N1022" s="3" t="str">
        <f>_xlfn.XLOOKUP(order[[#This Row],[product_id]],products!$A$2:$A$11,products!$C$2:$C$11)</f>
        <v>Fashion</v>
      </c>
      <c r="O1022" s="3">
        <f>_xlfn.XLOOKUP(order[[#This Row],[product_id]],Table4[product_id],Table4[cost_price])</f>
        <v>1800</v>
      </c>
      <c r="P1022" s="11">
        <f>_xlfn.XLOOKUP(order[[#This Row],[order_id]],shipment[order_id],shipment[ship_date])</f>
        <v>45486</v>
      </c>
      <c r="Q1022" s="11">
        <f>_xlfn.XLOOKUP(order[[#This Row],[order_id]],shipment[order_id],shipment[delivery_date])</f>
        <v>45496</v>
      </c>
      <c r="R1022" s="3" t="str">
        <f>_xlfn.XLOOKUP(order[[#This Row],[order_id]],shipment[shipment_id],shipment[courier])</f>
        <v>DTDC</v>
      </c>
      <c r="S1022" s="3">
        <f>order[[#This Row],[selling_price]]-order[[#This Row],[cost_price]]*order[[#This Row],[quantity]]-order[[#This Row],[discount]]</f>
        <v>23519</v>
      </c>
      <c r="T1022" s="3">
        <f>order[[#This Row],[quantity]]*order[[#This Row],[selling_price]]</f>
        <v>29556</v>
      </c>
    </row>
    <row r="1023" spans="1:20" x14ac:dyDescent="0.3">
      <c r="A1023">
        <v>1022</v>
      </c>
      <c r="B1023" s="11">
        <v>45488</v>
      </c>
      <c r="C1023">
        <v>211</v>
      </c>
      <c r="D1023" t="str">
        <f>_xlfn.XLOOKUP(order[[#This Row],[customer_id]],customer[customer_id],customer[customer_name])</f>
        <v>Aarav Sharma</v>
      </c>
      <c r="E1023">
        <v>208</v>
      </c>
      <c r="F1023">
        <v>4</v>
      </c>
      <c r="G1023">
        <v>55151</v>
      </c>
      <c r="H1023">
        <v>2588</v>
      </c>
      <c r="I1023" t="s">
        <v>11</v>
      </c>
      <c r="J1023" t="s">
        <v>10</v>
      </c>
      <c r="K1023" t="str">
        <f>_xlfn.XLOOKUP(order[[#This Row],[customer_id]],customer[customer_id],customer[city])</f>
        <v>Ahmedabad</v>
      </c>
      <c r="L1023" t="str">
        <f>_xlfn.XLOOKUP(order[[#This Row],[customer_id]],customer[customer_id],customer[state])</f>
        <v>Gujarat</v>
      </c>
      <c r="M1023" t="str">
        <f>_xlfn.XLOOKUP(order[[#This Row],[product_id]],products!$A$2:$A$11,products!$B$2:$B$11)</f>
        <v>Adidas Ultraboost Shoes</v>
      </c>
      <c r="N1023" s="3" t="str">
        <f>_xlfn.XLOOKUP(order[[#This Row],[product_id]],products!$A$2:$A$11,products!$C$2:$C$11)</f>
        <v>Fashion</v>
      </c>
      <c r="O1023" s="3">
        <f>_xlfn.XLOOKUP(order[[#This Row],[product_id]],Table4[product_id],Table4[cost_price])</f>
        <v>9000</v>
      </c>
      <c r="P1023" s="11">
        <f>_xlfn.XLOOKUP(order[[#This Row],[order_id]],shipment[order_id],shipment[ship_date])</f>
        <v>45550</v>
      </c>
      <c r="Q1023" s="11">
        <f>_xlfn.XLOOKUP(order[[#This Row],[order_id]],shipment[order_id],shipment[delivery_date])</f>
        <v>45556</v>
      </c>
      <c r="R1023" s="3" t="str">
        <f>_xlfn.XLOOKUP(order[[#This Row],[order_id]],shipment[shipment_id],shipment[courier])</f>
        <v>DTDC</v>
      </c>
      <c r="S1023" s="3">
        <f>order[[#This Row],[selling_price]]-order[[#This Row],[cost_price]]*order[[#This Row],[quantity]]-order[[#This Row],[discount]]</f>
        <v>16563</v>
      </c>
      <c r="T1023" s="3">
        <f>order[[#This Row],[quantity]]*order[[#This Row],[selling_price]]</f>
        <v>220604</v>
      </c>
    </row>
    <row r="1024" spans="1:20" x14ac:dyDescent="0.3">
      <c r="A1024">
        <v>1023</v>
      </c>
      <c r="B1024" s="11">
        <v>45548</v>
      </c>
      <c r="C1024">
        <v>155</v>
      </c>
      <c r="D1024" t="str">
        <f>_xlfn.XLOOKUP(order[[#This Row],[customer_id]],customer[customer_id],customer[customer_name])</f>
        <v>Siddharth Jain</v>
      </c>
      <c r="E1024">
        <v>203</v>
      </c>
      <c r="F1024">
        <v>1</v>
      </c>
      <c r="G1024">
        <v>13535</v>
      </c>
      <c r="H1024">
        <v>3931</v>
      </c>
      <c r="I1024" t="s">
        <v>13</v>
      </c>
      <c r="J1024" t="s">
        <v>12</v>
      </c>
      <c r="K1024" t="str">
        <f>_xlfn.XLOOKUP(order[[#This Row],[customer_id]],customer[customer_id],customer[city])</f>
        <v>Pune</v>
      </c>
      <c r="L1024" t="str">
        <f>_xlfn.XLOOKUP(order[[#This Row],[customer_id]],customer[customer_id],customer[state])</f>
        <v>Maharashtra</v>
      </c>
      <c r="M1024" t="str">
        <f>_xlfn.XLOOKUP(order[[#This Row],[product_id]],products!$A$2:$A$11,products!$B$2:$B$11)</f>
        <v>Nike Air Max Shoes</v>
      </c>
      <c r="N1024" s="3" t="str">
        <f>_xlfn.XLOOKUP(order[[#This Row],[product_id]],products!$A$2:$A$11,products!$C$2:$C$11)</f>
        <v>Fashion</v>
      </c>
      <c r="O1024" s="3">
        <f>_xlfn.XLOOKUP(order[[#This Row],[product_id]],Table4[product_id],Table4[cost_price])</f>
        <v>4000</v>
      </c>
      <c r="P1024" s="11">
        <f>_xlfn.XLOOKUP(order[[#This Row],[order_id]],shipment[order_id],shipment[ship_date])</f>
        <v>45490</v>
      </c>
      <c r="Q1024" s="11">
        <f>_xlfn.XLOOKUP(order[[#This Row],[order_id]],shipment[order_id],shipment[delivery_date])</f>
        <v>45493</v>
      </c>
      <c r="R1024" s="3" t="str">
        <f>_xlfn.XLOOKUP(order[[#This Row],[order_id]],shipment[shipment_id],shipment[courier])</f>
        <v>DTDC</v>
      </c>
      <c r="S1024" s="3">
        <f>order[[#This Row],[selling_price]]-order[[#This Row],[cost_price]]*order[[#This Row],[quantity]]-order[[#This Row],[discount]]</f>
        <v>5604</v>
      </c>
      <c r="T1024" s="3">
        <f>order[[#This Row],[quantity]]*order[[#This Row],[selling_price]]</f>
        <v>13535</v>
      </c>
    </row>
    <row r="1025" spans="1:20" x14ac:dyDescent="0.3">
      <c r="A1025">
        <v>1024</v>
      </c>
      <c r="B1025" s="11">
        <v>45564</v>
      </c>
      <c r="C1025">
        <v>218</v>
      </c>
      <c r="D1025" t="str">
        <f>_xlfn.XLOOKUP(order[[#This Row],[customer_id]],customer[customer_id],customer[customer_name])</f>
        <v>Manish Yadav</v>
      </c>
      <c r="E1025">
        <v>208</v>
      </c>
      <c r="F1025">
        <v>4</v>
      </c>
      <c r="G1025">
        <v>45763</v>
      </c>
      <c r="H1025">
        <v>3469</v>
      </c>
      <c r="I1025" t="s">
        <v>11</v>
      </c>
      <c r="J1025" t="s">
        <v>12</v>
      </c>
      <c r="K1025" t="str">
        <f>_xlfn.XLOOKUP(order[[#This Row],[customer_id]],customer[customer_id],customer[city])</f>
        <v>Delhi</v>
      </c>
      <c r="L1025" t="str">
        <f>_xlfn.XLOOKUP(order[[#This Row],[customer_id]],customer[customer_id],customer[state])</f>
        <v>Delhi</v>
      </c>
      <c r="M1025" t="str">
        <f>_xlfn.XLOOKUP(order[[#This Row],[product_id]],products!$A$2:$A$11,products!$B$2:$B$11)</f>
        <v>Adidas Ultraboost Shoes</v>
      </c>
      <c r="N1025" s="3" t="str">
        <f>_xlfn.XLOOKUP(order[[#This Row],[product_id]],products!$A$2:$A$11,products!$C$2:$C$11)</f>
        <v>Fashion</v>
      </c>
      <c r="O1025" s="3">
        <f>_xlfn.XLOOKUP(order[[#This Row],[product_id]],Table4[product_id],Table4[cost_price])</f>
        <v>9000</v>
      </c>
      <c r="P1025" s="11">
        <f>_xlfn.XLOOKUP(order[[#This Row],[order_id]],shipment[order_id],shipment[ship_date])</f>
        <v>45623</v>
      </c>
      <c r="Q1025" s="11">
        <f>_xlfn.XLOOKUP(order[[#This Row],[order_id]],shipment[order_id],shipment[delivery_date])</f>
        <v>45627</v>
      </c>
      <c r="R1025" s="3" t="str">
        <f>_xlfn.XLOOKUP(order[[#This Row],[order_id]],shipment[shipment_id],shipment[courier])</f>
        <v>Ekart</v>
      </c>
      <c r="S1025" s="3">
        <f>order[[#This Row],[selling_price]]-order[[#This Row],[cost_price]]*order[[#This Row],[quantity]]-order[[#This Row],[discount]]</f>
        <v>6294</v>
      </c>
      <c r="T1025" s="3">
        <f>order[[#This Row],[quantity]]*order[[#This Row],[selling_price]]</f>
        <v>183052</v>
      </c>
    </row>
    <row r="1026" spans="1:20" x14ac:dyDescent="0.3">
      <c r="A1026">
        <v>1025</v>
      </c>
      <c r="B1026" s="11">
        <v>45349</v>
      </c>
      <c r="C1026">
        <v>164</v>
      </c>
      <c r="D1026" t="str">
        <f>_xlfn.XLOOKUP(order[[#This Row],[customer_id]],customer[customer_id],customer[customer_name])</f>
        <v>Pooja Nair</v>
      </c>
      <c r="E1026">
        <v>206</v>
      </c>
      <c r="F1026">
        <v>1</v>
      </c>
      <c r="G1026">
        <v>38581</v>
      </c>
      <c r="H1026">
        <v>517</v>
      </c>
      <c r="I1026" t="s">
        <v>13</v>
      </c>
      <c r="J1026" t="s">
        <v>14</v>
      </c>
      <c r="K1026" t="str">
        <f>_xlfn.XLOOKUP(order[[#This Row],[customer_id]],customer[customer_id],customer[city])</f>
        <v>Ahmedabad</v>
      </c>
      <c r="L1026" t="str">
        <f>_xlfn.XLOOKUP(order[[#This Row],[customer_id]],customer[customer_id],customer[state])</f>
        <v>Gujarat</v>
      </c>
      <c r="M1026" t="str">
        <f>_xlfn.XLOOKUP(order[[#This Row],[product_id]],products!$A$2:$A$11,products!$B$2:$B$11)</f>
        <v>Philips Air Fryer</v>
      </c>
      <c r="N1026" s="3" t="str">
        <f>_xlfn.XLOOKUP(order[[#This Row],[product_id]],products!$A$2:$A$11,products!$C$2:$C$11)</f>
        <v>Home &amp; Kitchen</v>
      </c>
      <c r="O1026" s="3">
        <f>_xlfn.XLOOKUP(order[[#This Row],[product_id]],Table4[product_id],Table4[cost_price])</f>
        <v>7000</v>
      </c>
      <c r="P1026" s="11">
        <f>_xlfn.XLOOKUP(order[[#This Row],[order_id]],shipment[order_id],shipment[ship_date])</f>
        <v>45654</v>
      </c>
      <c r="Q1026" s="11">
        <f>_xlfn.XLOOKUP(order[[#This Row],[order_id]],shipment[order_id],shipment[delivery_date])</f>
        <v>45662</v>
      </c>
      <c r="R1026" s="3" t="str">
        <f>_xlfn.XLOOKUP(order[[#This Row],[order_id]],shipment[shipment_id],shipment[courier])</f>
        <v>DTDC</v>
      </c>
      <c r="S1026" s="3">
        <f>order[[#This Row],[selling_price]]-order[[#This Row],[cost_price]]*order[[#This Row],[quantity]]-order[[#This Row],[discount]]</f>
        <v>31064</v>
      </c>
      <c r="T1026" s="3">
        <f>order[[#This Row],[quantity]]*order[[#This Row],[selling_price]]</f>
        <v>38581</v>
      </c>
    </row>
    <row r="1027" spans="1:20" x14ac:dyDescent="0.3">
      <c r="A1027">
        <v>1026</v>
      </c>
      <c r="B1027" s="11">
        <v>45563</v>
      </c>
      <c r="C1027">
        <v>222</v>
      </c>
      <c r="D1027" t="str">
        <f>_xlfn.XLOOKUP(order[[#This Row],[customer_id]],customer[customer_id],customer[customer_name])</f>
        <v>Ananya Gupta</v>
      </c>
      <c r="E1027">
        <v>205</v>
      </c>
      <c r="F1027">
        <v>1</v>
      </c>
      <c r="G1027">
        <v>9636</v>
      </c>
      <c r="H1027">
        <v>1770</v>
      </c>
      <c r="I1027" t="s">
        <v>11</v>
      </c>
      <c r="J1027" t="s">
        <v>10</v>
      </c>
      <c r="K1027" t="str">
        <f>_xlfn.XLOOKUP(order[[#This Row],[customer_id]],customer[customer_id],customer[city])</f>
        <v>Chennai</v>
      </c>
      <c r="L1027" t="str">
        <f>_xlfn.XLOOKUP(order[[#This Row],[customer_id]],customer[customer_id],customer[state])</f>
        <v>Tamil Nadu</v>
      </c>
      <c r="M1027" t="str">
        <f>_xlfn.XLOOKUP(order[[#This Row],[product_id]],products!$A$2:$A$11,products!$B$2:$B$11)</f>
        <v>Prestige Pressure Cooker 5L</v>
      </c>
      <c r="N1027" s="3" t="str">
        <f>_xlfn.XLOOKUP(order[[#This Row],[product_id]],products!$A$2:$A$11,products!$C$2:$C$11)</f>
        <v>Home &amp; Kitchen</v>
      </c>
      <c r="O1027" s="3">
        <f>_xlfn.XLOOKUP(order[[#This Row],[product_id]],Table4[product_id],Table4[cost_price])</f>
        <v>1200</v>
      </c>
      <c r="P1027" s="11">
        <f>_xlfn.XLOOKUP(order[[#This Row],[order_id]],shipment[order_id],shipment[ship_date])</f>
        <v>45522</v>
      </c>
      <c r="Q1027" s="11">
        <f>_xlfn.XLOOKUP(order[[#This Row],[order_id]],shipment[order_id],shipment[delivery_date])</f>
        <v>45526</v>
      </c>
      <c r="R1027" s="3" t="str">
        <f>_xlfn.XLOOKUP(order[[#This Row],[order_id]],shipment[shipment_id],shipment[courier])</f>
        <v>Delhivery</v>
      </c>
      <c r="S1027" s="3">
        <f>order[[#This Row],[selling_price]]-order[[#This Row],[cost_price]]*order[[#This Row],[quantity]]-order[[#This Row],[discount]]</f>
        <v>6666</v>
      </c>
      <c r="T1027" s="3">
        <f>order[[#This Row],[quantity]]*order[[#This Row],[selling_price]]</f>
        <v>9636</v>
      </c>
    </row>
    <row r="1028" spans="1:20" x14ac:dyDescent="0.3">
      <c r="A1028">
        <v>1027</v>
      </c>
      <c r="B1028" s="11">
        <v>45623</v>
      </c>
      <c r="C1028">
        <v>150</v>
      </c>
      <c r="D1028" t="str">
        <f>_xlfn.XLOOKUP(order[[#This Row],[customer_id]],customer[customer_id],customer[customer_name])</f>
        <v>Vikram Singh</v>
      </c>
      <c r="E1028">
        <v>205</v>
      </c>
      <c r="F1028">
        <v>2</v>
      </c>
      <c r="G1028">
        <v>30882</v>
      </c>
      <c r="H1028">
        <v>4163</v>
      </c>
      <c r="I1028" t="s">
        <v>11</v>
      </c>
      <c r="J1028" t="s">
        <v>12</v>
      </c>
      <c r="K1028" t="str">
        <f>_xlfn.XLOOKUP(order[[#This Row],[customer_id]],customer[customer_id],customer[city])</f>
        <v>Mumbai</v>
      </c>
      <c r="L1028" t="str">
        <f>_xlfn.XLOOKUP(order[[#This Row],[customer_id]],customer[customer_id],customer[state])</f>
        <v>Maharashtra</v>
      </c>
      <c r="M1028" t="str">
        <f>_xlfn.XLOOKUP(order[[#This Row],[product_id]],products!$A$2:$A$11,products!$B$2:$B$11)</f>
        <v>Prestige Pressure Cooker 5L</v>
      </c>
      <c r="N1028" s="3" t="str">
        <f>_xlfn.XLOOKUP(order[[#This Row],[product_id]],products!$A$2:$A$11,products!$C$2:$C$11)</f>
        <v>Home &amp; Kitchen</v>
      </c>
      <c r="O1028" s="3">
        <f>_xlfn.XLOOKUP(order[[#This Row],[product_id]],Table4[product_id],Table4[cost_price])</f>
        <v>1200</v>
      </c>
      <c r="P1028" s="11">
        <f>_xlfn.XLOOKUP(order[[#This Row],[order_id]],shipment[order_id],shipment[ship_date])</f>
        <v>45550</v>
      </c>
      <c r="Q1028" s="11">
        <f>_xlfn.XLOOKUP(order[[#This Row],[order_id]],shipment[order_id],shipment[delivery_date])</f>
        <v>45556</v>
      </c>
      <c r="R1028" s="3" t="str">
        <f>_xlfn.XLOOKUP(order[[#This Row],[order_id]],shipment[shipment_id],shipment[courier])</f>
        <v>BlueDart</v>
      </c>
      <c r="S1028" s="3">
        <f>order[[#This Row],[selling_price]]-order[[#This Row],[cost_price]]*order[[#This Row],[quantity]]-order[[#This Row],[discount]]</f>
        <v>24319</v>
      </c>
      <c r="T1028" s="3">
        <f>order[[#This Row],[quantity]]*order[[#This Row],[selling_price]]</f>
        <v>61764</v>
      </c>
    </row>
    <row r="1029" spans="1:20" x14ac:dyDescent="0.3">
      <c r="A1029">
        <v>592</v>
      </c>
      <c r="B1029" s="11">
        <v>45417</v>
      </c>
      <c r="C1029">
        <v>152</v>
      </c>
      <c r="D1029" t="str">
        <f>_xlfn.XLOOKUP(order[[#This Row],[customer_id]],customer[customer_id],customer[customer_name])</f>
        <v>Manish Yadav</v>
      </c>
      <c r="E1029">
        <v>208</v>
      </c>
      <c r="F1029">
        <v>3</v>
      </c>
      <c r="G1029">
        <v>21480</v>
      </c>
      <c r="H1029">
        <v>1053</v>
      </c>
      <c r="I1029" t="s">
        <v>13</v>
      </c>
      <c r="J1029" t="s">
        <v>14</v>
      </c>
      <c r="K1029" t="str">
        <f>_xlfn.XLOOKUP(order[[#This Row],[customer_id]],customer[customer_id],customer[city])</f>
        <v>Bangalore</v>
      </c>
      <c r="L1029" t="str">
        <f>_xlfn.XLOOKUP(order[[#This Row],[customer_id]],customer[customer_id],customer[state])</f>
        <v>Karnataka</v>
      </c>
      <c r="M1029" t="str">
        <f>_xlfn.XLOOKUP(order[[#This Row],[product_id]],products!$A$2:$A$11,products!$B$2:$B$11)</f>
        <v>Adidas Ultraboost Shoes</v>
      </c>
      <c r="N1029" s="3" t="str">
        <f>_xlfn.XLOOKUP(order[[#This Row],[product_id]],products!$A$2:$A$11,products!$C$2:$C$11)</f>
        <v>Fashion</v>
      </c>
      <c r="O1029" s="3">
        <f>_xlfn.XLOOKUP(order[[#This Row],[product_id]],Table4[product_id],Table4[cost_price])</f>
        <v>9000</v>
      </c>
      <c r="P1029" s="11">
        <f>_xlfn.XLOOKUP(order[[#This Row],[order_id]],shipment[order_id],shipment[ship_date])</f>
        <v>45446</v>
      </c>
      <c r="Q1029" s="11">
        <f>_xlfn.XLOOKUP(order[[#This Row],[order_id]],shipment[order_id],shipment[delivery_date])</f>
        <v>45453</v>
      </c>
      <c r="R1029" s="3" t="str">
        <f>_xlfn.XLOOKUP(order[[#This Row],[order_id]],shipment[shipment_id],shipment[courier])</f>
        <v>DTDC</v>
      </c>
      <c r="S1029" s="3">
        <f>order[[#This Row],[selling_price]]-order[[#This Row],[cost_price]]*order[[#This Row],[quantity]]-order[[#This Row],[discount]]</f>
        <v>-6573</v>
      </c>
      <c r="T1029" s="3">
        <f>order[[#This Row],[quantity]]*order[[#This Row],[selling_price]]</f>
        <v>64440</v>
      </c>
    </row>
    <row r="1030" spans="1:20" x14ac:dyDescent="0.3">
      <c r="A1030">
        <v>1029</v>
      </c>
      <c r="B1030" s="11">
        <v>45560</v>
      </c>
      <c r="C1030">
        <v>136</v>
      </c>
      <c r="D1030" t="str">
        <f>_xlfn.XLOOKUP(order[[#This Row],[customer_id]],customer[customer_id],customer[customer_name])</f>
        <v>Meera Joshi</v>
      </c>
      <c r="E1030">
        <v>203</v>
      </c>
      <c r="F1030">
        <v>1</v>
      </c>
      <c r="G1030">
        <v>59270</v>
      </c>
      <c r="H1030">
        <v>3711</v>
      </c>
      <c r="I1030" t="s">
        <v>15</v>
      </c>
      <c r="J1030" t="s">
        <v>14</v>
      </c>
      <c r="K1030" t="str">
        <f>_xlfn.XLOOKUP(order[[#This Row],[customer_id]],customer[customer_id],customer[city])</f>
        <v>Hyderabad</v>
      </c>
      <c r="L1030" t="str">
        <f>_xlfn.XLOOKUP(order[[#This Row],[customer_id]],customer[customer_id],customer[state])</f>
        <v>Telangana</v>
      </c>
      <c r="M1030" t="str">
        <f>_xlfn.XLOOKUP(order[[#This Row],[product_id]],products!$A$2:$A$11,products!$B$2:$B$11)</f>
        <v>Nike Air Max Shoes</v>
      </c>
      <c r="N1030" s="3" t="str">
        <f>_xlfn.XLOOKUP(order[[#This Row],[product_id]],products!$A$2:$A$11,products!$C$2:$C$11)</f>
        <v>Fashion</v>
      </c>
      <c r="O1030" s="3">
        <f>_xlfn.XLOOKUP(order[[#This Row],[product_id]],Table4[product_id],Table4[cost_price])</f>
        <v>4000</v>
      </c>
      <c r="P1030" s="11">
        <f>_xlfn.XLOOKUP(order[[#This Row],[order_id]],shipment[order_id],shipment[ship_date])</f>
        <v>45358</v>
      </c>
      <c r="Q1030" s="11">
        <f>_xlfn.XLOOKUP(order[[#This Row],[order_id]],shipment[order_id],shipment[delivery_date])</f>
        <v>45363</v>
      </c>
      <c r="R1030" s="3" t="str">
        <f>_xlfn.XLOOKUP(order[[#This Row],[order_id]],shipment[shipment_id],shipment[courier])</f>
        <v>Ekart</v>
      </c>
      <c r="S1030" s="3">
        <f>order[[#This Row],[selling_price]]-order[[#This Row],[cost_price]]*order[[#This Row],[quantity]]-order[[#This Row],[discount]]</f>
        <v>51559</v>
      </c>
      <c r="T1030" s="3">
        <f>order[[#This Row],[quantity]]*order[[#This Row],[selling_price]]</f>
        <v>59270</v>
      </c>
    </row>
    <row r="1031" spans="1:20" x14ac:dyDescent="0.3">
      <c r="A1031">
        <v>775</v>
      </c>
      <c r="B1031" s="11">
        <v>45580</v>
      </c>
      <c r="C1031">
        <v>270</v>
      </c>
      <c r="D1031" t="str">
        <f>_xlfn.XLOOKUP(order[[#This Row],[customer_id]],customer[customer_id],customer[customer_name])</f>
        <v>Karan Patel</v>
      </c>
      <c r="E1031">
        <v>208</v>
      </c>
      <c r="F1031">
        <v>4</v>
      </c>
      <c r="G1031">
        <v>10006</v>
      </c>
      <c r="H1031">
        <v>902</v>
      </c>
      <c r="I1031" t="s">
        <v>11</v>
      </c>
      <c r="J1031" t="s">
        <v>10</v>
      </c>
      <c r="K1031" t="str">
        <f>_xlfn.XLOOKUP(order[[#This Row],[customer_id]],customer[customer_id],customer[city])</f>
        <v>Mumbai</v>
      </c>
      <c r="L1031" t="str">
        <f>_xlfn.XLOOKUP(order[[#This Row],[customer_id]],customer[customer_id],customer[state])</f>
        <v>Maharashtra</v>
      </c>
      <c r="M1031" t="str">
        <f>_xlfn.XLOOKUP(order[[#This Row],[product_id]],products!$A$2:$A$11,products!$B$2:$B$11)</f>
        <v>Adidas Ultraboost Shoes</v>
      </c>
      <c r="N1031" s="3" t="str">
        <f>_xlfn.XLOOKUP(order[[#This Row],[product_id]],products!$A$2:$A$11,products!$C$2:$C$11)</f>
        <v>Fashion</v>
      </c>
      <c r="O1031" s="3">
        <f>_xlfn.XLOOKUP(order[[#This Row],[product_id]],Table4[product_id],Table4[cost_price])</f>
        <v>9000</v>
      </c>
      <c r="P1031" s="11">
        <f>_xlfn.XLOOKUP(order[[#This Row],[order_id]],shipment[order_id],shipment[ship_date])</f>
        <v>45525</v>
      </c>
      <c r="Q1031" s="11">
        <f>_xlfn.XLOOKUP(order[[#This Row],[order_id]],shipment[order_id],shipment[delivery_date])</f>
        <v>45527</v>
      </c>
      <c r="R1031" s="3" t="str">
        <f>_xlfn.XLOOKUP(order[[#This Row],[order_id]],shipment[shipment_id],shipment[courier])</f>
        <v>Delhivery</v>
      </c>
      <c r="S1031" s="3">
        <f>order[[#This Row],[selling_price]]-order[[#This Row],[cost_price]]*order[[#This Row],[quantity]]-order[[#This Row],[discount]]</f>
        <v>-26896</v>
      </c>
      <c r="T1031" s="3">
        <f>order[[#This Row],[quantity]]*order[[#This Row],[selling_price]]</f>
        <v>40024</v>
      </c>
    </row>
    <row r="1032" spans="1:20" x14ac:dyDescent="0.3">
      <c r="A1032">
        <v>1031</v>
      </c>
      <c r="B1032" s="11">
        <v>45354</v>
      </c>
      <c r="C1032">
        <v>224</v>
      </c>
      <c r="D1032" t="str">
        <f>_xlfn.XLOOKUP(order[[#This Row],[customer_id]],customer[customer_id],customer[customer_name])</f>
        <v>Ananya Gupta</v>
      </c>
      <c r="E1032">
        <v>207</v>
      </c>
      <c r="F1032">
        <v>1</v>
      </c>
      <c r="G1032">
        <v>52132</v>
      </c>
      <c r="H1032">
        <v>2919</v>
      </c>
      <c r="I1032" t="s">
        <v>11</v>
      </c>
      <c r="J1032" t="s">
        <v>14</v>
      </c>
      <c r="K1032" t="str">
        <f>_xlfn.XLOOKUP(order[[#This Row],[customer_id]],customer[customer_id],customer[city])</f>
        <v>Delhi</v>
      </c>
      <c r="L1032" t="str">
        <f>_xlfn.XLOOKUP(order[[#This Row],[customer_id]],customer[customer_id],customer[state])</f>
        <v>Delhi</v>
      </c>
      <c r="M1032" t="str">
        <f>_xlfn.XLOOKUP(order[[#This Row],[product_id]],products!$A$2:$A$11,products!$B$2:$B$11)</f>
        <v>Sony WH-1000XM4 Headphones</v>
      </c>
      <c r="N1032" s="3" t="str">
        <f>_xlfn.XLOOKUP(order[[#This Row],[product_id]],products!$A$2:$A$11,products!$C$2:$C$11)</f>
        <v>Electronics</v>
      </c>
      <c r="O1032" s="3">
        <f>_xlfn.XLOOKUP(order[[#This Row],[product_id]],Table4[product_id],Table4[cost_price])</f>
        <v>20000</v>
      </c>
      <c r="P1032" s="11">
        <f>_xlfn.XLOOKUP(order[[#This Row],[order_id]],shipment[order_id],shipment[ship_date])</f>
        <v>45555</v>
      </c>
      <c r="Q1032" s="11">
        <f>_xlfn.XLOOKUP(order[[#This Row],[order_id]],shipment[order_id],shipment[delivery_date])</f>
        <v>45557</v>
      </c>
      <c r="R1032" s="3" t="str">
        <f>_xlfn.XLOOKUP(order[[#This Row],[order_id]],shipment[shipment_id],shipment[courier])</f>
        <v>Ekart</v>
      </c>
      <c r="S1032" s="3">
        <f>order[[#This Row],[selling_price]]-order[[#This Row],[cost_price]]*order[[#This Row],[quantity]]-order[[#This Row],[discount]]</f>
        <v>29213</v>
      </c>
      <c r="T1032" s="3">
        <f>order[[#This Row],[quantity]]*order[[#This Row],[selling_price]]</f>
        <v>52132</v>
      </c>
    </row>
    <row r="1033" spans="1:20" x14ac:dyDescent="0.3">
      <c r="A1033">
        <v>201</v>
      </c>
      <c r="B1033" s="11">
        <v>45327</v>
      </c>
      <c r="C1033">
        <v>232</v>
      </c>
      <c r="D1033" t="str">
        <f>_xlfn.XLOOKUP(order[[#This Row],[customer_id]],customer[customer_id],customer[customer_name])</f>
        <v>Vikram Singh</v>
      </c>
      <c r="E1033">
        <v>208</v>
      </c>
      <c r="F1033">
        <v>4</v>
      </c>
      <c r="G1033">
        <v>34773</v>
      </c>
      <c r="H1033">
        <v>798</v>
      </c>
      <c r="I1033" t="s">
        <v>9</v>
      </c>
      <c r="J1033" t="s">
        <v>14</v>
      </c>
      <c r="K1033" t="str">
        <f>_xlfn.XLOOKUP(order[[#This Row],[customer_id]],customer[customer_id],customer[city])</f>
        <v>Chennai</v>
      </c>
      <c r="L1033" t="str">
        <f>_xlfn.XLOOKUP(order[[#This Row],[customer_id]],customer[customer_id],customer[state])</f>
        <v>Tamil Nadu</v>
      </c>
      <c r="M1033" t="str">
        <f>_xlfn.XLOOKUP(order[[#This Row],[product_id]],products!$A$2:$A$11,products!$B$2:$B$11)</f>
        <v>Adidas Ultraboost Shoes</v>
      </c>
      <c r="N1033" s="3" t="str">
        <f>_xlfn.XLOOKUP(order[[#This Row],[product_id]],products!$A$2:$A$11,products!$C$2:$C$11)</f>
        <v>Fashion</v>
      </c>
      <c r="O1033" s="3">
        <f>_xlfn.XLOOKUP(order[[#This Row],[product_id]],Table4[product_id],Table4[cost_price])</f>
        <v>9000</v>
      </c>
      <c r="P1033" s="11">
        <f>_xlfn.XLOOKUP(order[[#This Row],[order_id]],shipment[order_id],shipment[ship_date])</f>
        <v>45593</v>
      </c>
      <c r="Q1033" s="11">
        <f>_xlfn.XLOOKUP(order[[#This Row],[order_id]],shipment[order_id],shipment[delivery_date])</f>
        <v>45595</v>
      </c>
      <c r="R1033" s="3" t="str">
        <f>_xlfn.XLOOKUP(order[[#This Row],[order_id]],shipment[shipment_id],shipment[courier])</f>
        <v>BlueDart</v>
      </c>
      <c r="S1033" s="3">
        <f>order[[#This Row],[selling_price]]-order[[#This Row],[cost_price]]*order[[#This Row],[quantity]]-order[[#This Row],[discount]]</f>
        <v>-2025</v>
      </c>
      <c r="T1033" s="3">
        <f>order[[#This Row],[quantity]]*order[[#This Row],[selling_price]]</f>
        <v>139092</v>
      </c>
    </row>
    <row r="1034" spans="1:20" x14ac:dyDescent="0.3">
      <c r="A1034">
        <v>738</v>
      </c>
      <c r="B1034" s="11">
        <v>45557</v>
      </c>
      <c r="C1034">
        <v>269</v>
      </c>
      <c r="D1034" t="str">
        <f>_xlfn.XLOOKUP(order[[#This Row],[customer_id]],customer[customer_id],customer[customer_name])</f>
        <v>Sneha Iyer</v>
      </c>
      <c r="E1034">
        <v>208</v>
      </c>
      <c r="F1034">
        <v>4</v>
      </c>
      <c r="G1034">
        <v>26172</v>
      </c>
      <c r="H1034">
        <v>769</v>
      </c>
      <c r="I1034" t="s">
        <v>15</v>
      </c>
      <c r="J1034" t="s">
        <v>10</v>
      </c>
      <c r="K1034" t="str">
        <f>_xlfn.XLOOKUP(order[[#This Row],[customer_id]],customer[customer_id],customer[city])</f>
        <v>Pune</v>
      </c>
      <c r="L1034" t="str">
        <f>_xlfn.XLOOKUP(order[[#This Row],[customer_id]],customer[customer_id],customer[state])</f>
        <v>Maharashtra</v>
      </c>
      <c r="M1034" t="str">
        <f>_xlfn.XLOOKUP(order[[#This Row],[product_id]],products!$A$2:$A$11,products!$B$2:$B$11)</f>
        <v>Adidas Ultraboost Shoes</v>
      </c>
      <c r="N1034" s="3" t="str">
        <f>_xlfn.XLOOKUP(order[[#This Row],[product_id]],products!$A$2:$A$11,products!$C$2:$C$11)</f>
        <v>Fashion</v>
      </c>
      <c r="O1034" s="3">
        <f>_xlfn.XLOOKUP(order[[#This Row],[product_id]],Table4[product_id],Table4[cost_price])</f>
        <v>9000</v>
      </c>
      <c r="P1034" s="11">
        <f>_xlfn.XLOOKUP(order[[#This Row],[order_id]],shipment[order_id],shipment[ship_date])</f>
        <v>45395</v>
      </c>
      <c r="Q1034" s="11">
        <f>_xlfn.XLOOKUP(order[[#This Row],[order_id]],shipment[order_id],shipment[delivery_date])</f>
        <v>45405</v>
      </c>
      <c r="R1034" s="3" t="str">
        <f>_xlfn.XLOOKUP(order[[#This Row],[order_id]],shipment[shipment_id],shipment[courier])</f>
        <v>Delhivery</v>
      </c>
      <c r="S1034" s="3">
        <f>order[[#This Row],[selling_price]]-order[[#This Row],[cost_price]]*order[[#This Row],[quantity]]-order[[#This Row],[discount]]</f>
        <v>-10597</v>
      </c>
      <c r="T1034" s="3">
        <f>order[[#This Row],[quantity]]*order[[#This Row],[selling_price]]</f>
        <v>104688</v>
      </c>
    </row>
    <row r="1035" spans="1:20" x14ac:dyDescent="0.3">
      <c r="A1035">
        <v>1034</v>
      </c>
      <c r="B1035" s="11">
        <v>45592</v>
      </c>
      <c r="C1035">
        <v>131</v>
      </c>
      <c r="D1035" t="str">
        <f>_xlfn.XLOOKUP(order[[#This Row],[customer_id]],customer[customer_id],customer[customer_name])</f>
        <v>Siddharth Jain</v>
      </c>
      <c r="E1035">
        <v>205</v>
      </c>
      <c r="F1035">
        <v>1</v>
      </c>
      <c r="G1035">
        <v>62859</v>
      </c>
      <c r="H1035">
        <v>1747</v>
      </c>
      <c r="I1035" t="s">
        <v>13</v>
      </c>
      <c r="J1035" t="s">
        <v>12</v>
      </c>
      <c r="K1035" t="str">
        <f>_xlfn.XLOOKUP(order[[#This Row],[customer_id]],customer[customer_id],customer[city])</f>
        <v>Mumbai</v>
      </c>
      <c r="L1035" t="str">
        <f>_xlfn.XLOOKUP(order[[#This Row],[customer_id]],customer[customer_id],customer[state])</f>
        <v>Maharashtra</v>
      </c>
      <c r="M1035" t="str">
        <f>_xlfn.XLOOKUP(order[[#This Row],[product_id]],products!$A$2:$A$11,products!$B$2:$B$11)</f>
        <v>Prestige Pressure Cooker 5L</v>
      </c>
      <c r="N1035" s="3" t="str">
        <f>_xlfn.XLOOKUP(order[[#This Row],[product_id]],products!$A$2:$A$11,products!$C$2:$C$11)</f>
        <v>Home &amp; Kitchen</v>
      </c>
      <c r="O1035" s="3">
        <f>_xlfn.XLOOKUP(order[[#This Row],[product_id]],Table4[product_id],Table4[cost_price])</f>
        <v>1200</v>
      </c>
      <c r="P1035" s="11">
        <f>_xlfn.XLOOKUP(order[[#This Row],[order_id]],shipment[order_id],shipment[ship_date])</f>
        <v>45454</v>
      </c>
      <c r="Q1035" s="11">
        <f>_xlfn.XLOOKUP(order[[#This Row],[order_id]],shipment[order_id],shipment[delivery_date])</f>
        <v>45461</v>
      </c>
      <c r="R1035" s="3" t="str">
        <f>_xlfn.XLOOKUP(order[[#This Row],[order_id]],shipment[shipment_id],shipment[courier])</f>
        <v>BlueDart</v>
      </c>
      <c r="S1035" s="3">
        <f>order[[#This Row],[selling_price]]-order[[#This Row],[cost_price]]*order[[#This Row],[quantity]]-order[[#This Row],[discount]]</f>
        <v>59912</v>
      </c>
      <c r="T1035" s="3">
        <f>order[[#This Row],[quantity]]*order[[#This Row],[selling_price]]</f>
        <v>62859</v>
      </c>
    </row>
    <row r="1036" spans="1:20" x14ac:dyDescent="0.3">
      <c r="A1036">
        <v>1035</v>
      </c>
      <c r="B1036" s="11">
        <v>45623</v>
      </c>
      <c r="C1036">
        <v>215</v>
      </c>
      <c r="D1036" t="str">
        <f>_xlfn.XLOOKUP(order[[#This Row],[customer_id]],customer[customer_id],customer[customer_name])</f>
        <v>Priya Reddy</v>
      </c>
      <c r="E1036">
        <v>204</v>
      </c>
      <c r="F1036">
        <v>3</v>
      </c>
      <c r="G1036">
        <v>65562</v>
      </c>
      <c r="H1036">
        <v>1802</v>
      </c>
      <c r="I1036" t="s">
        <v>13</v>
      </c>
      <c r="J1036" t="s">
        <v>14</v>
      </c>
      <c r="K1036" t="str">
        <f>_xlfn.XLOOKUP(order[[#This Row],[customer_id]],customer[customer_id],customer[city])</f>
        <v>Chennai</v>
      </c>
      <c r="L1036" t="str">
        <f>_xlfn.XLOOKUP(order[[#This Row],[customer_id]],customer[customer_id],customer[state])</f>
        <v>Tamil Nadu</v>
      </c>
      <c r="M1036" t="str">
        <f>_xlfn.XLOOKUP(order[[#This Row],[product_id]],products!$A$2:$A$11,products!$B$2:$B$11)</f>
        <v>Levi's Slim Fit Jeans</v>
      </c>
      <c r="N1036" s="3" t="str">
        <f>_xlfn.XLOOKUP(order[[#This Row],[product_id]],products!$A$2:$A$11,products!$C$2:$C$11)</f>
        <v>Fashion</v>
      </c>
      <c r="O1036" s="3">
        <f>_xlfn.XLOOKUP(order[[#This Row],[product_id]],Table4[product_id],Table4[cost_price])</f>
        <v>1800</v>
      </c>
      <c r="P1036" s="11">
        <f>_xlfn.XLOOKUP(order[[#This Row],[order_id]],shipment[order_id],shipment[ship_date])</f>
        <v>45608</v>
      </c>
      <c r="Q1036" s="11">
        <f>_xlfn.XLOOKUP(order[[#This Row],[order_id]],shipment[order_id],shipment[delivery_date])</f>
        <v>45611</v>
      </c>
      <c r="R1036" s="3" t="str">
        <f>_xlfn.XLOOKUP(order[[#This Row],[order_id]],shipment[shipment_id],shipment[courier])</f>
        <v>Delhivery</v>
      </c>
      <c r="S1036" s="3">
        <f>order[[#This Row],[selling_price]]-order[[#This Row],[cost_price]]*order[[#This Row],[quantity]]-order[[#This Row],[discount]]</f>
        <v>58360</v>
      </c>
      <c r="T1036" s="3">
        <f>order[[#This Row],[quantity]]*order[[#This Row],[selling_price]]</f>
        <v>196686</v>
      </c>
    </row>
    <row r="1037" spans="1:20" x14ac:dyDescent="0.3">
      <c r="A1037">
        <v>433</v>
      </c>
      <c r="B1037" s="11">
        <v>45537</v>
      </c>
      <c r="C1037">
        <v>223</v>
      </c>
      <c r="D1037" t="str">
        <f>_xlfn.XLOOKUP(order[[#This Row],[customer_id]],customer[customer_id],customer[customer_name])</f>
        <v>Manish Yadav</v>
      </c>
      <c r="E1037">
        <v>208</v>
      </c>
      <c r="F1037">
        <v>2</v>
      </c>
      <c r="G1037">
        <v>4683</v>
      </c>
      <c r="H1037">
        <v>743</v>
      </c>
      <c r="I1037" t="s">
        <v>11</v>
      </c>
      <c r="J1037" t="s">
        <v>14</v>
      </c>
      <c r="K1037" t="str">
        <f>_xlfn.XLOOKUP(order[[#This Row],[customer_id]],customer[customer_id],customer[city])</f>
        <v>Delhi</v>
      </c>
      <c r="L1037" t="str">
        <f>_xlfn.XLOOKUP(order[[#This Row],[customer_id]],customer[customer_id],customer[state])</f>
        <v>Delhi</v>
      </c>
      <c r="M1037" t="str">
        <f>_xlfn.XLOOKUP(order[[#This Row],[product_id]],products!$A$2:$A$11,products!$B$2:$B$11)</f>
        <v>Adidas Ultraboost Shoes</v>
      </c>
      <c r="N1037" s="3" t="str">
        <f>_xlfn.XLOOKUP(order[[#This Row],[product_id]],products!$A$2:$A$11,products!$C$2:$C$11)</f>
        <v>Fashion</v>
      </c>
      <c r="O1037" s="3">
        <f>_xlfn.XLOOKUP(order[[#This Row],[product_id]],Table4[product_id],Table4[cost_price])</f>
        <v>9000</v>
      </c>
      <c r="P1037" s="11">
        <f>_xlfn.XLOOKUP(order[[#This Row],[order_id]],shipment[order_id],shipment[ship_date])</f>
        <v>45484</v>
      </c>
      <c r="Q1037" s="11">
        <f>_xlfn.XLOOKUP(order[[#This Row],[order_id]],shipment[order_id],shipment[delivery_date])</f>
        <v>45494</v>
      </c>
      <c r="R1037" s="3" t="str">
        <f>_xlfn.XLOOKUP(order[[#This Row],[order_id]],shipment[shipment_id],shipment[courier])</f>
        <v>BlueDart</v>
      </c>
      <c r="S1037" s="3">
        <f>order[[#This Row],[selling_price]]-order[[#This Row],[cost_price]]*order[[#This Row],[quantity]]-order[[#This Row],[discount]]</f>
        <v>-14060</v>
      </c>
      <c r="T1037" s="3">
        <f>order[[#This Row],[quantity]]*order[[#This Row],[selling_price]]</f>
        <v>9366</v>
      </c>
    </row>
    <row r="1038" spans="1:20" x14ac:dyDescent="0.3">
      <c r="A1038">
        <v>1037</v>
      </c>
      <c r="B1038" s="11">
        <v>45593</v>
      </c>
      <c r="C1038">
        <v>228</v>
      </c>
      <c r="D1038" t="str">
        <f>_xlfn.XLOOKUP(order[[#This Row],[customer_id]],customer[customer_id],customer[customer_name])</f>
        <v>Priya Reddy</v>
      </c>
      <c r="E1038">
        <v>205</v>
      </c>
      <c r="F1038">
        <v>2</v>
      </c>
      <c r="G1038">
        <v>14683</v>
      </c>
      <c r="H1038">
        <v>4220</v>
      </c>
      <c r="I1038" t="s">
        <v>11</v>
      </c>
      <c r="J1038" t="s">
        <v>12</v>
      </c>
      <c r="K1038" t="str">
        <f>_xlfn.XLOOKUP(order[[#This Row],[customer_id]],customer[customer_id],customer[city])</f>
        <v>Chennai</v>
      </c>
      <c r="L1038" t="str">
        <f>_xlfn.XLOOKUP(order[[#This Row],[customer_id]],customer[customer_id],customer[state])</f>
        <v>Tamil Nadu</v>
      </c>
      <c r="M1038" t="str">
        <f>_xlfn.XLOOKUP(order[[#This Row],[product_id]],products!$A$2:$A$11,products!$B$2:$B$11)</f>
        <v>Prestige Pressure Cooker 5L</v>
      </c>
      <c r="N1038" s="3" t="str">
        <f>_xlfn.XLOOKUP(order[[#This Row],[product_id]],products!$A$2:$A$11,products!$C$2:$C$11)</f>
        <v>Home &amp; Kitchen</v>
      </c>
      <c r="O1038" s="3">
        <f>_xlfn.XLOOKUP(order[[#This Row],[product_id]],Table4[product_id],Table4[cost_price])</f>
        <v>1200</v>
      </c>
      <c r="P1038" s="11">
        <f>_xlfn.XLOOKUP(order[[#This Row],[order_id]],shipment[order_id],shipment[ship_date])</f>
        <v>45437</v>
      </c>
      <c r="Q1038" s="11">
        <f>_xlfn.XLOOKUP(order[[#This Row],[order_id]],shipment[order_id],shipment[delivery_date])</f>
        <v>45446</v>
      </c>
      <c r="R1038" s="3" t="str">
        <f>_xlfn.XLOOKUP(order[[#This Row],[order_id]],shipment[shipment_id],shipment[courier])</f>
        <v>BlueDart</v>
      </c>
      <c r="S1038" s="3">
        <f>order[[#This Row],[selling_price]]-order[[#This Row],[cost_price]]*order[[#This Row],[quantity]]-order[[#This Row],[discount]]</f>
        <v>8063</v>
      </c>
      <c r="T1038" s="3">
        <f>order[[#This Row],[quantity]]*order[[#This Row],[selling_price]]</f>
        <v>29366</v>
      </c>
    </row>
    <row r="1039" spans="1:20" x14ac:dyDescent="0.3">
      <c r="A1039">
        <v>1038</v>
      </c>
      <c r="B1039" s="11">
        <v>45318</v>
      </c>
      <c r="C1039">
        <v>228</v>
      </c>
      <c r="D1039" t="str">
        <f>_xlfn.XLOOKUP(order[[#This Row],[customer_id]],customer[customer_id],customer[customer_name])</f>
        <v>Priya Reddy</v>
      </c>
      <c r="E1039">
        <v>208</v>
      </c>
      <c r="F1039">
        <v>1</v>
      </c>
      <c r="G1039">
        <v>57085</v>
      </c>
      <c r="H1039">
        <v>2575</v>
      </c>
      <c r="I1039" t="s">
        <v>9</v>
      </c>
      <c r="J1039" t="s">
        <v>12</v>
      </c>
      <c r="K1039" t="str">
        <f>_xlfn.XLOOKUP(order[[#This Row],[customer_id]],customer[customer_id],customer[city])</f>
        <v>Chennai</v>
      </c>
      <c r="L1039" t="str">
        <f>_xlfn.XLOOKUP(order[[#This Row],[customer_id]],customer[customer_id],customer[state])</f>
        <v>Tamil Nadu</v>
      </c>
      <c r="M1039" t="str">
        <f>_xlfn.XLOOKUP(order[[#This Row],[product_id]],products!$A$2:$A$11,products!$B$2:$B$11)</f>
        <v>Adidas Ultraboost Shoes</v>
      </c>
      <c r="N1039" s="3" t="str">
        <f>_xlfn.XLOOKUP(order[[#This Row],[product_id]],products!$A$2:$A$11,products!$C$2:$C$11)</f>
        <v>Fashion</v>
      </c>
      <c r="O1039" s="3">
        <f>_xlfn.XLOOKUP(order[[#This Row],[product_id]],Table4[product_id],Table4[cost_price])</f>
        <v>9000</v>
      </c>
      <c r="P1039" s="11">
        <f>_xlfn.XLOOKUP(order[[#This Row],[order_id]],shipment[order_id],shipment[ship_date])</f>
        <v>45458</v>
      </c>
      <c r="Q1039" s="11">
        <f>_xlfn.XLOOKUP(order[[#This Row],[order_id]],shipment[order_id],shipment[delivery_date])</f>
        <v>45465</v>
      </c>
      <c r="R1039" s="3" t="str">
        <f>_xlfn.XLOOKUP(order[[#This Row],[order_id]],shipment[shipment_id],shipment[courier])</f>
        <v>Delhivery</v>
      </c>
      <c r="S1039" s="3">
        <f>order[[#This Row],[selling_price]]-order[[#This Row],[cost_price]]*order[[#This Row],[quantity]]-order[[#This Row],[discount]]</f>
        <v>45510</v>
      </c>
      <c r="T1039" s="3">
        <f>order[[#This Row],[quantity]]*order[[#This Row],[selling_price]]</f>
        <v>57085</v>
      </c>
    </row>
    <row r="1040" spans="1:20" x14ac:dyDescent="0.3">
      <c r="A1040">
        <v>556</v>
      </c>
      <c r="B1040" s="11">
        <v>45390</v>
      </c>
      <c r="C1040">
        <v>148</v>
      </c>
      <c r="D1040" t="str">
        <f>_xlfn.XLOOKUP(order[[#This Row],[customer_id]],customer[customer_id],customer[customer_name])</f>
        <v>Karan Patel</v>
      </c>
      <c r="E1040">
        <v>208</v>
      </c>
      <c r="F1040">
        <v>1</v>
      </c>
      <c r="G1040">
        <v>2073</v>
      </c>
      <c r="H1040">
        <v>705</v>
      </c>
      <c r="I1040" t="s">
        <v>9</v>
      </c>
      <c r="J1040" t="s">
        <v>12</v>
      </c>
      <c r="K1040" t="str">
        <f>_xlfn.XLOOKUP(order[[#This Row],[customer_id]],customer[customer_id],customer[city])</f>
        <v>Chennai</v>
      </c>
      <c r="L1040" t="str">
        <f>_xlfn.XLOOKUP(order[[#This Row],[customer_id]],customer[customer_id],customer[state])</f>
        <v>Tamil Nadu</v>
      </c>
      <c r="M1040" t="str">
        <f>_xlfn.XLOOKUP(order[[#This Row],[product_id]],products!$A$2:$A$11,products!$B$2:$B$11)</f>
        <v>Adidas Ultraboost Shoes</v>
      </c>
      <c r="N1040" s="3" t="str">
        <f>_xlfn.XLOOKUP(order[[#This Row],[product_id]],products!$A$2:$A$11,products!$C$2:$C$11)</f>
        <v>Fashion</v>
      </c>
      <c r="O1040" s="3">
        <f>_xlfn.XLOOKUP(order[[#This Row],[product_id]],Table4[product_id],Table4[cost_price])</f>
        <v>9000</v>
      </c>
      <c r="P1040" s="11">
        <f>_xlfn.XLOOKUP(order[[#This Row],[order_id]],shipment[order_id],shipment[ship_date])</f>
        <v>45459</v>
      </c>
      <c r="Q1040" s="11">
        <f>_xlfn.XLOOKUP(order[[#This Row],[order_id]],shipment[order_id],shipment[delivery_date])</f>
        <v>45468</v>
      </c>
      <c r="R1040" s="3" t="str">
        <f>_xlfn.XLOOKUP(order[[#This Row],[order_id]],shipment[shipment_id],shipment[courier])</f>
        <v>BlueDart</v>
      </c>
      <c r="S1040" s="3">
        <f>order[[#This Row],[selling_price]]-order[[#This Row],[cost_price]]*order[[#This Row],[quantity]]-order[[#This Row],[discount]]</f>
        <v>-7632</v>
      </c>
      <c r="T1040" s="3">
        <f>order[[#This Row],[quantity]]*order[[#This Row],[selling_price]]</f>
        <v>2073</v>
      </c>
    </row>
    <row r="1041" spans="1:20" x14ac:dyDescent="0.3">
      <c r="A1041">
        <v>1040</v>
      </c>
      <c r="B1041" s="11">
        <v>45550</v>
      </c>
      <c r="C1041">
        <v>180</v>
      </c>
      <c r="D1041" t="str">
        <f>_xlfn.XLOOKUP(order[[#This Row],[customer_id]],customer[customer_id],customer[customer_name])</f>
        <v>Siddharth Jain</v>
      </c>
      <c r="E1041">
        <v>209</v>
      </c>
      <c r="F1041">
        <v>1</v>
      </c>
      <c r="G1041">
        <v>19061</v>
      </c>
      <c r="H1041">
        <v>2184</v>
      </c>
      <c r="I1041" t="s">
        <v>15</v>
      </c>
      <c r="J1041" t="s">
        <v>10</v>
      </c>
      <c r="K1041" t="str">
        <f>_xlfn.XLOOKUP(order[[#This Row],[customer_id]],customer[customer_id],customer[city])</f>
        <v>Hyderabad</v>
      </c>
      <c r="L1041" t="str">
        <f>_xlfn.XLOOKUP(order[[#This Row],[customer_id]],customer[customer_id],customer[state])</f>
        <v>Telangana</v>
      </c>
      <c r="M1041" t="str">
        <f>_xlfn.XLOOKUP(order[[#This Row],[product_id]],products!$A$2:$A$11,products!$B$2:$B$11)</f>
        <v>Milton Thermosteel Bottle</v>
      </c>
      <c r="N1041" s="3" t="str">
        <f>_xlfn.XLOOKUP(order[[#This Row],[product_id]],products!$A$2:$A$11,products!$C$2:$C$11)</f>
        <v>Home &amp; Kitchen</v>
      </c>
      <c r="O1041" s="3">
        <f>_xlfn.XLOOKUP(order[[#This Row],[product_id]],Table4[product_id],Table4[cost_price])</f>
        <v>800</v>
      </c>
      <c r="P1041" s="11">
        <f>_xlfn.XLOOKUP(order[[#This Row],[order_id]],shipment[order_id],shipment[ship_date])</f>
        <v>45515</v>
      </c>
      <c r="Q1041" s="11">
        <f>_xlfn.XLOOKUP(order[[#This Row],[order_id]],shipment[order_id],shipment[delivery_date])</f>
        <v>45522</v>
      </c>
      <c r="R1041" s="3" t="str">
        <f>_xlfn.XLOOKUP(order[[#This Row],[order_id]],shipment[shipment_id],shipment[courier])</f>
        <v>Delhivery</v>
      </c>
      <c r="S1041" s="3">
        <f>order[[#This Row],[selling_price]]-order[[#This Row],[cost_price]]*order[[#This Row],[quantity]]-order[[#This Row],[discount]]</f>
        <v>16077</v>
      </c>
      <c r="T1041" s="3">
        <f>order[[#This Row],[quantity]]*order[[#This Row],[selling_price]]</f>
        <v>19061</v>
      </c>
    </row>
    <row r="1042" spans="1:20" x14ac:dyDescent="0.3">
      <c r="A1042">
        <v>563</v>
      </c>
      <c r="B1042" s="11">
        <v>45318</v>
      </c>
      <c r="C1042">
        <v>245</v>
      </c>
      <c r="D1042" t="str">
        <f>_xlfn.XLOOKUP(order[[#This Row],[customer_id]],customer[customer_id],customer[customer_name])</f>
        <v>Rahul Mehta</v>
      </c>
      <c r="E1042">
        <v>208</v>
      </c>
      <c r="F1042">
        <v>4</v>
      </c>
      <c r="G1042">
        <v>17975</v>
      </c>
      <c r="H1042">
        <v>677</v>
      </c>
      <c r="I1042" t="s">
        <v>11</v>
      </c>
      <c r="J1042" t="s">
        <v>14</v>
      </c>
      <c r="K1042" t="str">
        <f>_xlfn.XLOOKUP(order[[#This Row],[customer_id]],customer[customer_id],customer[city])</f>
        <v>Chennai</v>
      </c>
      <c r="L1042" t="str">
        <f>_xlfn.XLOOKUP(order[[#This Row],[customer_id]],customer[customer_id],customer[state])</f>
        <v>Tamil Nadu</v>
      </c>
      <c r="M1042" t="str">
        <f>_xlfn.XLOOKUP(order[[#This Row],[product_id]],products!$A$2:$A$11,products!$B$2:$B$11)</f>
        <v>Adidas Ultraboost Shoes</v>
      </c>
      <c r="N1042" s="3" t="str">
        <f>_xlfn.XLOOKUP(order[[#This Row],[product_id]],products!$A$2:$A$11,products!$C$2:$C$11)</f>
        <v>Fashion</v>
      </c>
      <c r="O1042" s="3">
        <f>_xlfn.XLOOKUP(order[[#This Row],[product_id]],Table4[product_id],Table4[cost_price])</f>
        <v>9000</v>
      </c>
      <c r="P1042" s="11">
        <f>_xlfn.XLOOKUP(order[[#This Row],[order_id]],shipment[order_id],shipment[ship_date])</f>
        <v>45408</v>
      </c>
      <c r="Q1042" s="11">
        <f>_xlfn.XLOOKUP(order[[#This Row],[order_id]],shipment[order_id],shipment[delivery_date])</f>
        <v>45417</v>
      </c>
      <c r="R1042" s="3" t="str">
        <f>_xlfn.XLOOKUP(order[[#This Row],[order_id]],shipment[shipment_id],shipment[courier])</f>
        <v>Ekart</v>
      </c>
      <c r="S1042" s="3">
        <f>order[[#This Row],[selling_price]]-order[[#This Row],[cost_price]]*order[[#This Row],[quantity]]-order[[#This Row],[discount]]</f>
        <v>-18702</v>
      </c>
      <c r="T1042" s="3">
        <f>order[[#This Row],[quantity]]*order[[#This Row],[selling_price]]</f>
        <v>71900</v>
      </c>
    </row>
    <row r="1043" spans="1:20" x14ac:dyDescent="0.3">
      <c r="A1043">
        <v>295</v>
      </c>
      <c r="B1043" s="11">
        <v>45384</v>
      </c>
      <c r="C1043">
        <v>220</v>
      </c>
      <c r="D1043" t="str">
        <f>_xlfn.XLOOKUP(order[[#This Row],[customer_id]],customer[customer_id],customer[customer_name])</f>
        <v>Rahul Mehta</v>
      </c>
      <c r="E1043">
        <v>208</v>
      </c>
      <c r="F1043">
        <v>2</v>
      </c>
      <c r="G1043">
        <v>3151</v>
      </c>
      <c r="H1043">
        <v>651</v>
      </c>
      <c r="I1043" t="s">
        <v>15</v>
      </c>
      <c r="J1043" t="s">
        <v>10</v>
      </c>
      <c r="K1043" t="str">
        <f>_xlfn.XLOOKUP(order[[#This Row],[customer_id]],customer[customer_id],customer[city])</f>
        <v>Chennai</v>
      </c>
      <c r="L1043" t="str">
        <f>_xlfn.XLOOKUP(order[[#This Row],[customer_id]],customer[customer_id],customer[state])</f>
        <v>Tamil Nadu</v>
      </c>
      <c r="M1043" t="str">
        <f>_xlfn.XLOOKUP(order[[#This Row],[product_id]],products!$A$2:$A$11,products!$B$2:$B$11)</f>
        <v>Adidas Ultraboost Shoes</v>
      </c>
      <c r="N1043" s="3" t="str">
        <f>_xlfn.XLOOKUP(order[[#This Row],[product_id]],products!$A$2:$A$11,products!$C$2:$C$11)</f>
        <v>Fashion</v>
      </c>
      <c r="O1043" s="3">
        <f>_xlfn.XLOOKUP(order[[#This Row],[product_id]],Table4[product_id],Table4[cost_price])</f>
        <v>9000</v>
      </c>
      <c r="P1043" s="11">
        <f>_xlfn.XLOOKUP(order[[#This Row],[order_id]],shipment[order_id],shipment[ship_date])</f>
        <v>45467</v>
      </c>
      <c r="Q1043" s="11">
        <f>_xlfn.XLOOKUP(order[[#This Row],[order_id]],shipment[order_id],shipment[delivery_date])</f>
        <v>45471</v>
      </c>
      <c r="R1043" s="3" t="str">
        <f>_xlfn.XLOOKUP(order[[#This Row],[order_id]],shipment[shipment_id],shipment[courier])</f>
        <v>Delhivery</v>
      </c>
      <c r="S1043" s="3">
        <f>order[[#This Row],[selling_price]]-order[[#This Row],[cost_price]]*order[[#This Row],[quantity]]-order[[#This Row],[discount]]</f>
        <v>-15500</v>
      </c>
      <c r="T1043" s="3">
        <f>order[[#This Row],[quantity]]*order[[#This Row],[selling_price]]</f>
        <v>6302</v>
      </c>
    </row>
    <row r="1044" spans="1:20" x14ac:dyDescent="0.3">
      <c r="A1044">
        <v>354</v>
      </c>
      <c r="B1044" s="11">
        <v>45401</v>
      </c>
      <c r="C1044">
        <v>299</v>
      </c>
      <c r="D1044" t="str">
        <f>_xlfn.XLOOKUP(order[[#This Row],[customer_id]],customer[customer_id],customer[customer_name])</f>
        <v>Sneha Iyer</v>
      </c>
      <c r="E1044">
        <v>208</v>
      </c>
      <c r="F1044">
        <v>4</v>
      </c>
      <c r="G1044">
        <v>31737</v>
      </c>
      <c r="H1044">
        <v>554</v>
      </c>
      <c r="I1044" t="s">
        <v>13</v>
      </c>
      <c r="J1044" t="s">
        <v>12</v>
      </c>
      <c r="K1044" t="str">
        <f>_xlfn.XLOOKUP(order[[#This Row],[customer_id]],customer[customer_id],customer[city])</f>
        <v>Hyderabad</v>
      </c>
      <c r="L1044" t="str">
        <f>_xlfn.XLOOKUP(order[[#This Row],[customer_id]],customer[customer_id],customer[state])</f>
        <v>Telangana</v>
      </c>
      <c r="M1044" t="str">
        <f>_xlfn.XLOOKUP(order[[#This Row],[product_id]],products!$A$2:$A$11,products!$B$2:$B$11)</f>
        <v>Adidas Ultraboost Shoes</v>
      </c>
      <c r="N1044" s="3" t="str">
        <f>_xlfn.XLOOKUP(order[[#This Row],[product_id]],products!$A$2:$A$11,products!$C$2:$C$11)</f>
        <v>Fashion</v>
      </c>
      <c r="O1044" s="3">
        <f>_xlfn.XLOOKUP(order[[#This Row],[product_id]],Table4[product_id],Table4[cost_price])</f>
        <v>9000</v>
      </c>
      <c r="P1044" s="11">
        <f>_xlfn.XLOOKUP(order[[#This Row],[order_id]],shipment[order_id],shipment[ship_date])</f>
        <v>45633</v>
      </c>
      <c r="Q1044" s="11">
        <f>_xlfn.XLOOKUP(order[[#This Row],[order_id]],shipment[order_id],shipment[delivery_date])</f>
        <v>45639</v>
      </c>
      <c r="R1044" s="3" t="str">
        <f>_xlfn.XLOOKUP(order[[#This Row],[order_id]],shipment[shipment_id],shipment[courier])</f>
        <v>Ekart</v>
      </c>
      <c r="S1044" s="3">
        <f>order[[#This Row],[selling_price]]-order[[#This Row],[cost_price]]*order[[#This Row],[quantity]]-order[[#This Row],[discount]]</f>
        <v>-4817</v>
      </c>
      <c r="T1044" s="3">
        <f>order[[#This Row],[quantity]]*order[[#This Row],[selling_price]]</f>
        <v>126948</v>
      </c>
    </row>
    <row r="1045" spans="1:20" x14ac:dyDescent="0.3">
      <c r="A1045">
        <v>1044</v>
      </c>
      <c r="B1045" s="11">
        <v>45517</v>
      </c>
      <c r="C1045">
        <v>140</v>
      </c>
      <c r="D1045" t="str">
        <f>_xlfn.XLOOKUP(order[[#This Row],[customer_id]],customer[customer_id],customer[customer_name])</f>
        <v>Neha Kapoor</v>
      </c>
      <c r="E1045">
        <v>204</v>
      </c>
      <c r="F1045">
        <v>3</v>
      </c>
      <c r="G1045">
        <v>60719</v>
      </c>
      <c r="H1045">
        <v>3363</v>
      </c>
      <c r="I1045" t="s">
        <v>15</v>
      </c>
      <c r="J1045" t="s">
        <v>10</v>
      </c>
      <c r="K1045" t="str">
        <f>_xlfn.XLOOKUP(order[[#This Row],[customer_id]],customer[customer_id],customer[city])</f>
        <v>Chennai</v>
      </c>
      <c r="L1045" t="str">
        <f>_xlfn.XLOOKUP(order[[#This Row],[customer_id]],customer[customer_id],customer[state])</f>
        <v>Tamil Nadu</v>
      </c>
      <c r="M1045" t="str">
        <f>_xlfn.XLOOKUP(order[[#This Row],[product_id]],products!$A$2:$A$11,products!$B$2:$B$11)</f>
        <v>Levi's Slim Fit Jeans</v>
      </c>
      <c r="N1045" s="3" t="str">
        <f>_xlfn.XLOOKUP(order[[#This Row],[product_id]],products!$A$2:$A$11,products!$C$2:$C$11)</f>
        <v>Fashion</v>
      </c>
      <c r="O1045" s="3">
        <f>_xlfn.XLOOKUP(order[[#This Row],[product_id]],Table4[product_id],Table4[cost_price])</f>
        <v>1800</v>
      </c>
      <c r="P1045" s="11">
        <f>_xlfn.XLOOKUP(order[[#This Row],[order_id]],shipment[order_id],shipment[ship_date])</f>
        <v>45657</v>
      </c>
      <c r="Q1045" s="11">
        <f>_xlfn.XLOOKUP(order[[#This Row],[order_id]],shipment[order_id],shipment[delivery_date])</f>
        <v>45661</v>
      </c>
      <c r="R1045" s="3" t="str">
        <f>_xlfn.XLOOKUP(order[[#This Row],[order_id]],shipment[shipment_id],shipment[courier])</f>
        <v>Ekart</v>
      </c>
      <c r="S1045" s="3">
        <f>order[[#This Row],[selling_price]]-order[[#This Row],[cost_price]]*order[[#This Row],[quantity]]-order[[#This Row],[discount]]</f>
        <v>51956</v>
      </c>
      <c r="T1045" s="3">
        <f>order[[#This Row],[quantity]]*order[[#This Row],[selling_price]]</f>
        <v>182157</v>
      </c>
    </row>
    <row r="1046" spans="1:20" x14ac:dyDescent="0.3">
      <c r="A1046">
        <v>943</v>
      </c>
      <c r="B1046" s="11">
        <v>45374</v>
      </c>
      <c r="C1046">
        <v>276</v>
      </c>
      <c r="D1046" t="str">
        <f>_xlfn.XLOOKUP(order[[#This Row],[customer_id]],customer[customer_id],customer[customer_name])</f>
        <v>Sneha Iyer</v>
      </c>
      <c r="E1046">
        <v>208</v>
      </c>
      <c r="F1046">
        <v>4</v>
      </c>
      <c r="G1046">
        <v>16046</v>
      </c>
      <c r="H1046">
        <v>527</v>
      </c>
      <c r="I1046" t="s">
        <v>9</v>
      </c>
      <c r="J1046" t="s">
        <v>10</v>
      </c>
      <c r="K1046" t="str">
        <f>_xlfn.XLOOKUP(order[[#This Row],[customer_id]],customer[customer_id],customer[city])</f>
        <v>Chennai</v>
      </c>
      <c r="L1046" t="str">
        <f>_xlfn.XLOOKUP(order[[#This Row],[customer_id]],customer[customer_id],customer[state])</f>
        <v>Tamil Nadu</v>
      </c>
      <c r="M1046" t="str">
        <f>_xlfn.XLOOKUP(order[[#This Row],[product_id]],products!$A$2:$A$11,products!$B$2:$B$11)</f>
        <v>Adidas Ultraboost Shoes</v>
      </c>
      <c r="N1046" s="3" t="str">
        <f>_xlfn.XLOOKUP(order[[#This Row],[product_id]],products!$A$2:$A$11,products!$C$2:$C$11)</f>
        <v>Fashion</v>
      </c>
      <c r="O1046" s="3">
        <f>_xlfn.XLOOKUP(order[[#This Row],[product_id]],Table4[product_id],Table4[cost_price])</f>
        <v>9000</v>
      </c>
      <c r="P1046" s="11">
        <f>_xlfn.XLOOKUP(order[[#This Row],[order_id]],shipment[order_id],shipment[ship_date])</f>
        <v>45541</v>
      </c>
      <c r="Q1046" s="11">
        <f>_xlfn.XLOOKUP(order[[#This Row],[order_id]],shipment[order_id],shipment[delivery_date])</f>
        <v>45550</v>
      </c>
      <c r="R1046" s="3" t="str">
        <f>_xlfn.XLOOKUP(order[[#This Row],[order_id]],shipment[shipment_id],shipment[courier])</f>
        <v>Ekart</v>
      </c>
      <c r="S1046" s="3">
        <f>order[[#This Row],[selling_price]]-order[[#This Row],[cost_price]]*order[[#This Row],[quantity]]-order[[#This Row],[discount]]</f>
        <v>-20481</v>
      </c>
      <c r="T1046" s="3">
        <f>order[[#This Row],[quantity]]*order[[#This Row],[selling_price]]</f>
        <v>64184</v>
      </c>
    </row>
    <row r="1047" spans="1:20" x14ac:dyDescent="0.3">
      <c r="A1047">
        <v>1046</v>
      </c>
      <c r="B1047" s="11">
        <v>45469</v>
      </c>
      <c r="C1047">
        <v>113</v>
      </c>
      <c r="D1047" t="str">
        <f>_xlfn.XLOOKUP(order[[#This Row],[customer_id]],customer[customer_id],customer[customer_name])</f>
        <v>Meera Joshi</v>
      </c>
      <c r="E1047">
        <v>204</v>
      </c>
      <c r="F1047">
        <v>3</v>
      </c>
      <c r="G1047">
        <v>61454</v>
      </c>
      <c r="H1047">
        <v>3881</v>
      </c>
      <c r="I1047" t="s">
        <v>15</v>
      </c>
      <c r="J1047" t="s">
        <v>14</v>
      </c>
      <c r="K1047" t="str">
        <f>_xlfn.XLOOKUP(order[[#This Row],[customer_id]],customer[customer_id],customer[city])</f>
        <v>Hyderabad</v>
      </c>
      <c r="L1047" t="str">
        <f>_xlfn.XLOOKUP(order[[#This Row],[customer_id]],customer[customer_id],customer[state])</f>
        <v>Telangana</v>
      </c>
      <c r="M1047" t="str">
        <f>_xlfn.XLOOKUP(order[[#This Row],[product_id]],products!$A$2:$A$11,products!$B$2:$B$11)</f>
        <v>Levi's Slim Fit Jeans</v>
      </c>
      <c r="N1047" s="3" t="str">
        <f>_xlfn.XLOOKUP(order[[#This Row],[product_id]],products!$A$2:$A$11,products!$C$2:$C$11)</f>
        <v>Fashion</v>
      </c>
      <c r="O1047" s="3">
        <f>_xlfn.XLOOKUP(order[[#This Row],[product_id]],Table4[product_id],Table4[cost_price])</f>
        <v>1800</v>
      </c>
      <c r="P1047" s="11">
        <f>_xlfn.XLOOKUP(order[[#This Row],[order_id]],shipment[order_id],shipment[ship_date])</f>
        <v>45410</v>
      </c>
      <c r="Q1047" s="11">
        <f>_xlfn.XLOOKUP(order[[#This Row],[order_id]],shipment[order_id],shipment[delivery_date])</f>
        <v>45413</v>
      </c>
      <c r="R1047" s="3" t="str">
        <f>_xlfn.XLOOKUP(order[[#This Row],[order_id]],shipment[shipment_id],shipment[courier])</f>
        <v>Delhivery</v>
      </c>
      <c r="S1047" s="3">
        <f>order[[#This Row],[selling_price]]-order[[#This Row],[cost_price]]*order[[#This Row],[quantity]]-order[[#This Row],[discount]]</f>
        <v>52173</v>
      </c>
      <c r="T1047" s="3">
        <f>order[[#This Row],[quantity]]*order[[#This Row],[selling_price]]</f>
        <v>184362</v>
      </c>
    </row>
    <row r="1048" spans="1:20" x14ac:dyDescent="0.3">
      <c r="A1048">
        <v>1016</v>
      </c>
      <c r="B1048" s="11">
        <v>45301</v>
      </c>
      <c r="C1048">
        <v>125</v>
      </c>
      <c r="D1048" t="str">
        <f>_xlfn.XLOOKUP(order[[#This Row],[customer_id]],customer[customer_id],customer[customer_name])</f>
        <v>Vikram Singh</v>
      </c>
      <c r="E1048">
        <v>208</v>
      </c>
      <c r="F1048">
        <v>4</v>
      </c>
      <c r="G1048">
        <v>3672</v>
      </c>
      <c r="H1048">
        <v>37</v>
      </c>
      <c r="I1048" t="s">
        <v>11</v>
      </c>
      <c r="J1048" t="s">
        <v>12</v>
      </c>
      <c r="K1048" t="str">
        <f>_xlfn.XLOOKUP(order[[#This Row],[customer_id]],customer[customer_id],customer[city])</f>
        <v>Chennai</v>
      </c>
      <c r="L1048" t="str">
        <f>_xlfn.XLOOKUP(order[[#This Row],[customer_id]],customer[customer_id],customer[state])</f>
        <v>Tamil Nadu</v>
      </c>
      <c r="M1048" t="str">
        <f>_xlfn.XLOOKUP(order[[#This Row],[product_id]],products!$A$2:$A$11,products!$B$2:$B$11)</f>
        <v>Adidas Ultraboost Shoes</v>
      </c>
      <c r="N1048" s="3" t="str">
        <f>_xlfn.XLOOKUP(order[[#This Row],[product_id]],products!$A$2:$A$11,products!$C$2:$C$11)</f>
        <v>Fashion</v>
      </c>
      <c r="O1048" s="3">
        <f>_xlfn.XLOOKUP(order[[#This Row],[product_id]],Table4[product_id],Table4[cost_price])</f>
        <v>9000</v>
      </c>
      <c r="P1048" s="11">
        <f>_xlfn.XLOOKUP(order[[#This Row],[order_id]],shipment[order_id],shipment[ship_date])</f>
        <v>45444</v>
      </c>
      <c r="Q1048" s="11">
        <f>_xlfn.XLOOKUP(order[[#This Row],[order_id]],shipment[order_id],shipment[delivery_date])</f>
        <v>45453</v>
      </c>
      <c r="R1048" s="3" t="str">
        <f>_xlfn.XLOOKUP(order[[#This Row],[order_id]],shipment[shipment_id],shipment[courier])</f>
        <v>Ekart</v>
      </c>
      <c r="S1048" s="3">
        <f>order[[#This Row],[selling_price]]-order[[#This Row],[cost_price]]*order[[#This Row],[quantity]]-order[[#This Row],[discount]]</f>
        <v>-32365</v>
      </c>
      <c r="T1048" s="3">
        <f>order[[#This Row],[quantity]]*order[[#This Row],[selling_price]]</f>
        <v>14688</v>
      </c>
    </row>
    <row r="1049" spans="1:20" x14ac:dyDescent="0.3">
      <c r="A1049">
        <v>1048</v>
      </c>
      <c r="B1049" s="11">
        <v>45302</v>
      </c>
      <c r="C1049">
        <v>164</v>
      </c>
      <c r="D1049" t="str">
        <f>_xlfn.XLOOKUP(order[[#This Row],[customer_id]],customer[customer_id],customer[customer_name])</f>
        <v>Pooja Nair</v>
      </c>
      <c r="E1049">
        <v>208</v>
      </c>
      <c r="F1049">
        <v>3</v>
      </c>
      <c r="G1049">
        <v>47835</v>
      </c>
      <c r="H1049">
        <v>2473</v>
      </c>
      <c r="I1049" t="s">
        <v>15</v>
      </c>
      <c r="J1049" t="s">
        <v>12</v>
      </c>
      <c r="K1049" t="str">
        <f>_xlfn.XLOOKUP(order[[#This Row],[customer_id]],customer[customer_id],customer[city])</f>
        <v>Ahmedabad</v>
      </c>
      <c r="L1049" t="str">
        <f>_xlfn.XLOOKUP(order[[#This Row],[customer_id]],customer[customer_id],customer[state])</f>
        <v>Gujarat</v>
      </c>
      <c r="M1049" t="str">
        <f>_xlfn.XLOOKUP(order[[#This Row],[product_id]],products!$A$2:$A$11,products!$B$2:$B$11)</f>
        <v>Adidas Ultraboost Shoes</v>
      </c>
      <c r="N1049" s="3" t="str">
        <f>_xlfn.XLOOKUP(order[[#This Row],[product_id]],products!$A$2:$A$11,products!$C$2:$C$11)</f>
        <v>Fashion</v>
      </c>
      <c r="O1049" s="3">
        <f>_xlfn.XLOOKUP(order[[#This Row],[product_id]],Table4[product_id],Table4[cost_price])</f>
        <v>9000</v>
      </c>
      <c r="P1049" s="11">
        <f>_xlfn.XLOOKUP(order[[#This Row],[order_id]],shipment[order_id],shipment[ship_date])</f>
        <v>45391</v>
      </c>
      <c r="Q1049" s="11">
        <f>_xlfn.XLOOKUP(order[[#This Row],[order_id]],shipment[order_id],shipment[delivery_date])</f>
        <v>45396</v>
      </c>
      <c r="R1049" s="3" t="str">
        <f>_xlfn.XLOOKUP(order[[#This Row],[order_id]],shipment[shipment_id],shipment[courier])</f>
        <v>DTDC</v>
      </c>
      <c r="S1049" s="3">
        <f>order[[#This Row],[selling_price]]-order[[#This Row],[cost_price]]*order[[#This Row],[quantity]]-order[[#This Row],[discount]]</f>
        <v>18362</v>
      </c>
      <c r="T1049" s="3">
        <f>order[[#This Row],[quantity]]*order[[#This Row],[selling_price]]</f>
        <v>143505</v>
      </c>
    </row>
    <row r="1050" spans="1:20" x14ac:dyDescent="0.3">
      <c r="A1050">
        <v>1049</v>
      </c>
      <c r="B1050" s="11">
        <v>45615</v>
      </c>
      <c r="C1050">
        <v>136</v>
      </c>
      <c r="D1050" t="str">
        <f>_xlfn.XLOOKUP(order[[#This Row],[customer_id]],customer[customer_id],customer[customer_name])</f>
        <v>Meera Joshi</v>
      </c>
      <c r="E1050">
        <v>208</v>
      </c>
      <c r="F1050">
        <v>1</v>
      </c>
      <c r="G1050">
        <v>24960</v>
      </c>
      <c r="H1050">
        <v>161</v>
      </c>
      <c r="I1050" t="s">
        <v>9</v>
      </c>
      <c r="J1050" t="s">
        <v>14</v>
      </c>
      <c r="K1050" t="str">
        <f>_xlfn.XLOOKUP(order[[#This Row],[customer_id]],customer[customer_id],customer[city])</f>
        <v>Hyderabad</v>
      </c>
      <c r="L1050" t="str">
        <f>_xlfn.XLOOKUP(order[[#This Row],[customer_id]],customer[customer_id],customer[state])</f>
        <v>Telangana</v>
      </c>
      <c r="M1050" t="str">
        <f>_xlfn.XLOOKUP(order[[#This Row],[product_id]],products!$A$2:$A$11,products!$B$2:$B$11)</f>
        <v>Adidas Ultraboost Shoes</v>
      </c>
      <c r="N1050" s="3" t="str">
        <f>_xlfn.XLOOKUP(order[[#This Row],[product_id]],products!$A$2:$A$11,products!$C$2:$C$11)</f>
        <v>Fashion</v>
      </c>
      <c r="O1050" s="3">
        <f>_xlfn.XLOOKUP(order[[#This Row],[product_id]],Table4[product_id],Table4[cost_price])</f>
        <v>9000</v>
      </c>
      <c r="P1050" s="11">
        <f>_xlfn.XLOOKUP(order[[#This Row],[order_id]],shipment[order_id],shipment[ship_date])</f>
        <v>45601</v>
      </c>
      <c r="Q1050" s="11">
        <f>_xlfn.XLOOKUP(order[[#This Row],[order_id]],shipment[order_id],shipment[delivery_date])</f>
        <v>45603</v>
      </c>
      <c r="R1050" s="3" t="str">
        <f>_xlfn.XLOOKUP(order[[#This Row],[order_id]],shipment[shipment_id],shipment[courier])</f>
        <v>BlueDart</v>
      </c>
      <c r="S1050" s="3">
        <f>order[[#This Row],[selling_price]]-order[[#This Row],[cost_price]]*order[[#This Row],[quantity]]-order[[#This Row],[discount]]</f>
        <v>15799</v>
      </c>
      <c r="T1050" s="3">
        <f>order[[#This Row],[quantity]]*order[[#This Row],[selling_price]]</f>
        <v>24960</v>
      </c>
    </row>
    <row r="1051" spans="1:20" x14ac:dyDescent="0.3">
      <c r="A1051">
        <v>1050</v>
      </c>
      <c r="B1051" s="11">
        <v>45443</v>
      </c>
      <c r="C1051">
        <v>180</v>
      </c>
      <c r="D1051" t="str">
        <f>_xlfn.XLOOKUP(order[[#This Row],[customer_id]],customer[customer_id],customer[customer_name])</f>
        <v>Siddharth Jain</v>
      </c>
      <c r="E1051">
        <v>208</v>
      </c>
      <c r="F1051">
        <v>1</v>
      </c>
      <c r="G1051">
        <v>47451</v>
      </c>
      <c r="H1051">
        <v>3604</v>
      </c>
      <c r="I1051" t="s">
        <v>11</v>
      </c>
      <c r="J1051" t="s">
        <v>14</v>
      </c>
      <c r="K1051" t="str">
        <f>_xlfn.XLOOKUP(order[[#This Row],[customer_id]],customer[customer_id],customer[city])</f>
        <v>Hyderabad</v>
      </c>
      <c r="L1051" t="str">
        <f>_xlfn.XLOOKUP(order[[#This Row],[customer_id]],customer[customer_id],customer[state])</f>
        <v>Telangana</v>
      </c>
      <c r="M1051" t="str">
        <f>_xlfn.XLOOKUP(order[[#This Row],[product_id]],products!$A$2:$A$11,products!$B$2:$B$11)</f>
        <v>Adidas Ultraboost Shoes</v>
      </c>
      <c r="N1051" s="3" t="str">
        <f>_xlfn.XLOOKUP(order[[#This Row],[product_id]],products!$A$2:$A$11,products!$C$2:$C$11)</f>
        <v>Fashion</v>
      </c>
      <c r="O1051" s="3">
        <f>_xlfn.XLOOKUP(order[[#This Row],[product_id]],Table4[product_id],Table4[cost_price])</f>
        <v>9000</v>
      </c>
      <c r="P1051" s="11">
        <f>_xlfn.XLOOKUP(order[[#This Row],[order_id]],shipment[order_id],shipment[ship_date])</f>
        <v>45578</v>
      </c>
      <c r="Q1051" s="11">
        <f>_xlfn.XLOOKUP(order[[#This Row],[order_id]],shipment[order_id],shipment[delivery_date])</f>
        <v>45581</v>
      </c>
      <c r="R1051" s="3" t="str">
        <f>_xlfn.XLOOKUP(order[[#This Row],[order_id]],shipment[shipment_id],shipment[courier])</f>
        <v>DTDC</v>
      </c>
      <c r="S1051" s="3">
        <f>order[[#This Row],[selling_price]]-order[[#This Row],[cost_price]]*order[[#This Row],[quantity]]-order[[#This Row],[discount]]</f>
        <v>34847</v>
      </c>
      <c r="T1051" s="3">
        <f>order[[#This Row],[quantity]]*order[[#This Row],[selling_price]]</f>
        <v>47451</v>
      </c>
    </row>
    <row r="1052" spans="1:20" x14ac:dyDescent="0.3">
      <c r="A1052">
        <v>221</v>
      </c>
      <c r="B1052" s="11">
        <v>45454</v>
      </c>
      <c r="C1052">
        <v>145</v>
      </c>
      <c r="D1052" t="str">
        <f>_xlfn.XLOOKUP(order[[#This Row],[customer_id]],customer[customer_id],customer[customer_name])</f>
        <v>Meera Joshi</v>
      </c>
      <c r="E1052">
        <v>206</v>
      </c>
      <c r="F1052">
        <v>4</v>
      </c>
      <c r="G1052">
        <v>31722</v>
      </c>
      <c r="H1052">
        <v>4739</v>
      </c>
      <c r="I1052" t="s">
        <v>15</v>
      </c>
      <c r="J1052" t="s">
        <v>10</v>
      </c>
      <c r="K1052" t="str">
        <f>_xlfn.XLOOKUP(order[[#This Row],[customer_id]],customer[customer_id],customer[city])</f>
        <v>Ahmedabad</v>
      </c>
      <c r="L1052" t="str">
        <f>_xlfn.XLOOKUP(order[[#This Row],[customer_id]],customer[customer_id],customer[state])</f>
        <v>Gujarat</v>
      </c>
      <c r="M1052" t="str">
        <f>_xlfn.XLOOKUP(order[[#This Row],[product_id]],products!$A$2:$A$11,products!$B$2:$B$11)</f>
        <v>Philips Air Fryer</v>
      </c>
      <c r="N1052" s="3" t="str">
        <f>_xlfn.XLOOKUP(order[[#This Row],[product_id]],products!$A$2:$A$11,products!$C$2:$C$11)</f>
        <v>Home &amp; Kitchen</v>
      </c>
      <c r="O1052" s="3">
        <f>_xlfn.XLOOKUP(order[[#This Row],[product_id]],Table4[product_id],Table4[cost_price])</f>
        <v>7000</v>
      </c>
      <c r="P1052" s="11">
        <f>_xlfn.XLOOKUP(order[[#This Row],[order_id]],shipment[order_id],shipment[ship_date])</f>
        <v>45563</v>
      </c>
      <c r="Q1052" s="11">
        <f>_xlfn.XLOOKUP(order[[#This Row],[order_id]],shipment[order_id],shipment[delivery_date])</f>
        <v>45570</v>
      </c>
      <c r="R1052" s="3" t="str">
        <f>_xlfn.XLOOKUP(order[[#This Row],[order_id]],shipment[shipment_id],shipment[courier])</f>
        <v>Delhivery</v>
      </c>
      <c r="S1052" s="3">
        <f>order[[#This Row],[selling_price]]-order[[#This Row],[cost_price]]*order[[#This Row],[quantity]]-order[[#This Row],[discount]]</f>
        <v>-1017</v>
      </c>
      <c r="T1052" s="3">
        <f>order[[#This Row],[quantity]]*order[[#This Row],[selling_price]]</f>
        <v>126888</v>
      </c>
    </row>
    <row r="1053" spans="1:20" x14ac:dyDescent="0.3">
      <c r="A1053">
        <v>1052</v>
      </c>
      <c r="B1053" s="11">
        <v>45577</v>
      </c>
      <c r="C1053">
        <v>115</v>
      </c>
      <c r="D1053" t="str">
        <f>_xlfn.XLOOKUP(order[[#This Row],[customer_id]],customer[customer_id],customer[customer_name])</f>
        <v>Siddharth Jain</v>
      </c>
      <c r="E1053">
        <v>203</v>
      </c>
      <c r="F1053">
        <v>3</v>
      </c>
      <c r="G1053">
        <v>52940</v>
      </c>
      <c r="H1053">
        <v>30</v>
      </c>
      <c r="I1053" t="s">
        <v>9</v>
      </c>
      <c r="J1053" t="s">
        <v>10</v>
      </c>
      <c r="K1053" t="str">
        <f>_xlfn.XLOOKUP(order[[#This Row],[customer_id]],customer[customer_id],customer[city])</f>
        <v>Delhi</v>
      </c>
      <c r="L1053" t="str">
        <f>_xlfn.XLOOKUP(order[[#This Row],[customer_id]],customer[customer_id],customer[state])</f>
        <v>Delhi</v>
      </c>
      <c r="M1053" t="str">
        <f>_xlfn.XLOOKUP(order[[#This Row],[product_id]],products!$A$2:$A$11,products!$B$2:$B$11)</f>
        <v>Nike Air Max Shoes</v>
      </c>
      <c r="N1053" s="3" t="str">
        <f>_xlfn.XLOOKUP(order[[#This Row],[product_id]],products!$A$2:$A$11,products!$C$2:$C$11)</f>
        <v>Fashion</v>
      </c>
      <c r="O1053" s="3">
        <f>_xlfn.XLOOKUP(order[[#This Row],[product_id]],Table4[product_id],Table4[cost_price])</f>
        <v>4000</v>
      </c>
      <c r="P1053" s="11">
        <f>_xlfn.XLOOKUP(order[[#This Row],[order_id]],shipment[order_id],shipment[ship_date])</f>
        <v>45496</v>
      </c>
      <c r="Q1053" s="11">
        <f>_xlfn.XLOOKUP(order[[#This Row],[order_id]],shipment[order_id],shipment[delivery_date])</f>
        <v>45497</v>
      </c>
      <c r="R1053" s="3" t="str">
        <f>_xlfn.XLOOKUP(order[[#This Row],[order_id]],shipment[shipment_id],shipment[courier])</f>
        <v>DTDC</v>
      </c>
      <c r="S1053" s="3">
        <f>order[[#This Row],[selling_price]]-order[[#This Row],[cost_price]]*order[[#This Row],[quantity]]-order[[#This Row],[discount]]</f>
        <v>40910</v>
      </c>
      <c r="T1053" s="3">
        <f>order[[#This Row],[quantity]]*order[[#This Row],[selling_price]]</f>
        <v>158820</v>
      </c>
    </row>
    <row r="1054" spans="1:20" x14ac:dyDescent="0.3">
      <c r="A1054">
        <v>452</v>
      </c>
      <c r="B1054" s="11">
        <v>45527</v>
      </c>
      <c r="C1054">
        <v>119</v>
      </c>
      <c r="D1054" t="str">
        <f>_xlfn.XLOOKUP(order[[#This Row],[customer_id]],customer[customer_id],customer[customer_name])</f>
        <v>Pooja Nair</v>
      </c>
      <c r="E1054">
        <v>206</v>
      </c>
      <c r="F1054">
        <v>3</v>
      </c>
      <c r="G1054">
        <v>5856</v>
      </c>
      <c r="H1054">
        <v>4738</v>
      </c>
      <c r="I1054" t="s">
        <v>9</v>
      </c>
      <c r="J1054" t="s">
        <v>12</v>
      </c>
      <c r="K1054" t="str">
        <f>_xlfn.XLOOKUP(order[[#This Row],[customer_id]],customer[customer_id],customer[city])</f>
        <v>Bangalore</v>
      </c>
      <c r="L1054" t="str">
        <f>_xlfn.XLOOKUP(order[[#This Row],[customer_id]],customer[customer_id],customer[state])</f>
        <v>Karnataka</v>
      </c>
      <c r="M1054" t="str">
        <f>_xlfn.XLOOKUP(order[[#This Row],[product_id]],products!$A$2:$A$11,products!$B$2:$B$11)</f>
        <v>Philips Air Fryer</v>
      </c>
      <c r="N1054" s="3" t="str">
        <f>_xlfn.XLOOKUP(order[[#This Row],[product_id]],products!$A$2:$A$11,products!$C$2:$C$11)</f>
        <v>Home &amp; Kitchen</v>
      </c>
      <c r="O1054" s="3">
        <f>_xlfn.XLOOKUP(order[[#This Row],[product_id]],Table4[product_id],Table4[cost_price])</f>
        <v>7000</v>
      </c>
      <c r="P1054" s="11">
        <f>_xlfn.XLOOKUP(order[[#This Row],[order_id]],shipment[order_id],shipment[ship_date])</f>
        <v>45584</v>
      </c>
      <c r="Q1054" s="11">
        <f>_xlfn.XLOOKUP(order[[#This Row],[order_id]],shipment[order_id],shipment[delivery_date])</f>
        <v>45592</v>
      </c>
      <c r="R1054" s="3" t="str">
        <f>_xlfn.XLOOKUP(order[[#This Row],[order_id]],shipment[shipment_id],shipment[courier])</f>
        <v>BlueDart</v>
      </c>
      <c r="S1054" s="3">
        <f>order[[#This Row],[selling_price]]-order[[#This Row],[cost_price]]*order[[#This Row],[quantity]]-order[[#This Row],[discount]]</f>
        <v>-19882</v>
      </c>
      <c r="T1054" s="3">
        <f>order[[#This Row],[quantity]]*order[[#This Row],[selling_price]]</f>
        <v>17568</v>
      </c>
    </row>
    <row r="1055" spans="1:20" x14ac:dyDescent="0.3">
      <c r="A1055">
        <v>1054</v>
      </c>
      <c r="B1055" s="11">
        <v>45540</v>
      </c>
      <c r="C1055">
        <v>297</v>
      </c>
      <c r="D1055" t="str">
        <f>_xlfn.XLOOKUP(order[[#This Row],[customer_id]],customer[customer_id],customer[customer_name])</f>
        <v>Meera Joshi</v>
      </c>
      <c r="E1055">
        <v>208</v>
      </c>
      <c r="F1055">
        <v>1</v>
      </c>
      <c r="G1055">
        <v>43555</v>
      </c>
      <c r="H1055">
        <v>2784</v>
      </c>
      <c r="I1055" t="s">
        <v>9</v>
      </c>
      <c r="J1055" t="s">
        <v>10</v>
      </c>
      <c r="K1055" t="str">
        <f>_xlfn.XLOOKUP(order[[#This Row],[customer_id]],customer[customer_id],customer[city])</f>
        <v>Bangalore</v>
      </c>
      <c r="L1055" t="str">
        <f>_xlfn.XLOOKUP(order[[#This Row],[customer_id]],customer[customer_id],customer[state])</f>
        <v>Karnataka</v>
      </c>
      <c r="M1055" t="str">
        <f>_xlfn.XLOOKUP(order[[#This Row],[product_id]],products!$A$2:$A$11,products!$B$2:$B$11)</f>
        <v>Adidas Ultraboost Shoes</v>
      </c>
      <c r="N1055" s="3" t="str">
        <f>_xlfn.XLOOKUP(order[[#This Row],[product_id]],products!$A$2:$A$11,products!$C$2:$C$11)</f>
        <v>Fashion</v>
      </c>
      <c r="O1055" s="3">
        <f>_xlfn.XLOOKUP(order[[#This Row],[product_id]],Table4[product_id],Table4[cost_price])</f>
        <v>9000</v>
      </c>
      <c r="P1055" s="11">
        <f>_xlfn.XLOOKUP(order[[#This Row],[order_id]],shipment[order_id],shipment[ship_date])</f>
        <v>45403</v>
      </c>
      <c r="Q1055" s="11">
        <f>_xlfn.XLOOKUP(order[[#This Row],[order_id]],shipment[order_id],shipment[delivery_date])</f>
        <v>45410</v>
      </c>
      <c r="R1055" s="3" t="str">
        <f>_xlfn.XLOOKUP(order[[#This Row],[order_id]],shipment[shipment_id],shipment[courier])</f>
        <v>Delhivery</v>
      </c>
      <c r="S1055" s="3">
        <f>order[[#This Row],[selling_price]]-order[[#This Row],[cost_price]]*order[[#This Row],[quantity]]-order[[#This Row],[discount]]</f>
        <v>31771</v>
      </c>
      <c r="T1055" s="3">
        <f>order[[#This Row],[quantity]]*order[[#This Row],[selling_price]]</f>
        <v>43555</v>
      </c>
    </row>
    <row r="1056" spans="1:20" x14ac:dyDescent="0.3">
      <c r="A1056">
        <v>397</v>
      </c>
      <c r="B1056" s="11">
        <v>45553</v>
      </c>
      <c r="C1056">
        <v>192</v>
      </c>
      <c r="D1056" t="str">
        <f>_xlfn.XLOOKUP(order[[#This Row],[customer_id]],customer[customer_id],customer[customer_name])</f>
        <v>Sneha Iyer</v>
      </c>
      <c r="E1056">
        <v>206</v>
      </c>
      <c r="F1056">
        <v>3</v>
      </c>
      <c r="G1056">
        <v>5450</v>
      </c>
      <c r="H1056">
        <v>4378</v>
      </c>
      <c r="I1056" t="s">
        <v>13</v>
      </c>
      <c r="J1056" t="s">
        <v>10</v>
      </c>
      <c r="K1056" t="str">
        <f>_xlfn.XLOOKUP(order[[#This Row],[customer_id]],customer[customer_id],customer[city])</f>
        <v>Delhi</v>
      </c>
      <c r="L1056" t="str">
        <f>_xlfn.XLOOKUP(order[[#This Row],[customer_id]],customer[customer_id],customer[state])</f>
        <v>Delhi</v>
      </c>
      <c r="M1056" t="str">
        <f>_xlfn.XLOOKUP(order[[#This Row],[product_id]],products!$A$2:$A$11,products!$B$2:$B$11)</f>
        <v>Philips Air Fryer</v>
      </c>
      <c r="N1056" s="3" t="str">
        <f>_xlfn.XLOOKUP(order[[#This Row],[product_id]],products!$A$2:$A$11,products!$C$2:$C$11)</f>
        <v>Home &amp; Kitchen</v>
      </c>
      <c r="O1056" s="3">
        <f>_xlfn.XLOOKUP(order[[#This Row],[product_id]],Table4[product_id],Table4[cost_price])</f>
        <v>7000</v>
      </c>
      <c r="P1056" s="11">
        <f>_xlfn.XLOOKUP(order[[#This Row],[order_id]],shipment[order_id],shipment[ship_date])</f>
        <v>45472</v>
      </c>
      <c r="Q1056" s="11">
        <f>_xlfn.XLOOKUP(order[[#This Row],[order_id]],shipment[order_id],shipment[delivery_date])</f>
        <v>45479</v>
      </c>
      <c r="R1056" s="3" t="str">
        <f>_xlfn.XLOOKUP(order[[#This Row],[order_id]],shipment[shipment_id],shipment[courier])</f>
        <v>BlueDart</v>
      </c>
      <c r="S1056" s="3">
        <f>order[[#This Row],[selling_price]]-order[[#This Row],[cost_price]]*order[[#This Row],[quantity]]-order[[#This Row],[discount]]</f>
        <v>-19928</v>
      </c>
      <c r="T1056" s="3">
        <f>order[[#This Row],[quantity]]*order[[#This Row],[selling_price]]</f>
        <v>16350</v>
      </c>
    </row>
    <row r="1057" spans="1:20" x14ac:dyDescent="0.3">
      <c r="A1057">
        <v>1056</v>
      </c>
      <c r="B1057" s="11">
        <v>45605</v>
      </c>
      <c r="C1057">
        <v>125</v>
      </c>
      <c r="D1057" t="str">
        <f>_xlfn.XLOOKUP(order[[#This Row],[customer_id]],customer[customer_id],customer[customer_name])</f>
        <v>Vikram Singh</v>
      </c>
      <c r="E1057">
        <v>205</v>
      </c>
      <c r="F1057">
        <v>3</v>
      </c>
      <c r="G1057">
        <v>37800</v>
      </c>
      <c r="H1057">
        <v>1495</v>
      </c>
      <c r="I1057" t="s">
        <v>15</v>
      </c>
      <c r="J1057" t="s">
        <v>12</v>
      </c>
      <c r="K1057" t="str">
        <f>_xlfn.XLOOKUP(order[[#This Row],[customer_id]],customer[customer_id],customer[city])</f>
        <v>Chennai</v>
      </c>
      <c r="L1057" t="str">
        <f>_xlfn.XLOOKUP(order[[#This Row],[customer_id]],customer[customer_id],customer[state])</f>
        <v>Tamil Nadu</v>
      </c>
      <c r="M1057" t="str">
        <f>_xlfn.XLOOKUP(order[[#This Row],[product_id]],products!$A$2:$A$11,products!$B$2:$B$11)</f>
        <v>Prestige Pressure Cooker 5L</v>
      </c>
      <c r="N1057" s="3" t="str">
        <f>_xlfn.XLOOKUP(order[[#This Row],[product_id]],products!$A$2:$A$11,products!$C$2:$C$11)</f>
        <v>Home &amp; Kitchen</v>
      </c>
      <c r="O1057" s="3">
        <f>_xlfn.XLOOKUP(order[[#This Row],[product_id]],Table4[product_id],Table4[cost_price])</f>
        <v>1200</v>
      </c>
      <c r="P1057" s="11">
        <f>_xlfn.XLOOKUP(order[[#This Row],[order_id]],shipment[order_id],shipment[ship_date])</f>
        <v>45652</v>
      </c>
      <c r="Q1057" s="11">
        <f>_xlfn.XLOOKUP(order[[#This Row],[order_id]],shipment[order_id],shipment[delivery_date])</f>
        <v>45655</v>
      </c>
      <c r="R1057" s="3" t="str">
        <f>_xlfn.XLOOKUP(order[[#This Row],[order_id]],shipment[shipment_id],shipment[courier])</f>
        <v>DTDC</v>
      </c>
      <c r="S1057" s="3">
        <f>order[[#This Row],[selling_price]]-order[[#This Row],[cost_price]]*order[[#This Row],[quantity]]-order[[#This Row],[discount]]</f>
        <v>32705</v>
      </c>
      <c r="T1057" s="3">
        <f>order[[#This Row],[quantity]]*order[[#This Row],[selling_price]]</f>
        <v>113400</v>
      </c>
    </row>
    <row r="1058" spans="1:20" x14ac:dyDescent="0.3">
      <c r="A1058">
        <v>864</v>
      </c>
      <c r="B1058" s="11">
        <v>45385</v>
      </c>
      <c r="C1058">
        <v>185</v>
      </c>
      <c r="D1058" t="str">
        <f>_xlfn.XLOOKUP(order[[#This Row],[customer_id]],customer[customer_id],customer[customer_name])</f>
        <v>Karan Patel</v>
      </c>
      <c r="E1058">
        <v>206</v>
      </c>
      <c r="F1058">
        <v>3</v>
      </c>
      <c r="G1058">
        <v>21512</v>
      </c>
      <c r="H1058">
        <v>4315</v>
      </c>
      <c r="I1058" t="s">
        <v>11</v>
      </c>
      <c r="J1058" t="s">
        <v>12</v>
      </c>
      <c r="K1058" t="str">
        <f>_xlfn.XLOOKUP(order[[#This Row],[customer_id]],customer[customer_id],customer[city])</f>
        <v>Pune</v>
      </c>
      <c r="L1058" t="str">
        <f>_xlfn.XLOOKUP(order[[#This Row],[customer_id]],customer[customer_id],customer[state])</f>
        <v>Maharashtra</v>
      </c>
      <c r="M1058" t="str">
        <f>_xlfn.XLOOKUP(order[[#This Row],[product_id]],products!$A$2:$A$11,products!$B$2:$B$11)</f>
        <v>Philips Air Fryer</v>
      </c>
      <c r="N1058" s="3" t="str">
        <f>_xlfn.XLOOKUP(order[[#This Row],[product_id]],products!$A$2:$A$11,products!$C$2:$C$11)</f>
        <v>Home &amp; Kitchen</v>
      </c>
      <c r="O1058" s="3">
        <f>_xlfn.XLOOKUP(order[[#This Row],[product_id]],Table4[product_id],Table4[cost_price])</f>
        <v>7000</v>
      </c>
      <c r="P1058" s="11">
        <f>_xlfn.XLOOKUP(order[[#This Row],[order_id]],shipment[order_id],shipment[ship_date])</f>
        <v>45584</v>
      </c>
      <c r="Q1058" s="11">
        <f>_xlfn.XLOOKUP(order[[#This Row],[order_id]],shipment[order_id],shipment[delivery_date])</f>
        <v>45585</v>
      </c>
      <c r="R1058" s="3" t="str">
        <f>_xlfn.XLOOKUP(order[[#This Row],[order_id]],shipment[shipment_id],shipment[courier])</f>
        <v>DTDC</v>
      </c>
      <c r="S1058" s="3">
        <f>order[[#This Row],[selling_price]]-order[[#This Row],[cost_price]]*order[[#This Row],[quantity]]-order[[#This Row],[discount]]</f>
        <v>-3803</v>
      </c>
      <c r="T1058" s="3">
        <f>order[[#This Row],[quantity]]*order[[#This Row],[selling_price]]</f>
        <v>64536</v>
      </c>
    </row>
    <row r="1059" spans="1:20" x14ac:dyDescent="0.3">
      <c r="A1059">
        <v>1067</v>
      </c>
      <c r="B1059" s="11">
        <v>45534</v>
      </c>
      <c r="C1059">
        <v>269</v>
      </c>
      <c r="D1059" t="str">
        <f>_xlfn.XLOOKUP(order[[#This Row],[customer_id]],customer[customer_id],customer[customer_name])</f>
        <v>Sneha Iyer</v>
      </c>
      <c r="E1059">
        <v>206</v>
      </c>
      <c r="F1059">
        <v>4</v>
      </c>
      <c r="G1059">
        <v>10072</v>
      </c>
      <c r="H1059">
        <v>4046</v>
      </c>
      <c r="I1059" t="s">
        <v>11</v>
      </c>
      <c r="J1059" t="s">
        <v>14</v>
      </c>
      <c r="K1059" t="str">
        <f>_xlfn.XLOOKUP(order[[#This Row],[customer_id]],customer[customer_id],customer[city])</f>
        <v>Pune</v>
      </c>
      <c r="L1059" t="str">
        <f>_xlfn.XLOOKUP(order[[#This Row],[customer_id]],customer[customer_id],customer[state])</f>
        <v>Maharashtra</v>
      </c>
      <c r="M1059" t="str">
        <f>_xlfn.XLOOKUP(order[[#This Row],[product_id]],products!$A$2:$A$11,products!$B$2:$B$11)</f>
        <v>Philips Air Fryer</v>
      </c>
      <c r="N1059" s="3" t="str">
        <f>_xlfn.XLOOKUP(order[[#This Row],[product_id]],products!$A$2:$A$11,products!$C$2:$C$11)</f>
        <v>Home &amp; Kitchen</v>
      </c>
      <c r="O1059" s="3">
        <f>_xlfn.XLOOKUP(order[[#This Row],[product_id]],Table4[product_id],Table4[cost_price])</f>
        <v>7000</v>
      </c>
      <c r="P1059" s="11">
        <f>_xlfn.XLOOKUP(order[[#This Row],[order_id]],shipment[order_id],shipment[ship_date])</f>
        <v>45397</v>
      </c>
      <c r="Q1059" s="11">
        <f>_xlfn.XLOOKUP(order[[#This Row],[order_id]],shipment[order_id],shipment[delivery_date])</f>
        <v>45406</v>
      </c>
      <c r="R1059" s="3" t="str">
        <f>_xlfn.XLOOKUP(order[[#This Row],[order_id]],shipment[shipment_id],shipment[courier])</f>
        <v>BlueDart</v>
      </c>
      <c r="S1059" s="3">
        <f>order[[#This Row],[selling_price]]-order[[#This Row],[cost_price]]*order[[#This Row],[quantity]]-order[[#This Row],[discount]]</f>
        <v>-21974</v>
      </c>
      <c r="T1059" s="3">
        <f>order[[#This Row],[quantity]]*order[[#This Row],[selling_price]]</f>
        <v>40288</v>
      </c>
    </row>
    <row r="1060" spans="1:20" x14ac:dyDescent="0.3">
      <c r="A1060">
        <v>923</v>
      </c>
      <c r="B1060" s="11">
        <v>45466</v>
      </c>
      <c r="C1060">
        <v>250</v>
      </c>
      <c r="D1060" t="str">
        <f>_xlfn.XLOOKUP(order[[#This Row],[customer_id]],customer[customer_id],customer[customer_name])</f>
        <v>Vikram Singh</v>
      </c>
      <c r="E1060">
        <v>206</v>
      </c>
      <c r="F1060">
        <v>4</v>
      </c>
      <c r="G1060">
        <v>20817</v>
      </c>
      <c r="H1060">
        <v>4000</v>
      </c>
      <c r="I1060" t="s">
        <v>13</v>
      </c>
      <c r="J1060" t="s">
        <v>14</v>
      </c>
      <c r="K1060" t="str">
        <f>_xlfn.XLOOKUP(order[[#This Row],[customer_id]],customer[customer_id],customer[city])</f>
        <v>Bangalore</v>
      </c>
      <c r="L1060" t="str">
        <f>_xlfn.XLOOKUP(order[[#This Row],[customer_id]],customer[customer_id],customer[state])</f>
        <v>Karnataka</v>
      </c>
      <c r="M1060" t="str">
        <f>_xlfn.XLOOKUP(order[[#This Row],[product_id]],products!$A$2:$A$11,products!$B$2:$B$11)</f>
        <v>Philips Air Fryer</v>
      </c>
      <c r="N1060" s="3" t="str">
        <f>_xlfn.XLOOKUP(order[[#This Row],[product_id]],products!$A$2:$A$11,products!$C$2:$C$11)</f>
        <v>Home &amp; Kitchen</v>
      </c>
      <c r="O1060" s="3">
        <f>_xlfn.XLOOKUP(order[[#This Row],[product_id]],Table4[product_id],Table4[cost_price])</f>
        <v>7000</v>
      </c>
      <c r="P1060" s="11">
        <f>_xlfn.XLOOKUP(order[[#This Row],[order_id]],shipment[order_id],shipment[ship_date])</f>
        <v>45320</v>
      </c>
      <c r="Q1060" s="11">
        <f>_xlfn.XLOOKUP(order[[#This Row],[order_id]],shipment[order_id],shipment[delivery_date])</f>
        <v>45328</v>
      </c>
      <c r="R1060" s="3" t="str">
        <f>_xlfn.XLOOKUP(order[[#This Row],[order_id]],shipment[shipment_id],shipment[courier])</f>
        <v>Delhivery</v>
      </c>
      <c r="S1060" s="3">
        <f>order[[#This Row],[selling_price]]-order[[#This Row],[cost_price]]*order[[#This Row],[quantity]]-order[[#This Row],[discount]]</f>
        <v>-11183</v>
      </c>
      <c r="T1060" s="3">
        <f>order[[#This Row],[quantity]]*order[[#This Row],[selling_price]]</f>
        <v>83268</v>
      </c>
    </row>
    <row r="1061" spans="1:20" x14ac:dyDescent="0.3">
      <c r="A1061">
        <v>246</v>
      </c>
      <c r="B1061" s="11">
        <v>45308</v>
      </c>
      <c r="C1061">
        <v>236</v>
      </c>
      <c r="D1061" t="str">
        <f>_xlfn.XLOOKUP(order[[#This Row],[customer_id]],customer[customer_id],customer[customer_name])</f>
        <v>Priya Reddy</v>
      </c>
      <c r="E1061">
        <v>206</v>
      </c>
      <c r="F1061">
        <v>4</v>
      </c>
      <c r="G1061">
        <v>8887</v>
      </c>
      <c r="H1061">
        <v>3945</v>
      </c>
      <c r="I1061" t="s">
        <v>13</v>
      </c>
      <c r="J1061" t="s">
        <v>14</v>
      </c>
      <c r="K1061" t="str">
        <f>_xlfn.XLOOKUP(order[[#This Row],[customer_id]],customer[customer_id],customer[city])</f>
        <v>Ahmedabad</v>
      </c>
      <c r="L1061" t="str">
        <f>_xlfn.XLOOKUP(order[[#This Row],[customer_id]],customer[customer_id],customer[state])</f>
        <v>Gujarat</v>
      </c>
      <c r="M1061" t="str">
        <f>_xlfn.XLOOKUP(order[[#This Row],[product_id]],products!$A$2:$A$11,products!$B$2:$B$11)</f>
        <v>Philips Air Fryer</v>
      </c>
      <c r="N1061" s="3" t="str">
        <f>_xlfn.XLOOKUP(order[[#This Row],[product_id]],products!$A$2:$A$11,products!$C$2:$C$11)</f>
        <v>Home &amp; Kitchen</v>
      </c>
      <c r="O1061" s="3">
        <f>_xlfn.XLOOKUP(order[[#This Row],[product_id]],Table4[product_id],Table4[cost_price])</f>
        <v>7000</v>
      </c>
      <c r="P1061" s="11">
        <f>_xlfn.XLOOKUP(order[[#This Row],[order_id]],shipment[order_id],shipment[ship_date])</f>
        <v>45406</v>
      </c>
      <c r="Q1061" s="11">
        <f>_xlfn.XLOOKUP(order[[#This Row],[order_id]],shipment[order_id],shipment[delivery_date])</f>
        <v>45407</v>
      </c>
      <c r="R1061" s="3" t="str">
        <f>_xlfn.XLOOKUP(order[[#This Row],[order_id]],shipment[shipment_id],shipment[courier])</f>
        <v>DTDC</v>
      </c>
      <c r="S1061" s="3">
        <f>order[[#This Row],[selling_price]]-order[[#This Row],[cost_price]]*order[[#This Row],[quantity]]-order[[#This Row],[discount]]</f>
        <v>-23058</v>
      </c>
      <c r="T1061" s="3">
        <f>order[[#This Row],[quantity]]*order[[#This Row],[selling_price]]</f>
        <v>35548</v>
      </c>
    </row>
    <row r="1062" spans="1:20" x14ac:dyDescent="0.3">
      <c r="A1062">
        <v>1061</v>
      </c>
      <c r="B1062" s="11">
        <v>45574</v>
      </c>
      <c r="C1062">
        <v>209</v>
      </c>
      <c r="D1062" t="str">
        <f>_xlfn.XLOOKUP(order[[#This Row],[customer_id]],customer[customer_id],customer[customer_name])</f>
        <v>Neha Kapoor</v>
      </c>
      <c r="E1062">
        <v>203</v>
      </c>
      <c r="F1062">
        <v>4</v>
      </c>
      <c r="G1062">
        <v>39968</v>
      </c>
      <c r="H1062">
        <v>3359</v>
      </c>
      <c r="I1062" t="s">
        <v>15</v>
      </c>
      <c r="J1062" t="s">
        <v>14</v>
      </c>
      <c r="K1062" t="str">
        <f>_xlfn.XLOOKUP(order[[#This Row],[customer_id]],customer[customer_id],customer[city])</f>
        <v>Mumbai</v>
      </c>
      <c r="L1062" t="str">
        <f>_xlfn.XLOOKUP(order[[#This Row],[customer_id]],customer[customer_id],customer[state])</f>
        <v>Maharashtra</v>
      </c>
      <c r="M1062" t="str">
        <f>_xlfn.XLOOKUP(order[[#This Row],[product_id]],products!$A$2:$A$11,products!$B$2:$B$11)</f>
        <v>Nike Air Max Shoes</v>
      </c>
      <c r="N1062" s="3" t="str">
        <f>_xlfn.XLOOKUP(order[[#This Row],[product_id]],products!$A$2:$A$11,products!$C$2:$C$11)</f>
        <v>Fashion</v>
      </c>
      <c r="O1062" s="3">
        <f>_xlfn.XLOOKUP(order[[#This Row],[product_id]],Table4[product_id],Table4[cost_price])</f>
        <v>4000</v>
      </c>
      <c r="P1062" s="11">
        <f>_xlfn.XLOOKUP(order[[#This Row],[order_id]],shipment[order_id],shipment[ship_date])</f>
        <v>45632</v>
      </c>
      <c r="Q1062" s="11">
        <f>_xlfn.XLOOKUP(order[[#This Row],[order_id]],shipment[order_id],shipment[delivery_date])</f>
        <v>45642</v>
      </c>
      <c r="R1062" s="3" t="str">
        <f>_xlfn.XLOOKUP(order[[#This Row],[order_id]],shipment[shipment_id],shipment[courier])</f>
        <v>Ekart</v>
      </c>
      <c r="S1062" s="3">
        <f>order[[#This Row],[selling_price]]-order[[#This Row],[cost_price]]*order[[#This Row],[quantity]]-order[[#This Row],[discount]]</f>
        <v>20609</v>
      </c>
      <c r="T1062" s="3">
        <f>order[[#This Row],[quantity]]*order[[#This Row],[selling_price]]</f>
        <v>159872</v>
      </c>
    </row>
    <row r="1063" spans="1:20" x14ac:dyDescent="0.3">
      <c r="A1063">
        <v>87</v>
      </c>
      <c r="B1063" s="11">
        <v>45421</v>
      </c>
      <c r="C1063">
        <v>139</v>
      </c>
      <c r="D1063" t="str">
        <f>_xlfn.XLOOKUP(order[[#This Row],[customer_id]],customer[customer_id],customer[customer_name])</f>
        <v>Neha Kapoor</v>
      </c>
      <c r="E1063">
        <v>206</v>
      </c>
      <c r="F1063">
        <v>3</v>
      </c>
      <c r="G1063">
        <v>5363</v>
      </c>
      <c r="H1063">
        <v>3851</v>
      </c>
      <c r="I1063" t="s">
        <v>15</v>
      </c>
      <c r="J1063" t="s">
        <v>14</v>
      </c>
      <c r="K1063" t="str">
        <f>_xlfn.XLOOKUP(order[[#This Row],[customer_id]],customer[customer_id],customer[city])</f>
        <v>Chennai</v>
      </c>
      <c r="L1063" t="str">
        <f>_xlfn.XLOOKUP(order[[#This Row],[customer_id]],customer[customer_id],customer[state])</f>
        <v>Tamil Nadu</v>
      </c>
      <c r="M1063" t="str">
        <f>_xlfn.XLOOKUP(order[[#This Row],[product_id]],products!$A$2:$A$11,products!$B$2:$B$11)</f>
        <v>Philips Air Fryer</v>
      </c>
      <c r="N1063" s="3" t="str">
        <f>_xlfn.XLOOKUP(order[[#This Row],[product_id]],products!$A$2:$A$11,products!$C$2:$C$11)</f>
        <v>Home &amp; Kitchen</v>
      </c>
      <c r="O1063" s="3">
        <f>_xlfn.XLOOKUP(order[[#This Row],[product_id]],Table4[product_id],Table4[cost_price])</f>
        <v>7000</v>
      </c>
      <c r="P1063" s="11">
        <f>_xlfn.XLOOKUP(order[[#This Row],[order_id]],shipment[order_id],shipment[ship_date])</f>
        <v>45423</v>
      </c>
      <c r="Q1063" s="11">
        <f>_xlfn.XLOOKUP(order[[#This Row],[order_id]],shipment[order_id],shipment[delivery_date])</f>
        <v>45430</v>
      </c>
      <c r="R1063" s="3" t="str">
        <f>_xlfn.XLOOKUP(order[[#This Row],[order_id]],shipment[shipment_id],shipment[courier])</f>
        <v>DTDC</v>
      </c>
      <c r="S1063" s="3">
        <f>order[[#This Row],[selling_price]]-order[[#This Row],[cost_price]]*order[[#This Row],[quantity]]-order[[#This Row],[discount]]</f>
        <v>-19488</v>
      </c>
      <c r="T1063" s="3">
        <f>order[[#This Row],[quantity]]*order[[#This Row],[selling_price]]</f>
        <v>16089</v>
      </c>
    </row>
    <row r="1064" spans="1:20" x14ac:dyDescent="0.3">
      <c r="A1064">
        <v>1063</v>
      </c>
      <c r="B1064" s="11">
        <v>45445</v>
      </c>
      <c r="C1064">
        <v>113</v>
      </c>
      <c r="D1064" t="str">
        <f>_xlfn.XLOOKUP(order[[#This Row],[customer_id]],customer[customer_id],customer[customer_name])</f>
        <v>Meera Joshi</v>
      </c>
      <c r="E1064">
        <v>204</v>
      </c>
      <c r="F1064">
        <v>3</v>
      </c>
      <c r="G1064">
        <v>14458</v>
      </c>
      <c r="H1064">
        <v>1564</v>
      </c>
      <c r="I1064" t="s">
        <v>9</v>
      </c>
      <c r="J1064" t="s">
        <v>12</v>
      </c>
      <c r="K1064" t="str">
        <f>_xlfn.XLOOKUP(order[[#This Row],[customer_id]],customer[customer_id],customer[city])</f>
        <v>Hyderabad</v>
      </c>
      <c r="L1064" t="str">
        <f>_xlfn.XLOOKUP(order[[#This Row],[customer_id]],customer[customer_id],customer[state])</f>
        <v>Telangana</v>
      </c>
      <c r="M1064" t="str">
        <f>_xlfn.XLOOKUP(order[[#This Row],[product_id]],products!$A$2:$A$11,products!$B$2:$B$11)</f>
        <v>Levi's Slim Fit Jeans</v>
      </c>
      <c r="N1064" s="3" t="str">
        <f>_xlfn.XLOOKUP(order[[#This Row],[product_id]],products!$A$2:$A$11,products!$C$2:$C$11)</f>
        <v>Fashion</v>
      </c>
      <c r="O1064" s="3">
        <f>_xlfn.XLOOKUP(order[[#This Row],[product_id]],Table4[product_id],Table4[cost_price])</f>
        <v>1800</v>
      </c>
      <c r="P1064" s="11">
        <f>_xlfn.XLOOKUP(order[[#This Row],[order_id]],shipment[order_id],shipment[ship_date])</f>
        <v>45634</v>
      </c>
      <c r="Q1064" s="11">
        <f>_xlfn.XLOOKUP(order[[#This Row],[order_id]],shipment[order_id],shipment[delivery_date])</f>
        <v>45640</v>
      </c>
      <c r="R1064" s="3" t="str">
        <f>_xlfn.XLOOKUP(order[[#This Row],[order_id]],shipment[shipment_id],shipment[courier])</f>
        <v>DTDC</v>
      </c>
      <c r="S1064" s="3">
        <f>order[[#This Row],[selling_price]]-order[[#This Row],[cost_price]]*order[[#This Row],[quantity]]-order[[#This Row],[discount]]</f>
        <v>7494</v>
      </c>
      <c r="T1064" s="3">
        <f>order[[#This Row],[quantity]]*order[[#This Row],[selling_price]]</f>
        <v>43374</v>
      </c>
    </row>
    <row r="1065" spans="1:20" x14ac:dyDescent="0.3">
      <c r="A1065">
        <v>1064</v>
      </c>
      <c r="B1065" s="11">
        <v>45641</v>
      </c>
      <c r="C1065">
        <v>297</v>
      </c>
      <c r="D1065" t="str">
        <f>_xlfn.XLOOKUP(order[[#This Row],[customer_id]],customer[customer_id],customer[customer_name])</f>
        <v>Meera Joshi</v>
      </c>
      <c r="E1065">
        <v>209</v>
      </c>
      <c r="F1065">
        <v>2</v>
      </c>
      <c r="G1065">
        <v>13497</v>
      </c>
      <c r="H1065">
        <v>4066</v>
      </c>
      <c r="I1065" t="s">
        <v>13</v>
      </c>
      <c r="J1065" t="s">
        <v>10</v>
      </c>
      <c r="K1065" t="str">
        <f>_xlfn.XLOOKUP(order[[#This Row],[customer_id]],customer[customer_id],customer[city])</f>
        <v>Bangalore</v>
      </c>
      <c r="L1065" t="str">
        <f>_xlfn.XLOOKUP(order[[#This Row],[customer_id]],customer[customer_id],customer[state])</f>
        <v>Karnataka</v>
      </c>
      <c r="M1065" t="str">
        <f>_xlfn.XLOOKUP(order[[#This Row],[product_id]],products!$A$2:$A$11,products!$B$2:$B$11)</f>
        <v>Milton Thermosteel Bottle</v>
      </c>
      <c r="N1065" s="3" t="str">
        <f>_xlfn.XLOOKUP(order[[#This Row],[product_id]],products!$A$2:$A$11,products!$C$2:$C$11)</f>
        <v>Home &amp; Kitchen</v>
      </c>
      <c r="O1065" s="3">
        <f>_xlfn.XLOOKUP(order[[#This Row],[product_id]],Table4[product_id],Table4[cost_price])</f>
        <v>800</v>
      </c>
      <c r="P1065" s="11">
        <f>_xlfn.XLOOKUP(order[[#This Row],[order_id]],shipment[order_id],shipment[ship_date])</f>
        <v>45456</v>
      </c>
      <c r="Q1065" s="11">
        <f>_xlfn.XLOOKUP(order[[#This Row],[order_id]],shipment[order_id],shipment[delivery_date])</f>
        <v>45460</v>
      </c>
      <c r="R1065" s="3" t="str">
        <f>_xlfn.XLOOKUP(order[[#This Row],[order_id]],shipment[shipment_id],shipment[courier])</f>
        <v>BlueDart</v>
      </c>
      <c r="S1065" s="3">
        <f>order[[#This Row],[selling_price]]-order[[#This Row],[cost_price]]*order[[#This Row],[quantity]]-order[[#This Row],[discount]]</f>
        <v>7831</v>
      </c>
      <c r="T1065" s="3">
        <f>order[[#This Row],[quantity]]*order[[#This Row],[selling_price]]</f>
        <v>26994</v>
      </c>
    </row>
    <row r="1066" spans="1:20" x14ac:dyDescent="0.3">
      <c r="A1066">
        <v>1065</v>
      </c>
      <c r="B1066" s="11">
        <v>45375</v>
      </c>
      <c r="C1066">
        <v>154</v>
      </c>
      <c r="D1066" t="str">
        <f>_xlfn.XLOOKUP(order[[#This Row],[customer_id]],customer[customer_id],customer[customer_name])</f>
        <v>Manish Yadav</v>
      </c>
      <c r="E1066">
        <v>204</v>
      </c>
      <c r="F1066">
        <v>1</v>
      </c>
      <c r="G1066">
        <v>13286</v>
      </c>
      <c r="H1066">
        <v>1159</v>
      </c>
      <c r="I1066" t="s">
        <v>11</v>
      </c>
      <c r="J1066" t="s">
        <v>14</v>
      </c>
      <c r="K1066" t="str">
        <f>_xlfn.XLOOKUP(order[[#This Row],[customer_id]],customer[customer_id],customer[city])</f>
        <v>Hyderabad</v>
      </c>
      <c r="L1066" t="str">
        <f>_xlfn.XLOOKUP(order[[#This Row],[customer_id]],customer[customer_id],customer[state])</f>
        <v>Telangana</v>
      </c>
      <c r="M1066" t="str">
        <f>_xlfn.XLOOKUP(order[[#This Row],[product_id]],products!$A$2:$A$11,products!$B$2:$B$11)</f>
        <v>Levi's Slim Fit Jeans</v>
      </c>
      <c r="N1066" s="3" t="str">
        <f>_xlfn.XLOOKUP(order[[#This Row],[product_id]],products!$A$2:$A$11,products!$C$2:$C$11)</f>
        <v>Fashion</v>
      </c>
      <c r="O1066" s="3">
        <f>_xlfn.XLOOKUP(order[[#This Row],[product_id]],Table4[product_id],Table4[cost_price])</f>
        <v>1800</v>
      </c>
      <c r="P1066" s="11">
        <f>_xlfn.XLOOKUP(order[[#This Row],[order_id]],shipment[order_id],shipment[ship_date])</f>
        <v>45455</v>
      </c>
      <c r="Q1066" s="11">
        <f>_xlfn.XLOOKUP(order[[#This Row],[order_id]],shipment[order_id],shipment[delivery_date])</f>
        <v>45464</v>
      </c>
      <c r="R1066" s="3" t="str">
        <f>_xlfn.XLOOKUP(order[[#This Row],[order_id]],shipment[shipment_id],shipment[courier])</f>
        <v>BlueDart</v>
      </c>
      <c r="S1066" s="3">
        <f>order[[#This Row],[selling_price]]-order[[#This Row],[cost_price]]*order[[#This Row],[quantity]]-order[[#This Row],[discount]]</f>
        <v>10327</v>
      </c>
      <c r="T1066" s="3">
        <f>order[[#This Row],[quantity]]*order[[#This Row],[selling_price]]</f>
        <v>13286</v>
      </c>
    </row>
    <row r="1067" spans="1:20" x14ac:dyDescent="0.3">
      <c r="A1067">
        <v>1066</v>
      </c>
      <c r="B1067" s="11">
        <v>45627</v>
      </c>
      <c r="C1067">
        <v>282</v>
      </c>
      <c r="D1067" t="str">
        <f>_xlfn.XLOOKUP(order[[#This Row],[customer_id]],customer[customer_id],customer[customer_name])</f>
        <v>Siddharth Jain</v>
      </c>
      <c r="E1067">
        <v>208</v>
      </c>
      <c r="F1067">
        <v>2</v>
      </c>
      <c r="G1067">
        <v>33625</v>
      </c>
      <c r="H1067">
        <v>4595</v>
      </c>
      <c r="I1067" t="s">
        <v>9</v>
      </c>
      <c r="J1067" t="s">
        <v>12</v>
      </c>
      <c r="K1067" t="str">
        <f>_xlfn.XLOOKUP(order[[#This Row],[customer_id]],customer[customer_id],customer[city])</f>
        <v>Delhi</v>
      </c>
      <c r="L1067" t="str">
        <f>_xlfn.XLOOKUP(order[[#This Row],[customer_id]],customer[customer_id],customer[state])</f>
        <v>Delhi</v>
      </c>
      <c r="M1067" t="str">
        <f>_xlfn.XLOOKUP(order[[#This Row],[product_id]],products!$A$2:$A$11,products!$B$2:$B$11)</f>
        <v>Adidas Ultraboost Shoes</v>
      </c>
      <c r="N1067" s="3" t="str">
        <f>_xlfn.XLOOKUP(order[[#This Row],[product_id]],products!$A$2:$A$11,products!$C$2:$C$11)</f>
        <v>Fashion</v>
      </c>
      <c r="O1067" s="3">
        <f>_xlfn.XLOOKUP(order[[#This Row],[product_id]],Table4[product_id],Table4[cost_price])</f>
        <v>9000</v>
      </c>
      <c r="P1067" s="11">
        <f>_xlfn.XLOOKUP(order[[#This Row],[order_id]],shipment[order_id],shipment[ship_date])</f>
        <v>45320</v>
      </c>
      <c r="Q1067" s="11">
        <f>_xlfn.XLOOKUP(order[[#This Row],[order_id]],shipment[order_id],shipment[delivery_date])</f>
        <v>45326</v>
      </c>
      <c r="R1067" s="3" t="str">
        <f>_xlfn.XLOOKUP(order[[#This Row],[order_id]],shipment[shipment_id],shipment[courier])</f>
        <v>BlueDart</v>
      </c>
      <c r="S1067" s="3">
        <f>order[[#This Row],[selling_price]]-order[[#This Row],[cost_price]]*order[[#This Row],[quantity]]-order[[#This Row],[discount]]</f>
        <v>11030</v>
      </c>
      <c r="T1067" s="3">
        <f>order[[#This Row],[quantity]]*order[[#This Row],[selling_price]]</f>
        <v>67250</v>
      </c>
    </row>
    <row r="1068" spans="1:20" x14ac:dyDescent="0.3">
      <c r="A1068">
        <v>480</v>
      </c>
      <c r="B1068" s="11">
        <v>45309</v>
      </c>
      <c r="C1068">
        <v>236</v>
      </c>
      <c r="D1068" t="str">
        <f>_xlfn.XLOOKUP(order[[#This Row],[customer_id]],customer[customer_id],customer[customer_name])</f>
        <v>Priya Reddy</v>
      </c>
      <c r="E1068">
        <v>206</v>
      </c>
      <c r="F1068">
        <v>4</v>
      </c>
      <c r="G1068">
        <v>23907</v>
      </c>
      <c r="H1068">
        <v>3807</v>
      </c>
      <c r="I1068" t="s">
        <v>15</v>
      </c>
      <c r="J1068" t="s">
        <v>14</v>
      </c>
      <c r="K1068" t="str">
        <f>_xlfn.XLOOKUP(order[[#This Row],[customer_id]],customer[customer_id],customer[city])</f>
        <v>Ahmedabad</v>
      </c>
      <c r="L1068" t="str">
        <f>_xlfn.XLOOKUP(order[[#This Row],[customer_id]],customer[customer_id],customer[state])</f>
        <v>Gujarat</v>
      </c>
      <c r="M1068" t="str">
        <f>_xlfn.XLOOKUP(order[[#This Row],[product_id]],products!$A$2:$A$11,products!$B$2:$B$11)</f>
        <v>Philips Air Fryer</v>
      </c>
      <c r="N1068" s="3" t="str">
        <f>_xlfn.XLOOKUP(order[[#This Row],[product_id]],products!$A$2:$A$11,products!$C$2:$C$11)</f>
        <v>Home &amp; Kitchen</v>
      </c>
      <c r="O1068" s="3">
        <f>_xlfn.XLOOKUP(order[[#This Row],[product_id]],Table4[product_id],Table4[cost_price])</f>
        <v>7000</v>
      </c>
      <c r="P1068" s="11">
        <f>_xlfn.XLOOKUP(order[[#This Row],[order_id]],shipment[order_id],shipment[ship_date])</f>
        <v>45547</v>
      </c>
      <c r="Q1068" s="11">
        <f>_xlfn.XLOOKUP(order[[#This Row],[order_id]],shipment[order_id],shipment[delivery_date])</f>
        <v>45550</v>
      </c>
      <c r="R1068" s="3" t="str">
        <f>_xlfn.XLOOKUP(order[[#This Row],[order_id]],shipment[shipment_id],shipment[courier])</f>
        <v>Delhivery</v>
      </c>
      <c r="S1068" s="3">
        <f>order[[#This Row],[selling_price]]-order[[#This Row],[cost_price]]*order[[#This Row],[quantity]]-order[[#This Row],[discount]]</f>
        <v>-7900</v>
      </c>
      <c r="T1068" s="3">
        <f>order[[#This Row],[quantity]]*order[[#This Row],[selling_price]]</f>
        <v>95628</v>
      </c>
    </row>
    <row r="1069" spans="1:20" x14ac:dyDescent="0.3">
      <c r="A1069">
        <v>1068</v>
      </c>
      <c r="B1069" s="11">
        <v>45347</v>
      </c>
      <c r="C1069">
        <v>123</v>
      </c>
      <c r="D1069" t="str">
        <f>_xlfn.XLOOKUP(order[[#This Row],[customer_id]],customer[customer_id],customer[customer_name])</f>
        <v>Ananya Gupta</v>
      </c>
      <c r="E1069">
        <v>208</v>
      </c>
      <c r="F1069">
        <v>2</v>
      </c>
      <c r="G1069">
        <v>55443</v>
      </c>
      <c r="H1069">
        <v>4623</v>
      </c>
      <c r="I1069" t="s">
        <v>9</v>
      </c>
      <c r="J1069" t="s">
        <v>14</v>
      </c>
      <c r="K1069" t="str">
        <f>_xlfn.XLOOKUP(order[[#This Row],[customer_id]],customer[customer_id],customer[city])</f>
        <v>Hyderabad</v>
      </c>
      <c r="L1069" t="str">
        <f>_xlfn.XLOOKUP(order[[#This Row],[customer_id]],customer[customer_id],customer[state])</f>
        <v>Telangana</v>
      </c>
      <c r="M1069" t="str">
        <f>_xlfn.XLOOKUP(order[[#This Row],[product_id]],products!$A$2:$A$11,products!$B$2:$B$11)</f>
        <v>Adidas Ultraboost Shoes</v>
      </c>
      <c r="N1069" s="3" t="str">
        <f>_xlfn.XLOOKUP(order[[#This Row],[product_id]],products!$A$2:$A$11,products!$C$2:$C$11)</f>
        <v>Fashion</v>
      </c>
      <c r="O1069" s="3">
        <f>_xlfn.XLOOKUP(order[[#This Row],[product_id]],Table4[product_id],Table4[cost_price])</f>
        <v>9000</v>
      </c>
      <c r="P1069" s="11">
        <f>_xlfn.XLOOKUP(order[[#This Row],[order_id]],shipment[order_id],shipment[ship_date])</f>
        <v>45469</v>
      </c>
      <c r="Q1069" s="11">
        <f>_xlfn.XLOOKUP(order[[#This Row],[order_id]],shipment[order_id],shipment[delivery_date])</f>
        <v>45471</v>
      </c>
      <c r="R1069" s="3" t="str">
        <f>_xlfn.XLOOKUP(order[[#This Row],[order_id]],shipment[shipment_id],shipment[courier])</f>
        <v>Delhivery</v>
      </c>
      <c r="S1069" s="3">
        <f>order[[#This Row],[selling_price]]-order[[#This Row],[cost_price]]*order[[#This Row],[quantity]]-order[[#This Row],[discount]]</f>
        <v>32820</v>
      </c>
      <c r="T1069" s="3">
        <f>order[[#This Row],[quantity]]*order[[#This Row],[selling_price]]</f>
        <v>110886</v>
      </c>
    </row>
    <row r="1070" spans="1:20" x14ac:dyDescent="0.3">
      <c r="A1070">
        <v>1069</v>
      </c>
      <c r="B1070" s="11">
        <v>45412</v>
      </c>
      <c r="C1070">
        <v>152</v>
      </c>
      <c r="D1070" t="str">
        <f>_xlfn.XLOOKUP(order[[#This Row],[customer_id]],customer[customer_id],customer[customer_name])</f>
        <v>Manish Yadav</v>
      </c>
      <c r="E1070">
        <v>208</v>
      </c>
      <c r="F1070">
        <v>3</v>
      </c>
      <c r="G1070">
        <v>55425</v>
      </c>
      <c r="H1070">
        <v>1477</v>
      </c>
      <c r="I1070" t="s">
        <v>9</v>
      </c>
      <c r="J1070" t="s">
        <v>14</v>
      </c>
      <c r="K1070" t="str">
        <f>_xlfn.XLOOKUP(order[[#This Row],[customer_id]],customer[customer_id],customer[city])</f>
        <v>Bangalore</v>
      </c>
      <c r="L1070" t="str">
        <f>_xlfn.XLOOKUP(order[[#This Row],[customer_id]],customer[customer_id],customer[state])</f>
        <v>Karnataka</v>
      </c>
      <c r="M1070" t="str">
        <f>_xlfn.XLOOKUP(order[[#This Row],[product_id]],products!$A$2:$A$11,products!$B$2:$B$11)</f>
        <v>Adidas Ultraboost Shoes</v>
      </c>
      <c r="N1070" s="3" t="str">
        <f>_xlfn.XLOOKUP(order[[#This Row],[product_id]],products!$A$2:$A$11,products!$C$2:$C$11)</f>
        <v>Fashion</v>
      </c>
      <c r="O1070" s="3">
        <f>_xlfn.XLOOKUP(order[[#This Row],[product_id]],Table4[product_id],Table4[cost_price])</f>
        <v>9000</v>
      </c>
      <c r="P1070" s="11">
        <f>_xlfn.XLOOKUP(order[[#This Row],[order_id]],shipment[order_id],shipment[ship_date])</f>
        <v>45450</v>
      </c>
      <c r="Q1070" s="11">
        <f>_xlfn.XLOOKUP(order[[#This Row],[order_id]],shipment[order_id],shipment[delivery_date])</f>
        <v>45454</v>
      </c>
      <c r="R1070" s="3" t="str">
        <f>_xlfn.XLOOKUP(order[[#This Row],[order_id]],shipment[shipment_id],shipment[courier])</f>
        <v>Delhivery</v>
      </c>
      <c r="S1070" s="3">
        <f>order[[#This Row],[selling_price]]-order[[#This Row],[cost_price]]*order[[#This Row],[quantity]]-order[[#This Row],[discount]]</f>
        <v>26948</v>
      </c>
      <c r="T1070" s="3">
        <f>order[[#This Row],[quantity]]*order[[#This Row],[selling_price]]</f>
        <v>166275</v>
      </c>
    </row>
    <row r="1071" spans="1:20" x14ac:dyDescent="0.3">
      <c r="A1071">
        <v>1070</v>
      </c>
      <c r="B1071" s="11">
        <v>45573</v>
      </c>
      <c r="C1071">
        <v>127</v>
      </c>
      <c r="D1071" t="str">
        <f>_xlfn.XLOOKUP(order[[#This Row],[customer_id]],customer[customer_id],customer[customer_name])</f>
        <v>Neha Kapoor</v>
      </c>
      <c r="E1071">
        <v>207</v>
      </c>
      <c r="F1071">
        <v>2</v>
      </c>
      <c r="G1071">
        <v>60113</v>
      </c>
      <c r="H1071">
        <v>889</v>
      </c>
      <c r="I1071" t="s">
        <v>13</v>
      </c>
      <c r="J1071" t="s">
        <v>12</v>
      </c>
      <c r="K1071" t="str">
        <f>_xlfn.XLOOKUP(order[[#This Row],[customer_id]],customer[customer_id],customer[city])</f>
        <v>Hyderabad</v>
      </c>
      <c r="L1071" t="str">
        <f>_xlfn.XLOOKUP(order[[#This Row],[customer_id]],customer[customer_id],customer[state])</f>
        <v>Telangana</v>
      </c>
      <c r="M1071" t="str">
        <f>_xlfn.XLOOKUP(order[[#This Row],[product_id]],products!$A$2:$A$11,products!$B$2:$B$11)</f>
        <v>Sony WH-1000XM4 Headphones</v>
      </c>
      <c r="N1071" s="3" t="str">
        <f>_xlfn.XLOOKUP(order[[#This Row],[product_id]],products!$A$2:$A$11,products!$C$2:$C$11)</f>
        <v>Electronics</v>
      </c>
      <c r="O1071" s="3">
        <f>_xlfn.XLOOKUP(order[[#This Row],[product_id]],Table4[product_id],Table4[cost_price])</f>
        <v>20000</v>
      </c>
      <c r="P1071" s="11">
        <f>_xlfn.XLOOKUP(order[[#This Row],[order_id]],shipment[order_id],shipment[ship_date])</f>
        <v>45346</v>
      </c>
      <c r="Q1071" s="11">
        <f>_xlfn.XLOOKUP(order[[#This Row],[order_id]],shipment[order_id],shipment[delivery_date])</f>
        <v>45352</v>
      </c>
      <c r="R1071" s="3" t="str">
        <f>_xlfn.XLOOKUP(order[[#This Row],[order_id]],shipment[shipment_id],shipment[courier])</f>
        <v>BlueDart</v>
      </c>
      <c r="S1071" s="3">
        <f>order[[#This Row],[selling_price]]-order[[#This Row],[cost_price]]*order[[#This Row],[quantity]]-order[[#This Row],[discount]]</f>
        <v>19224</v>
      </c>
      <c r="T1071" s="3">
        <f>order[[#This Row],[quantity]]*order[[#This Row],[selling_price]]</f>
        <v>120226</v>
      </c>
    </row>
    <row r="1072" spans="1:20" x14ac:dyDescent="0.3">
      <c r="A1072">
        <v>828</v>
      </c>
      <c r="B1072" s="11">
        <v>45458</v>
      </c>
      <c r="C1072">
        <v>234</v>
      </c>
      <c r="D1072" t="str">
        <f>_xlfn.XLOOKUP(order[[#This Row],[customer_id]],customer[customer_id],customer[customer_name])</f>
        <v>Karan Patel</v>
      </c>
      <c r="E1072">
        <v>206</v>
      </c>
      <c r="F1072">
        <v>4</v>
      </c>
      <c r="G1072">
        <v>20853</v>
      </c>
      <c r="H1072">
        <v>3460</v>
      </c>
      <c r="I1072" t="s">
        <v>13</v>
      </c>
      <c r="J1072" t="s">
        <v>10</v>
      </c>
      <c r="K1072" t="str">
        <f>_xlfn.XLOOKUP(order[[#This Row],[customer_id]],customer[customer_id],customer[city])</f>
        <v>Bangalore</v>
      </c>
      <c r="L1072" t="str">
        <f>_xlfn.XLOOKUP(order[[#This Row],[customer_id]],customer[customer_id],customer[state])</f>
        <v>Karnataka</v>
      </c>
      <c r="M1072" t="str">
        <f>_xlfn.XLOOKUP(order[[#This Row],[product_id]],products!$A$2:$A$11,products!$B$2:$B$11)</f>
        <v>Philips Air Fryer</v>
      </c>
      <c r="N1072" s="3" t="str">
        <f>_xlfn.XLOOKUP(order[[#This Row],[product_id]],products!$A$2:$A$11,products!$C$2:$C$11)</f>
        <v>Home &amp; Kitchen</v>
      </c>
      <c r="O1072" s="3">
        <f>_xlfn.XLOOKUP(order[[#This Row],[product_id]],Table4[product_id],Table4[cost_price])</f>
        <v>7000</v>
      </c>
      <c r="P1072" s="11">
        <f>_xlfn.XLOOKUP(order[[#This Row],[order_id]],shipment[order_id],shipment[ship_date])</f>
        <v>45327</v>
      </c>
      <c r="Q1072" s="11">
        <f>_xlfn.XLOOKUP(order[[#This Row],[order_id]],shipment[order_id],shipment[delivery_date])</f>
        <v>45333</v>
      </c>
      <c r="R1072" s="3" t="str">
        <f>_xlfn.XLOOKUP(order[[#This Row],[order_id]],shipment[shipment_id],shipment[courier])</f>
        <v>Ekart</v>
      </c>
      <c r="S1072" s="3">
        <f>order[[#This Row],[selling_price]]-order[[#This Row],[cost_price]]*order[[#This Row],[quantity]]-order[[#This Row],[discount]]</f>
        <v>-10607</v>
      </c>
      <c r="T1072" s="3">
        <f>order[[#This Row],[quantity]]*order[[#This Row],[selling_price]]</f>
        <v>83412</v>
      </c>
    </row>
    <row r="1073" spans="1:20" x14ac:dyDescent="0.3">
      <c r="A1073">
        <v>849</v>
      </c>
      <c r="B1073" s="11">
        <v>45440</v>
      </c>
      <c r="C1073">
        <v>197</v>
      </c>
      <c r="D1073" t="str">
        <f>_xlfn.XLOOKUP(order[[#This Row],[customer_id]],customer[customer_id],customer[customer_name])</f>
        <v>Neha Kapoor</v>
      </c>
      <c r="E1073">
        <v>206</v>
      </c>
      <c r="F1073">
        <v>4</v>
      </c>
      <c r="G1073">
        <v>24951</v>
      </c>
      <c r="H1073">
        <v>3438</v>
      </c>
      <c r="I1073" t="s">
        <v>11</v>
      </c>
      <c r="J1073" t="s">
        <v>14</v>
      </c>
      <c r="K1073" t="str">
        <f>_xlfn.XLOOKUP(order[[#This Row],[customer_id]],customer[customer_id],customer[city])</f>
        <v>Delhi</v>
      </c>
      <c r="L1073" t="str">
        <f>_xlfn.XLOOKUP(order[[#This Row],[customer_id]],customer[customer_id],customer[state])</f>
        <v>Delhi</v>
      </c>
      <c r="M1073" t="str">
        <f>_xlfn.XLOOKUP(order[[#This Row],[product_id]],products!$A$2:$A$11,products!$B$2:$B$11)</f>
        <v>Philips Air Fryer</v>
      </c>
      <c r="N1073" s="3" t="str">
        <f>_xlfn.XLOOKUP(order[[#This Row],[product_id]],products!$A$2:$A$11,products!$C$2:$C$11)</f>
        <v>Home &amp; Kitchen</v>
      </c>
      <c r="O1073" s="3">
        <f>_xlfn.XLOOKUP(order[[#This Row],[product_id]],Table4[product_id],Table4[cost_price])</f>
        <v>7000</v>
      </c>
      <c r="P1073" s="11">
        <f>_xlfn.XLOOKUP(order[[#This Row],[order_id]],shipment[order_id],shipment[ship_date])</f>
        <v>45487</v>
      </c>
      <c r="Q1073" s="11">
        <f>_xlfn.XLOOKUP(order[[#This Row],[order_id]],shipment[order_id],shipment[delivery_date])</f>
        <v>45490</v>
      </c>
      <c r="R1073" s="3" t="str">
        <f>_xlfn.XLOOKUP(order[[#This Row],[order_id]],shipment[shipment_id],shipment[courier])</f>
        <v>Delhivery</v>
      </c>
      <c r="S1073" s="3">
        <f>order[[#This Row],[selling_price]]-order[[#This Row],[cost_price]]*order[[#This Row],[quantity]]-order[[#This Row],[discount]]</f>
        <v>-6487</v>
      </c>
      <c r="T1073" s="3">
        <f>order[[#This Row],[quantity]]*order[[#This Row],[selling_price]]</f>
        <v>99804</v>
      </c>
    </row>
    <row r="1074" spans="1:20" x14ac:dyDescent="0.3">
      <c r="A1074">
        <v>1073</v>
      </c>
      <c r="B1074" s="11">
        <v>45384</v>
      </c>
      <c r="C1074">
        <v>289</v>
      </c>
      <c r="D1074" t="str">
        <f>_xlfn.XLOOKUP(order[[#This Row],[customer_id]],customer[customer_id],customer[customer_name])</f>
        <v>Ishita Bose</v>
      </c>
      <c r="E1074">
        <v>206</v>
      </c>
      <c r="F1074">
        <v>3</v>
      </c>
      <c r="G1074">
        <v>34837</v>
      </c>
      <c r="H1074">
        <v>4601</v>
      </c>
      <c r="I1074" t="s">
        <v>11</v>
      </c>
      <c r="J1074" t="s">
        <v>12</v>
      </c>
      <c r="K1074" t="str">
        <f>_xlfn.XLOOKUP(order[[#This Row],[customer_id]],customer[customer_id],customer[city])</f>
        <v>Pune</v>
      </c>
      <c r="L1074" t="str">
        <f>_xlfn.XLOOKUP(order[[#This Row],[customer_id]],customer[customer_id],customer[state])</f>
        <v>Maharashtra</v>
      </c>
      <c r="M1074" t="str">
        <f>_xlfn.XLOOKUP(order[[#This Row],[product_id]],products!$A$2:$A$11,products!$B$2:$B$11)</f>
        <v>Philips Air Fryer</v>
      </c>
      <c r="N1074" s="3" t="str">
        <f>_xlfn.XLOOKUP(order[[#This Row],[product_id]],products!$A$2:$A$11,products!$C$2:$C$11)</f>
        <v>Home &amp; Kitchen</v>
      </c>
      <c r="O1074" s="3">
        <f>_xlfn.XLOOKUP(order[[#This Row],[product_id]],Table4[product_id],Table4[cost_price])</f>
        <v>7000</v>
      </c>
      <c r="P1074" s="11">
        <f>_xlfn.XLOOKUP(order[[#This Row],[order_id]],shipment[order_id],shipment[ship_date])</f>
        <v>45540</v>
      </c>
      <c r="Q1074" s="11">
        <f>_xlfn.XLOOKUP(order[[#This Row],[order_id]],shipment[order_id],shipment[delivery_date])</f>
        <v>45543</v>
      </c>
      <c r="R1074" s="3" t="str">
        <f>_xlfn.XLOOKUP(order[[#This Row],[order_id]],shipment[shipment_id],shipment[courier])</f>
        <v>Delhivery</v>
      </c>
      <c r="S1074" s="3">
        <f>order[[#This Row],[selling_price]]-order[[#This Row],[cost_price]]*order[[#This Row],[quantity]]-order[[#This Row],[discount]]</f>
        <v>9236</v>
      </c>
      <c r="T1074" s="3">
        <f>order[[#This Row],[quantity]]*order[[#This Row],[selling_price]]</f>
        <v>104511</v>
      </c>
    </row>
    <row r="1075" spans="1:20" x14ac:dyDescent="0.3">
      <c r="A1075">
        <v>402</v>
      </c>
      <c r="B1075" s="11">
        <v>45465</v>
      </c>
      <c r="C1075">
        <v>170</v>
      </c>
      <c r="D1075" t="str">
        <f>_xlfn.XLOOKUP(order[[#This Row],[customer_id]],customer[customer_id],customer[customer_name])</f>
        <v>Siddharth Jain</v>
      </c>
      <c r="E1075">
        <v>206</v>
      </c>
      <c r="F1075">
        <v>2</v>
      </c>
      <c r="G1075">
        <v>12161</v>
      </c>
      <c r="H1075">
        <v>2641</v>
      </c>
      <c r="I1075" t="s">
        <v>11</v>
      </c>
      <c r="J1075" t="s">
        <v>14</v>
      </c>
      <c r="K1075" t="str">
        <f>_xlfn.XLOOKUP(order[[#This Row],[customer_id]],customer[customer_id],customer[city])</f>
        <v>Pune</v>
      </c>
      <c r="L1075" t="str">
        <f>_xlfn.XLOOKUP(order[[#This Row],[customer_id]],customer[customer_id],customer[state])</f>
        <v>Maharashtra</v>
      </c>
      <c r="M1075" t="str">
        <f>_xlfn.XLOOKUP(order[[#This Row],[product_id]],products!$A$2:$A$11,products!$B$2:$B$11)</f>
        <v>Philips Air Fryer</v>
      </c>
      <c r="N1075" s="3" t="str">
        <f>_xlfn.XLOOKUP(order[[#This Row],[product_id]],products!$A$2:$A$11,products!$C$2:$C$11)</f>
        <v>Home &amp; Kitchen</v>
      </c>
      <c r="O1075" s="3">
        <f>_xlfn.XLOOKUP(order[[#This Row],[product_id]],Table4[product_id],Table4[cost_price])</f>
        <v>7000</v>
      </c>
      <c r="P1075" s="11">
        <f>_xlfn.XLOOKUP(order[[#This Row],[order_id]],shipment[order_id],shipment[ship_date])</f>
        <v>45412</v>
      </c>
      <c r="Q1075" s="11">
        <f>_xlfn.XLOOKUP(order[[#This Row],[order_id]],shipment[order_id],shipment[delivery_date])</f>
        <v>45422</v>
      </c>
      <c r="R1075" s="3" t="str">
        <f>_xlfn.XLOOKUP(order[[#This Row],[order_id]],shipment[shipment_id],shipment[courier])</f>
        <v>BlueDart</v>
      </c>
      <c r="S1075" s="3">
        <f>order[[#This Row],[selling_price]]-order[[#This Row],[cost_price]]*order[[#This Row],[quantity]]-order[[#This Row],[discount]]</f>
        <v>-4480</v>
      </c>
      <c r="T1075" s="3">
        <f>order[[#This Row],[quantity]]*order[[#This Row],[selling_price]]</f>
        <v>24322</v>
      </c>
    </row>
    <row r="1076" spans="1:20" x14ac:dyDescent="0.3">
      <c r="A1076">
        <v>1075</v>
      </c>
      <c r="B1076" s="11">
        <v>45567</v>
      </c>
      <c r="C1076">
        <v>252</v>
      </c>
      <c r="D1076" t="str">
        <f>_xlfn.XLOOKUP(order[[#This Row],[customer_id]],customer[customer_id],customer[customer_name])</f>
        <v>Ananya Gupta</v>
      </c>
      <c r="E1076">
        <v>205</v>
      </c>
      <c r="F1076">
        <v>1</v>
      </c>
      <c r="G1076">
        <v>54198</v>
      </c>
      <c r="H1076">
        <v>2814</v>
      </c>
      <c r="I1076" t="s">
        <v>9</v>
      </c>
      <c r="J1076" t="s">
        <v>10</v>
      </c>
      <c r="K1076" t="str">
        <f>_xlfn.XLOOKUP(order[[#This Row],[customer_id]],customer[customer_id],customer[city])</f>
        <v>Pune</v>
      </c>
      <c r="L1076" t="str">
        <f>_xlfn.XLOOKUP(order[[#This Row],[customer_id]],customer[customer_id],customer[state])</f>
        <v>Maharashtra</v>
      </c>
      <c r="M1076" t="str">
        <f>_xlfn.XLOOKUP(order[[#This Row],[product_id]],products!$A$2:$A$11,products!$B$2:$B$11)</f>
        <v>Prestige Pressure Cooker 5L</v>
      </c>
      <c r="N1076" s="3" t="str">
        <f>_xlfn.XLOOKUP(order[[#This Row],[product_id]],products!$A$2:$A$11,products!$C$2:$C$11)</f>
        <v>Home &amp; Kitchen</v>
      </c>
      <c r="O1076" s="3">
        <f>_xlfn.XLOOKUP(order[[#This Row],[product_id]],Table4[product_id],Table4[cost_price])</f>
        <v>1200</v>
      </c>
      <c r="P1076" s="11">
        <f>_xlfn.XLOOKUP(order[[#This Row],[order_id]],shipment[order_id],shipment[ship_date])</f>
        <v>45434</v>
      </c>
      <c r="Q1076" s="11">
        <f>_xlfn.XLOOKUP(order[[#This Row],[order_id]],shipment[order_id],shipment[delivery_date])</f>
        <v>45439</v>
      </c>
      <c r="R1076" s="3" t="str">
        <f>_xlfn.XLOOKUP(order[[#This Row],[order_id]],shipment[shipment_id],shipment[courier])</f>
        <v>DTDC</v>
      </c>
      <c r="S1076" s="3">
        <f>order[[#This Row],[selling_price]]-order[[#This Row],[cost_price]]*order[[#This Row],[quantity]]-order[[#This Row],[discount]]</f>
        <v>50184</v>
      </c>
      <c r="T1076" s="3">
        <f>order[[#This Row],[quantity]]*order[[#This Row],[selling_price]]</f>
        <v>54198</v>
      </c>
    </row>
    <row r="1077" spans="1:20" x14ac:dyDescent="0.3">
      <c r="A1077">
        <v>472</v>
      </c>
      <c r="B1077" s="11">
        <v>45475</v>
      </c>
      <c r="C1077">
        <v>109</v>
      </c>
      <c r="D1077" t="str">
        <f>_xlfn.XLOOKUP(order[[#This Row],[customer_id]],customer[customer_id],customer[customer_name])</f>
        <v>Sneha Iyer</v>
      </c>
      <c r="E1077">
        <v>206</v>
      </c>
      <c r="F1077">
        <v>4</v>
      </c>
      <c r="G1077">
        <v>29062</v>
      </c>
      <c r="H1077">
        <v>2601</v>
      </c>
      <c r="I1077" t="s">
        <v>15</v>
      </c>
      <c r="J1077" t="s">
        <v>12</v>
      </c>
      <c r="K1077" t="str">
        <f>_xlfn.XLOOKUP(order[[#This Row],[customer_id]],customer[customer_id],customer[city])</f>
        <v>Hyderabad</v>
      </c>
      <c r="L1077" t="str">
        <f>_xlfn.XLOOKUP(order[[#This Row],[customer_id]],customer[customer_id],customer[state])</f>
        <v>Telangana</v>
      </c>
      <c r="M1077" t="str">
        <f>_xlfn.XLOOKUP(order[[#This Row],[product_id]],products!$A$2:$A$11,products!$B$2:$B$11)</f>
        <v>Philips Air Fryer</v>
      </c>
      <c r="N1077" s="3" t="str">
        <f>_xlfn.XLOOKUP(order[[#This Row],[product_id]],products!$A$2:$A$11,products!$C$2:$C$11)</f>
        <v>Home &amp; Kitchen</v>
      </c>
      <c r="O1077" s="3">
        <f>_xlfn.XLOOKUP(order[[#This Row],[product_id]],Table4[product_id],Table4[cost_price])</f>
        <v>7000</v>
      </c>
      <c r="P1077" s="11">
        <f>_xlfn.XLOOKUP(order[[#This Row],[order_id]],shipment[order_id],shipment[ship_date])</f>
        <v>45575</v>
      </c>
      <c r="Q1077" s="11">
        <f>_xlfn.XLOOKUP(order[[#This Row],[order_id]],shipment[order_id],shipment[delivery_date])</f>
        <v>45582</v>
      </c>
      <c r="R1077" s="3" t="str">
        <f>_xlfn.XLOOKUP(order[[#This Row],[order_id]],shipment[shipment_id],shipment[courier])</f>
        <v>Delhivery</v>
      </c>
      <c r="S1077" s="3">
        <f>order[[#This Row],[selling_price]]-order[[#This Row],[cost_price]]*order[[#This Row],[quantity]]-order[[#This Row],[discount]]</f>
        <v>-1539</v>
      </c>
      <c r="T1077" s="3">
        <f>order[[#This Row],[quantity]]*order[[#This Row],[selling_price]]</f>
        <v>116248</v>
      </c>
    </row>
    <row r="1078" spans="1:20" x14ac:dyDescent="0.3">
      <c r="A1078">
        <v>253</v>
      </c>
      <c r="B1078" s="11">
        <v>45568</v>
      </c>
      <c r="C1078">
        <v>243</v>
      </c>
      <c r="D1078" t="str">
        <f>_xlfn.XLOOKUP(order[[#This Row],[customer_id]],customer[customer_id],customer[customer_name])</f>
        <v>Ananya Gupta</v>
      </c>
      <c r="E1078">
        <v>206</v>
      </c>
      <c r="F1078">
        <v>1</v>
      </c>
      <c r="G1078">
        <v>4678</v>
      </c>
      <c r="H1078">
        <v>2067</v>
      </c>
      <c r="I1078" t="s">
        <v>11</v>
      </c>
      <c r="J1078" t="s">
        <v>14</v>
      </c>
      <c r="K1078" t="str">
        <f>_xlfn.XLOOKUP(order[[#This Row],[customer_id]],customer[customer_id],customer[city])</f>
        <v>Ahmedabad</v>
      </c>
      <c r="L1078" t="str">
        <f>_xlfn.XLOOKUP(order[[#This Row],[customer_id]],customer[customer_id],customer[state])</f>
        <v>Gujarat</v>
      </c>
      <c r="M1078" t="str">
        <f>_xlfn.XLOOKUP(order[[#This Row],[product_id]],products!$A$2:$A$11,products!$B$2:$B$11)</f>
        <v>Philips Air Fryer</v>
      </c>
      <c r="N1078" s="3" t="str">
        <f>_xlfn.XLOOKUP(order[[#This Row],[product_id]],products!$A$2:$A$11,products!$C$2:$C$11)</f>
        <v>Home &amp; Kitchen</v>
      </c>
      <c r="O1078" s="3">
        <f>_xlfn.XLOOKUP(order[[#This Row],[product_id]],Table4[product_id],Table4[cost_price])</f>
        <v>7000</v>
      </c>
      <c r="P1078" s="11">
        <f>_xlfn.XLOOKUP(order[[#This Row],[order_id]],shipment[order_id],shipment[ship_date])</f>
        <v>45394</v>
      </c>
      <c r="Q1078" s="11">
        <f>_xlfn.XLOOKUP(order[[#This Row],[order_id]],shipment[order_id],shipment[delivery_date])</f>
        <v>45397</v>
      </c>
      <c r="R1078" s="3" t="str">
        <f>_xlfn.XLOOKUP(order[[#This Row],[order_id]],shipment[shipment_id],shipment[courier])</f>
        <v>DTDC</v>
      </c>
      <c r="S1078" s="3">
        <f>order[[#This Row],[selling_price]]-order[[#This Row],[cost_price]]*order[[#This Row],[quantity]]-order[[#This Row],[discount]]</f>
        <v>-4389</v>
      </c>
      <c r="T1078" s="3">
        <f>order[[#This Row],[quantity]]*order[[#This Row],[selling_price]]</f>
        <v>4678</v>
      </c>
    </row>
    <row r="1079" spans="1:20" x14ac:dyDescent="0.3">
      <c r="A1079">
        <v>1078</v>
      </c>
      <c r="B1079" s="11">
        <v>45451</v>
      </c>
      <c r="C1079">
        <v>139</v>
      </c>
      <c r="D1079" t="str">
        <f>_xlfn.XLOOKUP(order[[#This Row],[customer_id]],customer[customer_id],customer[customer_name])</f>
        <v>Neha Kapoor</v>
      </c>
      <c r="E1079">
        <v>203</v>
      </c>
      <c r="F1079">
        <v>4</v>
      </c>
      <c r="G1079">
        <v>23266</v>
      </c>
      <c r="H1079">
        <v>879</v>
      </c>
      <c r="I1079" t="s">
        <v>11</v>
      </c>
      <c r="J1079" t="s">
        <v>14</v>
      </c>
      <c r="K1079" t="str">
        <f>_xlfn.XLOOKUP(order[[#This Row],[customer_id]],customer[customer_id],customer[city])</f>
        <v>Chennai</v>
      </c>
      <c r="L1079" t="str">
        <f>_xlfn.XLOOKUP(order[[#This Row],[customer_id]],customer[customer_id],customer[state])</f>
        <v>Tamil Nadu</v>
      </c>
      <c r="M1079" t="str">
        <f>_xlfn.XLOOKUP(order[[#This Row],[product_id]],products!$A$2:$A$11,products!$B$2:$B$11)</f>
        <v>Nike Air Max Shoes</v>
      </c>
      <c r="N1079" s="3" t="str">
        <f>_xlfn.XLOOKUP(order[[#This Row],[product_id]],products!$A$2:$A$11,products!$C$2:$C$11)</f>
        <v>Fashion</v>
      </c>
      <c r="O1079" s="3">
        <f>_xlfn.XLOOKUP(order[[#This Row],[product_id]],Table4[product_id],Table4[cost_price])</f>
        <v>4000</v>
      </c>
      <c r="P1079" s="11">
        <f>_xlfn.XLOOKUP(order[[#This Row],[order_id]],shipment[order_id],shipment[ship_date])</f>
        <v>45387</v>
      </c>
      <c r="Q1079" s="11">
        <f>_xlfn.XLOOKUP(order[[#This Row],[order_id]],shipment[order_id],shipment[delivery_date])</f>
        <v>45389</v>
      </c>
      <c r="R1079" s="3" t="str">
        <f>_xlfn.XLOOKUP(order[[#This Row],[order_id]],shipment[shipment_id],shipment[courier])</f>
        <v>Ekart</v>
      </c>
      <c r="S1079" s="3">
        <f>order[[#This Row],[selling_price]]-order[[#This Row],[cost_price]]*order[[#This Row],[quantity]]-order[[#This Row],[discount]]</f>
        <v>6387</v>
      </c>
      <c r="T1079" s="3">
        <f>order[[#This Row],[quantity]]*order[[#This Row],[selling_price]]</f>
        <v>93064</v>
      </c>
    </row>
    <row r="1080" spans="1:20" x14ac:dyDescent="0.3">
      <c r="A1080">
        <v>1079</v>
      </c>
      <c r="B1080" s="11">
        <v>45525</v>
      </c>
      <c r="C1080">
        <v>169</v>
      </c>
      <c r="D1080" t="str">
        <f>_xlfn.XLOOKUP(order[[#This Row],[customer_id]],customer[customer_id],customer[customer_name])</f>
        <v>Vikram Singh</v>
      </c>
      <c r="E1080">
        <v>205</v>
      </c>
      <c r="F1080">
        <v>1</v>
      </c>
      <c r="G1080">
        <v>19411</v>
      </c>
      <c r="H1080">
        <v>2936</v>
      </c>
      <c r="I1080" t="s">
        <v>13</v>
      </c>
      <c r="J1080" t="s">
        <v>12</v>
      </c>
      <c r="K1080" t="str">
        <f>_xlfn.XLOOKUP(order[[#This Row],[customer_id]],customer[customer_id],customer[city])</f>
        <v>Ahmedabad</v>
      </c>
      <c r="L1080" t="str">
        <f>_xlfn.XLOOKUP(order[[#This Row],[customer_id]],customer[customer_id],customer[state])</f>
        <v>Gujarat</v>
      </c>
      <c r="M1080" t="str">
        <f>_xlfn.XLOOKUP(order[[#This Row],[product_id]],products!$A$2:$A$11,products!$B$2:$B$11)</f>
        <v>Prestige Pressure Cooker 5L</v>
      </c>
      <c r="N1080" s="3" t="str">
        <f>_xlfn.XLOOKUP(order[[#This Row],[product_id]],products!$A$2:$A$11,products!$C$2:$C$11)</f>
        <v>Home &amp; Kitchen</v>
      </c>
      <c r="O1080" s="3">
        <f>_xlfn.XLOOKUP(order[[#This Row],[product_id]],Table4[product_id],Table4[cost_price])</f>
        <v>1200</v>
      </c>
      <c r="P1080" s="11">
        <f>_xlfn.XLOOKUP(order[[#This Row],[order_id]],shipment[order_id],shipment[ship_date])</f>
        <v>45424</v>
      </c>
      <c r="Q1080" s="11">
        <f>_xlfn.XLOOKUP(order[[#This Row],[order_id]],shipment[order_id],shipment[delivery_date])</f>
        <v>45428</v>
      </c>
      <c r="R1080" s="3" t="str">
        <f>_xlfn.XLOOKUP(order[[#This Row],[order_id]],shipment[shipment_id],shipment[courier])</f>
        <v>BlueDart</v>
      </c>
      <c r="S1080" s="3">
        <f>order[[#This Row],[selling_price]]-order[[#This Row],[cost_price]]*order[[#This Row],[quantity]]-order[[#This Row],[discount]]</f>
        <v>15275</v>
      </c>
      <c r="T1080" s="3">
        <f>order[[#This Row],[quantity]]*order[[#This Row],[selling_price]]</f>
        <v>19411</v>
      </c>
    </row>
    <row r="1081" spans="1:20" x14ac:dyDescent="0.3">
      <c r="A1081">
        <v>508</v>
      </c>
      <c r="B1081" s="11">
        <v>45389</v>
      </c>
      <c r="C1081">
        <v>163</v>
      </c>
      <c r="D1081" t="str">
        <f>_xlfn.XLOOKUP(order[[#This Row],[customer_id]],customer[customer_id],customer[customer_name])</f>
        <v>Ananya Gupta</v>
      </c>
      <c r="E1081">
        <v>206</v>
      </c>
      <c r="F1081">
        <v>3</v>
      </c>
      <c r="G1081">
        <v>7064</v>
      </c>
      <c r="H1081">
        <v>1788</v>
      </c>
      <c r="I1081" t="s">
        <v>11</v>
      </c>
      <c r="J1081" t="s">
        <v>10</v>
      </c>
      <c r="K1081" t="str">
        <f>_xlfn.XLOOKUP(order[[#This Row],[customer_id]],customer[customer_id],customer[city])</f>
        <v>Chennai</v>
      </c>
      <c r="L1081" t="str">
        <f>_xlfn.XLOOKUP(order[[#This Row],[customer_id]],customer[customer_id],customer[state])</f>
        <v>Tamil Nadu</v>
      </c>
      <c r="M1081" t="str">
        <f>_xlfn.XLOOKUP(order[[#This Row],[product_id]],products!$A$2:$A$11,products!$B$2:$B$11)</f>
        <v>Philips Air Fryer</v>
      </c>
      <c r="N1081" s="3" t="str">
        <f>_xlfn.XLOOKUP(order[[#This Row],[product_id]],products!$A$2:$A$11,products!$C$2:$C$11)</f>
        <v>Home &amp; Kitchen</v>
      </c>
      <c r="O1081" s="3">
        <f>_xlfn.XLOOKUP(order[[#This Row],[product_id]],Table4[product_id],Table4[cost_price])</f>
        <v>7000</v>
      </c>
      <c r="P1081" s="11">
        <f>_xlfn.XLOOKUP(order[[#This Row],[order_id]],shipment[order_id],shipment[ship_date])</f>
        <v>45564</v>
      </c>
      <c r="Q1081" s="11">
        <f>_xlfn.XLOOKUP(order[[#This Row],[order_id]],shipment[order_id],shipment[delivery_date])</f>
        <v>45569</v>
      </c>
      <c r="R1081" s="3" t="str">
        <f>_xlfn.XLOOKUP(order[[#This Row],[order_id]],shipment[shipment_id],shipment[courier])</f>
        <v>Delhivery</v>
      </c>
      <c r="S1081" s="3">
        <f>order[[#This Row],[selling_price]]-order[[#This Row],[cost_price]]*order[[#This Row],[quantity]]-order[[#This Row],[discount]]</f>
        <v>-15724</v>
      </c>
      <c r="T1081" s="3">
        <f>order[[#This Row],[quantity]]*order[[#This Row],[selling_price]]</f>
        <v>21192</v>
      </c>
    </row>
    <row r="1082" spans="1:20" x14ac:dyDescent="0.3">
      <c r="A1082">
        <v>1089</v>
      </c>
      <c r="B1082" s="11">
        <v>45550</v>
      </c>
      <c r="C1082">
        <v>244</v>
      </c>
      <c r="D1082" t="str">
        <f>_xlfn.XLOOKUP(order[[#This Row],[customer_id]],customer[customer_id],customer[customer_name])</f>
        <v>Ananya Gupta</v>
      </c>
      <c r="E1082">
        <v>206</v>
      </c>
      <c r="F1082">
        <v>4</v>
      </c>
      <c r="G1082">
        <v>3578</v>
      </c>
      <c r="H1082">
        <v>1649</v>
      </c>
      <c r="I1082" t="s">
        <v>13</v>
      </c>
      <c r="J1082" t="s">
        <v>12</v>
      </c>
      <c r="K1082" t="str">
        <f>_xlfn.XLOOKUP(order[[#This Row],[customer_id]],customer[customer_id],customer[city])</f>
        <v>Chennai</v>
      </c>
      <c r="L1082" t="str">
        <f>_xlfn.XLOOKUP(order[[#This Row],[customer_id]],customer[customer_id],customer[state])</f>
        <v>Tamil Nadu</v>
      </c>
      <c r="M1082" t="str">
        <f>_xlfn.XLOOKUP(order[[#This Row],[product_id]],products!$A$2:$A$11,products!$B$2:$B$11)</f>
        <v>Philips Air Fryer</v>
      </c>
      <c r="N1082" s="3" t="str">
        <f>_xlfn.XLOOKUP(order[[#This Row],[product_id]],products!$A$2:$A$11,products!$C$2:$C$11)</f>
        <v>Home &amp; Kitchen</v>
      </c>
      <c r="O1082" s="3">
        <f>_xlfn.XLOOKUP(order[[#This Row],[product_id]],Table4[product_id],Table4[cost_price])</f>
        <v>7000</v>
      </c>
      <c r="P1082" s="11">
        <f>_xlfn.XLOOKUP(order[[#This Row],[order_id]],shipment[order_id],shipment[ship_date])</f>
        <v>45579</v>
      </c>
      <c r="Q1082" s="11">
        <f>_xlfn.XLOOKUP(order[[#This Row],[order_id]],shipment[order_id],shipment[delivery_date])</f>
        <v>45583</v>
      </c>
      <c r="R1082" s="3" t="str">
        <f>_xlfn.XLOOKUP(order[[#This Row],[order_id]],shipment[shipment_id],shipment[courier])</f>
        <v>BlueDart</v>
      </c>
      <c r="S1082" s="3">
        <f>order[[#This Row],[selling_price]]-order[[#This Row],[cost_price]]*order[[#This Row],[quantity]]-order[[#This Row],[discount]]</f>
        <v>-26071</v>
      </c>
      <c r="T1082" s="3">
        <f>order[[#This Row],[quantity]]*order[[#This Row],[selling_price]]</f>
        <v>14312</v>
      </c>
    </row>
    <row r="1083" spans="1:20" x14ac:dyDescent="0.3">
      <c r="A1083">
        <v>585</v>
      </c>
      <c r="B1083" s="11">
        <v>45590</v>
      </c>
      <c r="C1083">
        <v>115</v>
      </c>
      <c r="D1083" t="str">
        <f>_xlfn.XLOOKUP(order[[#This Row],[customer_id]],customer[customer_id],customer[customer_name])</f>
        <v>Siddharth Jain</v>
      </c>
      <c r="E1083">
        <v>206</v>
      </c>
      <c r="F1083">
        <v>4</v>
      </c>
      <c r="G1083">
        <v>26538</v>
      </c>
      <c r="H1083">
        <v>1613</v>
      </c>
      <c r="I1083" t="s">
        <v>13</v>
      </c>
      <c r="J1083" t="s">
        <v>12</v>
      </c>
      <c r="K1083" t="str">
        <f>_xlfn.XLOOKUP(order[[#This Row],[customer_id]],customer[customer_id],customer[city])</f>
        <v>Delhi</v>
      </c>
      <c r="L1083" t="str">
        <f>_xlfn.XLOOKUP(order[[#This Row],[customer_id]],customer[customer_id],customer[state])</f>
        <v>Delhi</v>
      </c>
      <c r="M1083" t="str">
        <f>_xlfn.XLOOKUP(order[[#This Row],[product_id]],products!$A$2:$A$11,products!$B$2:$B$11)</f>
        <v>Philips Air Fryer</v>
      </c>
      <c r="N1083" s="3" t="str">
        <f>_xlfn.XLOOKUP(order[[#This Row],[product_id]],products!$A$2:$A$11,products!$C$2:$C$11)</f>
        <v>Home &amp; Kitchen</v>
      </c>
      <c r="O1083" s="3">
        <f>_xlfn.XLOOKUP(order[[#This Row],[product_id]],Table4[product_id],Table4[cost_price])</f>
        <v>7000</v>
      </c>
      <c r="P1083" s="11">
        <f>_xlfn.XLOOKUP(order[[#This Row],[order_id]],shipment[order_id],shipment[ship_date])</f>
        <v>45524</v>
      </c>
      <c r="Q1083" s="11">
        <f>_xlfn.XLOOKUP(order[[#This Row],[order_id]],shipment[order_id],shipment[delivery_date])</f>
        <v>45530</v>
      </c>
      <c r="R1083" s="3" t="str">
        <f>_xlfn.XLOOKUP(order[[#This Row],[order_id]],shipment[shipment_id],shipment[courier])</f>
        <v>BlueDart</v>
      </c>
      <c r="S1083" s="3">
        <f>order[[#This Row],[selling_price]]-order[[#This Row],[cost_price]]*order[[#This Row],[quantity]]-order[[#This Row],[discount]]</f>
        <v>-3075</v>
      </c>
      <c r="T1083" s="3">
        <f>order[[#This Row],[quantity]]*order[[#This Row],[selling_price]]</f>
        <v>106152</v>
      </c>
    </row>
    <row r="1084" spans="1:20" x14ac:dyDescent="0.3">
      <c r="A1084">
        <v>504</v>
      </c>
      <c r="B1084" s="11">
        <v>45468</v>
      </c>
      <c r="C1084">
        <v>295</v>
      </c>
      <c r="D1084" t="str">
        <f>_xlfn.XLOOKUP(order[[#This Row],[customer_id]],customer[customer_id],customer[customer_name])</f>
        <v>Aarav Sharma</v>
      </c>
      <c r="E1084">
        <v>206</v>
      </c>
      <c r="F1084">
        <v>2</v>
      </c>
      <c r="G1084">
        <v>11683</v>
      </c>
      <c r="H1084">
        <v>1510</v>
      </c>
      <c r="I1084" t="s">
        <v>13</v>
      </c>
      <c r="J1084" t="s">
        <v>12</v>
      </c>
      <c r="K1084" t="str">
        <f>_xlfn.XLOOKUP(order[[#This Row],[customer_id]],customer[customer_id],customer[city])</f>
        <v>Chennai</v>
      </c>
      <c r="L1084" t="str">
        <f>_xlfn.XLOOKUP(order[[#This Row],[customer_id]],customer[customer_id],customer[state])</f>
        <v>Tamil Nadu</v>
      </c>
      <c r="M1084" t="str">
        <f>_xlfn.XLOOKUP(order[[#This Row],[product_id]],products!$A$2:$A$11,products!$B$2:$B$11)</f>
        <v>Philips Air Fryer</v>
      </c>
      <c r="N1084" s="3" t="str">
        <f>_xlfn.XLOOKUP(order[[#This Row],[product_id]],products!$A$2:$A$11,products!$C$2:$C$11)</f>
        <v>Home &amp; Kitchen</v>
      </c>
      <c r="O1084" s="3">
        <f>_xlfn.XLOOKUP(order[[#This Row],[product_id]],Table4[product_id],Table4[cost_price])</f>
        <v>7000</v>
      </c>
      <c r="P1084" s="11">
        <f>_xlfn.XLOOKUP(order[[#This Row],[order_id]],shipment[order_id],shipment[ship_date])</f>
        <v>45652</v>
      </c>
      <c r="Q1084" s="11">
        <f>_xlfn.XLOOKUP(order[[#This Row],[order_id]],shipment[order_id],shipment[delivery_date])</f>
        <v>45658</v>
      </c>
      <c r="R1084" s="3" t="str">
        <f>_xlfn.XLOOKUP(order[[#This Row],[order_id]],shipment[shipment_id],shipment[courier])</f>
        <v>BlueDart</v>
      </c>
      <c r="S1084" s="3">
        <f>order[[#This Row],[selling_price]]-order[[#This Row],[cost_price]]*order[[#This Row],[quantity]]-order[[#This Row],[discount]]</f>
        <v>-3827</v>
      </c>
      <c r="T1084" s="3">
        <f>order[[#This Row],[quantity]]*order[[#This Row],[selling_price]]</f>
        <v>23366</v>
      </c>
    </row>
    <row r="1085" spans="1:20" x14ac:dyDescent="0.3">
      <c r="A1085">
        <v>470</v>
      </c>
      <c r="B1085" s="11">
        <v>45409</v>
      </c>
      <c r="C1085">
        <v>162</v>
      </c>
      <c r="D1085" t="str">
        <f>_xlfn.XLOOKUP(order[[#This Row],[customer_id]],customer[customer_id],customer[customer_name])</f>
        <v>Ananya Gupta</v>
      </c>
      <c r="E1085">
        <v>206</v>
      </c>
      <c r="F1085">
        <v>2</v>
      </c>
      <c r="G1085">
        <v>11079</v>
      </c>
      <c r="H1085">
        <v>1464</v>
      </c>
      <c r="I1085" t="s">
        <v>9</v>
      </c>
      <c r="J1085" t="s">
        <v>14</v>
      </c>
      <c r="K1085" t="str">
        <f>_xlfn.XLOOKUP(order[[#This Row],[customer_id]],customer[customer_id],customer[city])</f>
        <v>Ahmedabad</v>
      </c>
      <c r="L1085" t="str">
        <f>_xlfn.XLOOKUP(order[[#This Row],[customer_id]],customer[customer_id],customer[state])</f>
        <v>Gujarat</v>
      </c>
      <c r="M1085" t="str">
        <f>_xlfn.XLOOKUP(order[[#This Row],[product_id]],products!$A$2:$A$11,products!$B$2:$B$11)</f>
        <v>Philips Air Fryer</v>
      </c>
      <c r="N1085" s="3" t="str">
        <f>_xlfn.XLOOKUP(order[[#This Row],[product_id]],products!$A$2:$A$11,products!$C$2:$C$11)</f>
        <v>Home &amp; Kitchen</v>
      </c>
      <c r="O1085" s="3">
        <f>_xlfn.XLOOKUP(order[[#This Row],[product_id]],Table4[product_id],Table4[cost_price])</f>
        <v>7000</v>
      </c>
      <c r="P1085" s="11">
        <f>_xlfn.XLOOKUP(order[[#This Row],[order_id]],shipment[order_id],shipment[ship_date])</f>
        <v>45389</v>
      </c>
      <c r="Q1085" s="11">
        <f>_xlfn.XLOOKUP(order[[#This Row],[order_id]],shipment[order_id],shipment[delivery_date])</f>
        <v>45399</v>
      </c>
      <c r="R1085" s="3" t="str">
        <f>_xlfn.XLOOKUP(order[[#This Row],[order_id]],shipment[shipment_id],shipment[courier])</f>
        <v>BlueDart</v>
      </c>
      <c r="S1085" s="3">
        <f>order[[#This Row],[selling_price]]-order[[#This Row],[cost_price]]*order[[#This Row],[quantity]]-order[[#This Row],[discount]]</f>
        <v>-4385</v>
      </c>
      <c r="T1085" s="3">
        <f>order[[#This Row],[quantity]]*order[[#This Row],[selling_price]]</f>
        <v>22158</v>
      </c>
    </row>
    <row r="1086" spans="1:20" x14ac:dyDescent="0.3">
      <c r="A1086">
        <v>1085</v>
      </c>
      <c r="B1086" s="11">
        <v>45592</v>
      </c>
      <c r="C1086">
        <v>209</v>
      </c>
      <c r="D1086" t="str">
        <f>_xlfn.XLOOKUP(order[[#This Row],[customer_id]],customer[customer_id],customer[customer_name])</f>
        <v>Neha Kapoor</v>
      </c>
      <c r="E1086">
        <v>204</v>
      </c>
      <c r="F1086">
        <v>4</v>
      </c>
      <c r="G1086">
        <v>48463</v>
      </c>
      <c r="H1086">
        <v>2082</v>
      </c>
      <c r="I1086" t="s">
        <v>11</v>
      </c>
      <c r="J1086" t="s">
        <v>10</v>
      </c>
      <c r="K1086" t="str">
        <f>_xlfn.XLOOKUP(order[[#This Row],[customer_id]],customer[customer_id],customer[city])</f>
        <v>Mumbai</v>
      </c>
      <c r="L1086" t="str">
        <f>_xlfn.XLOOKUP(order[[#This Row],[customer_id]],customer[customer_id],customer[state])</f>
        <v>Maharashtra</v>
      </c>
      <c r="M1086" t="str">
        <f>_xlfn.XLOOKUP(order[[#This Row],[product_id]],products!$A$2:$A$11,products!$B$2:$B$11)</f>
        <v>Levi's Slim Fit Jeans</v>
      </c>
      <c r="N1086" s="3" t="str">
        <f>_xlfn.XLOOKUP(order[[#This Row],[product_id]],products!$A$2:$A$11,products!$C$2:$C$11)</f>
        <v>Fashion</v>
      </c>
      <c r="O1086" s="3">
        <f>_xlfn.XLOOKUP(order[[#This Row],[product_id]],Table4[product_id],Table4[cost_price])</f>
        <v>1800</v>
      </c>
      <c r="P1086" s="11">
        <f>_xlfn.XLOOKUP(order[[#This Row],[order_id]],shipment[order_id],shipment[ship_date])</f>
        <v>45517</v>
      </c>
      <c r="Q1086" s="11">
        <f>_xlfn.XLOOKUP(order[[#This Row],[order_id]],shipment[order_id],shipment[delivery_date])</f>
        <v>45527</v>
      </c>
      <c r="R1086" s="3" t="str">
        <f>_xlfn.XLOOKUP(order[[#This Row],[order_id]],shipment[shipment_id],shipment[courier])</f>
        <v>BlueDart</v>
      </c>
      <c r="S1086" s="3">
        <f>order[[#This Row],[selling_price]]-order[[#This Row],[cost_price]]*order[[#This Row],[quantity]]-order[[#This Row],[discount]]</f>
        <v>39181</v>
      </c>
      <c r="T1086" s="3">
        <f>order[[#This Row],[quantity]]*order[[#This Row],[selling_price]]</f>
        <v>193852</v>
      </c>
    </row>
    <row r="1087" spans="1:20" x14ac:dyDescent="0.3">
      <c r="A1087">
        <v>1086</v>
      </c>
      <c r="B1087" s="11">
        <v>45571</v>
      </c>
      <c r="C1087">
        <v>164</v>
      </c>
      <c r="D1087" t="str">
        <f>_xlfn.XLOOKUP(order[[#This Row],[customer_id]],customer[customer_id],customer[customer_name])</f>
        <v>Pooja Nair</v>
      </c>
      <c r="E1087">
        <v>207</v>
      </c>
      <c r="F1087">
        <v>1</v>
      </c>
      <c r="G1087">
        <v>55646</v>
      </c>
      <c r="H1087">
        <v>2325</v>
      </c>
      <c r="I1087" t="s">
        <v>15</v>
      </c>
      <c r="J1087" t="s">
        <v>14</v>
      </c>
      <c r="K1087" t="str">
        <f>_xlfn.XLOOKUP(order[[#This Row],[customer_id]],customer[customer_id],customer[city])</f>
        <v>Ahmedabad</v>
      </c>
      <c r="L1087" t="str">
        <f>_xlfn.XLOOKUP(order[[#This Row],[customer_id]],customer[customer_id],customer[state])</f>
        <v>Gujarat</v>
      </c>
      <c r="M1087" t="str">
        <f>_xlfn.XLOOKUP(order[[#This Row],[product_id]],products!$A$2:$A$11,products!$B$2:$B$11)</f>
        <v>Sony WH-1000XM4 Headphones</v>
      </c>
      <c r="N1087" s="3" t="str">
        <f>_xlfn.XLOOKUP(order[[#This Row],[product_id]],products!$A$2:$A$11,products!$C$2:$C$11)</f>
        <v>Electronics</v>
      </c>
      <c r="O1087" s="3">
        <f>_xlfn.XLOOKUP(order[[#This Row],[product_id]],Table4[product_id],Table4[cost_price])</f>
        <v>20000</v>
      </c>
      <c r="P1087" s="11">
        <f>_xlfn.XLOOKUP(order[[#This Row],[order_id]],shipment[order_id],shipment[ship_date])</f>
        <v>45439</v>
      </c>
      <c r="Q1087" s="11">
        <f>_xlfn.XLOOKUP(order[[#This Row],[order_id]],shipment[order_id],shipment[delivery_date])</f>
        <v>45445</v>
      </c>
      <c r="R1087" s="3" t="str">
        <f>_xlfn.XLOOKUP(order[[#This Row],[order_id]],shipment[shipment_id],shipment[courier])</f>
        <v>Ekart</v>
      </c>
      <c r="S1087" s="3">
        <f>order[[#This Row],[selling_price]]-order[[#This Row],[cost_price]]*order[[#This Row],[quantity]]-order[[#This Row],[discount]]</f>
        <v>33321</v>
      </c>
      <c r="T1087" s="3">
        <f>order[[#This Row],[quantity]]*order[[#This Row],[selling_price]]</f>
        <v>55646</v>
      </c>
    </row>
    <row r="1088" spans="1:20" x14ac:dyDescent="0.3">
      <c r="A1088">
        <v>1087</v>
      </c>
      <c r="B1088" s="11">
        <v>45632</v>
      </c>
      <c r="C1088">
        <v>294</v>
      </c>
      <c r="D1088" t="str">
        <f>_xlfn.XLOOKUP(order[[#This Row],[customer_id]],customer[customer_id],customer[customer_name])</f>
        <v>Sneha Iyer</v>
      </c>
      <c r="E1088">
        <v>206</v>
      </c>
      <c r="F1088">
        <v>3</v>
      </c>
      <c r="G1088">
        <v>56458</v>
      </c>
      <c r="H1088">
        <v>591</v>
      </c>
      <c r="I1088" t="s">
        <v>11</v>
      </c>
      <c r="J1088" t="s">
        <v>12</v>
      </c>
      <c r="K1088" t="str">
        <f>_xlfn.XLOOKUP(order[[#This Row],[customer_id]],customer[customer_id],customer[city])</f>
        <v>Hyderabad</v>
      </c>
      <c r="L1088" t="str">
        <f>_xlfn.XLOOKUP(order[[#This Row],[customer_id]],customer[customer_id],customer[state])</f>
        <v>Telangana</v>
      </c>
      <c r="M1088" t="str">
        <f>_xlfn.XLOOKUP(order[[#This Row],[product_id]],products!$A$2:$A$11,products!$B$2:$B$11)</f>
        <v>Philips Air Fryer</v>
      </c>
      <c r="N1088" s="3" t="str">
        <f>_xlfn.XLOOKUP(order[[#This Row],[product_id]],products!$A$2:$A$11,products!$C$2:$C$11)</f>
        <v>Home &amp; Kitchen</v>
      </c>
      <c r="O1088" s="3">
        <f>_xlfn.XLOOKUP(order[[#This Row],[product_id]],Table4[product_id],Table4[cost_price])</f>
        <v>7000</v>
      </c>
      <c r="P1088" s="11">
        <f>_xlfn.XLOOKUP(order[[#This Row],[order_id]],shipment[order_id],shipment[ship_date])</f>
        <v>45293</v>
      </c>
      <c r="Q1088" s="11">
        <f>_xlfn.XLOOKUP(order[[#This Row],[order_id]],shipment[order_id],shipment[delivery_date])</f>
        <v>45298</v>
      </c>
      <c r="R1088" s="3" t="str">
        <f>_xlfn.XLOOKUP(order[[#This Row],[order_id]],shipment[shipment_id],shipment[courier])</f>
        <v>DTDC</v>
      </c>
      <c r="S1088" s="3">
        <f>order[[#This Row],[selling_price]]-order[[#This Row],[cost_price]]*order[[#This Row],[quantity]]-order[[#This Row],[discount]]</f>
        <v>34867</v>
      </c>
      <c r="T1088" s="3">
        <f>order[[#This Row],[quantity]]*order[[#This Row],[selling_price]]</f>
        <v>169374</v>
      </c>
    </row>
    <row r="1089" spans="1:20" x14ac:dyDescent="0.3">
      <c r="A1089">
        <v>1088</v>
      </c>
      <c r="B1089" s="11">
        <v>45493</v>
      </c>
      <c r="C1089">
        <v>145</v>
      </c>
      <c r="D1089" t="str">
        <f>_xlfn.XLOOKUP(order[[#This Row],[customer_id]],customer[customer_id],customer[customer_name])</f>
        <v>Meera Joshi</v>
      </c>
      <c r="E1089">
        <v>205</v>
      </c>
      <c r="F1089">
        <v>1</v>
      </c>
      <c r="G1089">
        <v>43801</v>
      </c>
      <c r="H1089">
        <v>822</v>
      </c>
      <c r="I1089" t="s">
        <v>9</v>
      </c>
      <c r="J1089" t="s">
        <v>10</v>
      </c>
      <c r="K1089" t="str">
        <f>_xlfn.XLOOKUP(order[[#This Row],[customer_id]],customer[customer_id],customer[city])</f>
        <v>Ahmedabad</v>
      </c>
      <c r="L1089" t="str">
        <f>_xlfn.XLOOKUP(order[[#This Row],[customer_id]],customer[customer_id],customer[state])</f>
        <v>Gujarat</v>
      </c>
      <c r="M1089" t="str">
        <f>_xlfn.XLOOKUP(order[[#This Row],[product_id]],products!$A$2:$A$11,products!$B$2:$B$11)</f>
        <v>Prestige Pressure Cooker 5L</v>
      </c>
      <c r="N1089" s="3" t="str">
        <f>_xlfn.XLOOKUP(order[[#This Row],[product_id]],products!$A$2:$A$11,products!$C$2:$C$11)</f>
        <v>Home &amp; Kitchen</v>
      </c>
      <c r="O1089" s="3">
        <f>_xlfn.XLOOKUP(order[[#This Row],[product_id]],Table4[product_id],Table4[cost_price])</f>
        <v>1200</v>
      </c>
      <c r="P1089" s="11">
        <f>_xlfn.XLOOKUP(order[[#This Row],[order_id]],shipment[order_id],shipment[ship_date])</f>
        <v>45482</v>
      </c>
      <c r="Q1089" s="11">
        <f>_xlfn.XLOOKUP(order[[#This Row],[order_id]],shipment[order_id],shipment[delivery_date])</f>
        <v>45486</v>
      </c>
      <c r="R1089" s="3" t="str">
        <f>_xlfn.XLOOKUP(order[[#This Row],[order_id]],shipment[shipment_id],shipment[courier])</f>
        <v>Ekart</v>
      </c>
      <c r="S1089" s="3">
        <f>order[[#This Row],[selling_price]]-order[[#This Row],[cost_price]]*order[[#This Row],[quantity]]-order[[#This Row],[discount]]</f>
        <v>41779</v>
      </c>
      <c r="T1089" s="3">
        <f>order[[#This Row],[quantity]]*order[[#This Row],[selling_price]]</f>
        <v>43801</v>
      </c>
    </row>
    <row r="1090" spans="1:20" x14ac:dyDescent="0.3">
      <c r="A1090">
        <v>755</v>
      </c>
      <c r="B1090" s="11">
        <v>45368</v>
      </c>
      <c r="C1090">
        <v>147</v>
      </c>
      <c r="D1090" t="str">
        <f>_xlfn.XLOOKUP(order[[#This Row],[customer_id]],customer[customer_id],customer[customer_name])</f>
        <v>Priya Reddy</v>
      </c>
      <c r="E1090">
        <v>206</v>
      </c>
      <c r="F1090">
        <v>4</v>
      </c>
      <c r="G1090">
        <v>21709</v>
      </c>
      <c r="H1090">
        <v>1415</v>
      </c>
      <c r="I1090" t="s">
        <v>15</v>
      </c>
      <c r="J1090" t="s">
        <v>14</v>
      </c>
      <c r="K1090" t="str">
        <f>_xlfn.XLOOKUP(order[[#This Row],[customer_id]],customer[customer_id],customer[city])</f>
        <v>Delhi</v>
      </c>
      <c r="L1090" t="str">
        <f>_xlfn.XLOOKUP(order[[#This Row],[customer_id]],customer[customer_id],customer[state])</f>
        <v>Delhi</v>
      </c>
      <c r="M1090" t="str">
        <f>_xlfn.XLOOKUP(order[[#This Row],[product_id]],products!$A$2:$A$11,products!$B$2:$B$11)</f>
        <v>Philips Air Fryer</v>
      </c>
      <c r="N1090" s="3" t="str">
        <f>_xlfn.XLOOKUP(order[[#This Row],[product_id]],products!$A$2:$A$11,products!$C$2:$C$11)</f>
        <v>Home &amp; Kitchen</v>
      </c>
      <c r="O1090" s="3">
        <f>_xlfn.XLOOKUP(order[[#This Row],[product_id]],Table4[product_id],Table4[cost_price])</f>
        <v>7000</v>
      </c>
      <c r="P1090" s="11">
        <f>_xlfn.XLOOKUP(order[[#This Row],[order_id]],shipment[order_id],shipment[ship_date])</f>
        <v>45574</v>
      </c>
      <c r="Q1090" s="11">
        <f>_xlfn.XLOOKUP(order[[#This Row],[order_id]],shipment[order_id],shipment[delivery_date])</f>
        <v>45576</v>
      </c>
      <c r="R1090" s="3" t="str">
        <f>_xlfn.XLOOKUP(order[[#This Row],[order_id]],shipment[shipment_id],shipment[courier])</f>
        <v>DTDC</v>
      </c>
      <c r="S1090" s="3">
        <f>order[[#This Row],[selling_price]]-order[[#This Row],[cost_price]]*order[[#This Row],[quantity]]-order[[#This Row],[discount]]</f>
        <v>-7706</v>
      </c>
      <c r="T1090" s="3">
        <f>order[[#This Row],[quantity]]*order[[#This Row],[selling_price]]</f>
        <v>86836</v>
      </c>
    </row>
    <row r="1091" spans="1:20" x14ac:dyDescent="0.3">
      <c r="A1091">
        <v>1090</v>
      </c>
      <c r="B1091" s="11">
        <v>45330</v>
      </c>
      <c r="C1091">
        <v>178</v>
      </c>
      <c r="D1091" t="str">
        <f>_xlfn.XLOOKUP(order[[#This Row],[customer_id]],customer[customer_id],customer[customer_name])</f>
        <v>Meera Joshi</v>
      </c>
      <c r="E1091">
        <v>204</v>
      </c>
      <c r="F1091">
        <v>2</v>
      </c>
      <c r="G1091">
        <v>54800</v>
      </c>
      <c r="H1091">
        <v>1511</v>
      </c>
      <c r="I1091" t="s">
        <v>15</v>
      </c>
      <c r="J1091" t="s">
        <v>12</v>
      </c>
      <c r="K1091" t="str">
        <f>_xlfn.XLOOKUP(order[[#This Row],[customer_id]],customer[customer_id],customer[city])</f>
        <v>Hyderabad</v>
      </c>
      <c r="L1091" t="str">
        <f>_xlfn.XLOOKUP(order[[#This Row],[customer_id]],customer[customer_id],customer[state])</f>
        <v>Telangana</v>
      </c>
      <c r="M1091" t="str">
        <f>_xlfn.XLOOKUP(order[[#This Row],[product_id]],products!$A$2:$A$11,products!$B$2:$B$11)</f>
        <v>Levi's Slim Fit Jeans</v>
      </c>
      <c r="N1091" s="3" t="str">
        <f>_xlfn.XLOOKUP(order[[#This Row],[product_id]],products!$A$2:$A$11,products!$C$2:$C$11)</f>
        <v>Fashion</v>
      </c>
      <c r="O1091" s="3">
        <f>_xlfn.XLOOKUP(order[[#This Row],[product_id]],Table4[product_id],Table4[cost_price])</f>
        <v>1800</v>
      </c>
      <c r="P1091" s="11">
        <f>_xlfn.XLOOKUP(order[[#This Row],[order_id]],shipment[order_id],shipment[ship_date])</f>
        <v>45565</v>
      </c>
      <c r="Q1091" s="11">
        <f>_xlfn.XLOOKUP(order[[#This Row],[order_id]],shipment[order_id],shipment[delivery_date])</f>
        <v>45571</v>
      </c>
      <c r="R1091" s="3" t="str">
        <f>_xlfn.XLOOKUP(order[[#This Row],[order_id]],shipment[shipment_id],shipment[courier])</f>
        <v>BlueDart</v>
      </c>
      <c r="S1091" s="3">
        <f>order[[#This Row],[selling_price]]-order[[#This Row],[cost_price]]*order[[#This Row],[quantity]]-order[[#This Row],[discount]]</f>
        <v>49689</v>
      </c>
      <c r="T1091" s="3">
        <f>order[[#This Row],[quantity]]*order[[#This Row],[selling_price]]</f>
        <v>109600</v>
      </c>
    </row>
    <row r="1092" spans="1:20" x14ac:dyDescent="0.3">
      <c r="A1092">
        <v>72</v>
      </c>
      <c r="B1092" s="11">
        <v>45471</v>
      </c>
      <c r="C1092">
        <v>167</v>
      </c>
      <c r="D1092" t="str">
        <f>_xlfn.XLOOKUP(order[[#This Row],[customer_id]],customer[customer_id],customer[customer_name])</f>
        <v>Siddharth Jain</v>
      </c>
      <c r="E1092">
        <v>206</v>
      </c>
      <c r="F1092">
        <v>4</v>
      </c>
      <c r="G1092">
        <v>15030</v>
      </c>
      <c r="H1092">
        <v>1301</v>
      </c>
      <c r="I1092" t="s">
        <v>15</v>
      </c>
      <c r="J1092" t="s">
        <v>14</v>
      </c>
      <c r="K1092" t="str">
        <f>_xlfn.XLOOKUP(order[[#This Row],[customer_id]],customer[customer_id],customer[city])</f>
        <v>Ahmedabad</v>
      </c>
      <c r="L1092" t="str">
        <f>_xlfn.XLOOKUP(order[[#This Row],[customer_id]],customer[customer_id],customer[state])</f>
        <v>Gujarat</v>
      </c>
      <c r="M1092" t="str">
        <f>_xlfn.XLOOKUP(order[[#This Row],[product_id]],products!$A$2:$A$11,products!$B$2:$B$11)</f>
        <v>Philips Air Fryer</v>
      </c>
      <c r="N1092" s="3" t="str">
        <f>_xlfn.XLOOKUP(order[[#This Row],[product_id]],products!$A$2:$A$11,products!$C$2:$C$11)</f>
        <v>Home &amp; Kitchen</v>
      </c>
      <c r="O1092" s="3">
        <f>_xlfn.XLOOKUP(order[[#This Row],[product_id]],Table4[product_id],Table4[cost_price])</f>
        <v>7000</v>
      </c>
      <c r="P1092" s="11">
        <f>_xlfn.XLOOKUP(order[[#This Row],[order_id]],shipment[order_id],shipment[ship_date])</f>
        <v>45538</v>
      </c>
      <c r="Q1092" s="11">
        <f>_xlfn.XLOOKUP(order[[#This Row],[order_id]],shipment[order_id],shipment[delivery_date])</f>
        <v>45542</v>
      </c>
      <c r="R1092" s="3" t="str">
        <f>_xlfn.XLOOKUP(order[[#This Row],[order_id]],shipment[shipment_id],shipment[courier])</f>
        <v>Delhivery</v>
      </c>
      <c r="S1092" s="3">
        <f>order[[#This Row],[selling_price]]-order[[#This Row],[cost_price]]*order[[#This Row],[quantity]]-order[[#This Row],[discount]]</f>
        <v>-14271</v>
      </c>
      <c r="T1092" s="3">
        <f>order[[#This Row],[quantity]]*order[[#This Row],[selling_price]]</f>
        <v>60120</v>
      </c>
    </row>
    <row r="1093" spans="1:20" x14ac:dyDescent="0.3">
      <c r="A1093">
        <v>1092</v>
      </c>
      <c r="B1093" s="11">
        <v>45580</v>
      </c>
      <c r="C1093">
        <v>192</v>
      </c>
      <c r="D1093" t="str">
        <f>_xlfn.XLOOKUP(order[[#This Row],[customer_id]],customer[customer_id],customer[customer_name])</f>
        <v>Sneha Iyer</v>
      </c>
      <c r="E1093">
        <v>208</v>
      </c>
      <c r="F1093">
        <v>2</v>
      </c>
      <c r="G1093">
        <v>50119</v>
      </c>
      <c r="H1093">
        <v>2440</v>
      </c>
      <c r="I1093" t="s">
        <v>11</v>
      </c>
      <c r="J1093" t="s">
        <v>10</v>
      </c>
      <c r="K1093" t="str">
        <f>_xlfn.XLOOKUP(order[[#This Row],[customer_id]],customer[customer_id],customer[city])</f>
        <v>Delhi</v>
      </c>
      <c r="L1093" t="str">
        <f>_xlfn.XLOOKUP(order[[#This Row],[customer_id]],customer[customer_id],customer[state])</f>
        <v>Delhi</v>
      </c>
      <c r="M1093" t="str">
        <f>_xlfn.XLOOKUP(order[[#This Row],[product_id]],products!$A$2:$A$11,products!$B$2:$B$11)</f>
        <v>Adidas Ultraboost Shoes</v>
      </c>
      <c r="N1093" s="3" t="str">
        <f>_xlfn.XLOOKUP(order[[#This Row],[product_id]],products!$A$2:$A$11,products!$C$2:$C$11)</f>
        <v>Fashion</v>
      </c>
      <c r="O1093" s="3">
        <f>_xlfn.XLOOKUP(order[[#This Row],[product_id]],Table4[product_id],Table4[cost_price])</f>
        <v>9000</v>
      </c>
      <c r="P1093" s="11">
        <f>_xlfn.XLOOKUP(order[[#This Row],[order_id]],shipment[order_id],shipment[ship_date])</f>
        <v>45516</v>
      </c>
      <c r="Q1093" s="11">
        <f>_xlfn.XLOOKUP(order[[#This Row],[order_id]],shipment[order_id],shipment[delivery_date])</f>
        <v>45518</v>
      </c>
      <c r="R1093" s="3" t="str">
        <f>_xlfn.XLOOKUP(order[[#This Row],[order_id]],shipment[shipment_id],shipment[courier])</f>
        <v>Delhivery</v>
      </c>
      <c r="S1093" s="3">
        <f>order[[#This Row],[selling_price]]-order[[#This Row],[cost_price]]*order[[#This Row],[quantity]]-order[[#This Row],[discount]]</f>
        <v>29679</v>
      </c>
      <c r="T1093" s="3">
        <f>order[[#This Row],[quantity]]*order[[#This Row],[selling_price]]</f>
        <v>100238</v>
      </c>
    </row>
    <row r="1094" spans="1:20" x14ac:dyDescent="0.3">
      <c r="A1094">
        <v>1093</v>
      </c>
      <c r="B1094" s="11">
        <v>45404</v>
      </c>
      <c r="C1094">
        <v>228</v>
      </c>
      <c r="D1094" t="str">
        <f>_xlfn.XLOOKUP(order[[#This Row],[customer_id]],customer[customer_id],customer[customer_name])</f>
        <v>Priya Reddy</v>
      </c>
      <c r="E1094">
        <v>210</v>
      </c>
      <c r="F1094">
        <v>1</v>
      </c>
      <c r="G1094">
        <v>38146</v>
      </c>
      <c r="H1094">
        <v>4386</v>
      </c>
      <c r="I1094" t="s">
        <v>15</v>
      </c>
      <c r="J1094" t="s">
        <v>10</v>
      </c>
      <c r="K1094" t="str">
        <f>_xlfn.XLOOKUP(order[[#This Row],[customer_id]],customer[customer_id],customer[city])</f>
        <v>Chennai</v>
      </c>
      <c r="L1094" t="str">
        <f>_xlfn.XLOOKUP(order[[#This Row],[customer_id]],customer[customer_id],customer[state])</f>
        <v>Tamil Nadu</v>
      </c>
      <c r="M1094" t="str">
        <f>_xlfn.XLOOKUP(order[[#This Row],[product_id]],products!$A$2:$A$11,products!$B$2:$B$11)</f>
        <v>LG 43 Inch Smart TV</v>
      </c>
      <c r="N1094" s="3" t="str">
        <f>_xlfn.XLOOKUP(order[[#This Row],[product_id]],products!$A$2:$A$11,products!$C$2:$C$11)</f>
        <v>Electronics</v>
      </c>
      <c r="O1094" s="3">
        <f>_xlfn.XLOOKUP(order[[#This Row],[product_id]],Table4[product_id],Table4[cost_price])</f>
        <v>30000</v>
      </c>
      <c r="P1094" s="11">
        <f>_xlfn.XLOOKUP(order[[#This Row],[order_id]],shipment[order_id],shipment[ship_date])</f>
        <v>45452</v>
      </c>
      <c r="Q1094" s="11">
        <f>_xlfn.XLOOKUP(order[[#This Row],[order_id]],shipment[order_id],shipment[delivery_date])</f>
        <v>45456</v>
      </c>
      <c r="R1094" s="3" t="str">
        <f>_xlfn.XLOOKUP(order[[#This Row],[order_id]],shipment[shipment_id],shipment[courier])</f>
        <v>Delhivery</v>
      </c>
      <c r="S1094" s="3">
        <f>order[[#This Row],[selling_price]]-order[[#This Row],[cost_price]]*order[[#This Row],[quantity]]-order[[#This Row],[discount]]</f>
        <v>3760</v>
      </c>
      <c r="T1094" s="3">
        <f>order[[#This Row],[quantity]]*order[[#This Row],[selling_price]]</f>
        <v>38146</v>
      </c>
    </row>
    <row r="1095" spans="1:20" x14ac:dyDescent="0.3">
      <c r="A1095">
        <v>1094</v>
      </c>
      <c r="B1095" s="11">
        <v>45588</v>
      </c>
      <c r="C1095">
        <v>244</v>
      </c>
      <c r="D1095" t="str">
        <f>_xlfn.XLOOKUP(order[[#This Row],[customer_id]],customer[customer_id],customer[customer_name])</f>
        <v>Ananya Gupta</v>
      </c>
      <c r="E1095">
        <v>204</v>
      </c>
      <c r="F1095">
        <v>2</v>
      </c>
      <c r="G1095">
        <v>20501</v>
      </c>
      <c r="H1095">
        <v>1646</v>
      </c>
      <c r="I1095" t="s">
        <v>13</v>
      </c>
      <c r="J1095" t="s">
        <v>12</v>
      </c>
      <c r="K1095" t="str">
        <f>_xlfn.XLOOKUP(order[[#This Row],[customer_id]],customer[customer_id],customer[city])</f>
        <v>Chennai</v>
      </c>
      <c r="L1095" t="str">
        <f>_xlfn.XLOOKUP(order[[#This Row],[customer_id]],customer[customer_id],customer[state])</f>
        <v>Tamil Nadu</v>
      </c>
      <c r="M1095" t="str">
        <f>_xlfn.XLOOKUP(order[[#This Row],[product_id]],products!$A$2:$A$11,products!$B$2:$B$11)</f>
        <v>Levi's Slim Fit Jeans</v>
      </c>
      <c r="N1095" s="3" t="str">
        <f>_xlfn.XLOOKUP(order[[#This Row],[product_id]],products!$A$2:$A$11,products!$C$2:$C$11)</f>
        <v>Fashion</v>
      </c>
      <c r="O1095" s="3">
        <f>_xlfn.XLOOKUP(order[[#This Row],[product_id]],Table4[product_id],Table4[cost_price])</f>
        <v>1800</v>
      </c>
      <c r="P1095" s="11">
        <f>_xlfn.XLOOKUP(order[[#This Row],[order_id]],shipment[order_id],shipment[ship_date])</f>
        <v>45486</v>
      </c>
      <c r="Q1095" s="11">
        <f>_xlfn.XLOOKUP(order[[#This Row],[order_id]],shipment[order_id],shipment[delivery_date])</f>
        <v>45494</v>
      </c>
      <c r="R1095" s="3" t="str">
        <f>_xlfn.XLOOKUP(order[[#This Row],[order_id]],shipment[shipment_id],shipment[courier])</f>
        <v>DTDC</v>
      </c>
      <c r="S1095" s="3">
        <f>order[[#This Row],[selling_price]]-order[[#This Row],[cost_price]]*order[[#This Row],[quantity]]-order[[#This Row],[discount]]</f>
        <v>15255</v>
      </c>
      <c r="T1095" s="3">
        <f>order[[#This Row],[quantity]]*order[[#This Row],[selling_price]]</f>
        <v>41002</v>
      </c>
    </row>
    <row r="1096" spans="1:20" x14ac:dyDescent="0.3">
      <c r="A1096">
        <v>1095</v>
      </c>
      <c r="B1096" s="11">
        <v>45443</v>
      </c>
      <c r="C1096">
        <v>105</v>
      </c>
      <c r="D1096" t="str">
        <f>_xlfn.XLOOKUP(order[[#This Row],[customer_id]],customer[customer_id],customer[customer_name])</f>
        <v>Vikram Singh</v>
      </c>
      <c r="E1096">
        <v>206</v>
      </c>
      <c r="F1096">
        <v>1</v>
      </c>
      <c r="G1096">
        <v>27732</v>
      </c>
      <c r="H1096">
        <v>2936</v>
      </c>
      <c r="I1096" t="s">
        <v>9</v>
      </c>
      <c r="J1096" t="s">
        <v>12</v>
      </c>
      <c r="K1096" t="str">
        <f>_xlfn.XLOOKUP(order[[#This Row],[customer_id]],customer[customer_id],customer[city])</f>
        <v>Pune</v>
      </c>
      <c r="L1096" t="str">
        <f>_xlfn.XLOOKUP(order[[#This Row],[customer_id]],customer[customer_id],customer[state])</f>
        <v>Maharashtra</v>
      </c>
      <c r="M1096" t="str">
        <f>_xlfn.XLOOKUP(order[[#This Row],[product_id]],products!$A$2:$A$11,products!$B$2:$B$11)</f>
        <v>Philips Air Fryer</v>
      </c>
      <c r="N1096" s="3" t="str">
        <f>_xlfn.XLOOKUP(order[[#This Row],[product_id]],products!$A$2:$A$11,products!$C$2:$C$11)</f>
        <v>Home &amp; Kitchen</v>
      </c>
      <c r="O1096" s="3">
        <f>_xlfn.XLOOKUP(order[[#This Row],[product_id]],Table4[product_id],Table4[cost_price])</f>
        <v>7000</v>
      </c>
      <c r="P1096" s="11">
        <f>_xlfn.XLOOKUP(order[[#This Row],[order_id]],shipment[order_id],shipment[ship_date])</f>
        <v>45413</v>
      </c>
      <c r="Q1096" s="11">
        <f>_xlfn.XLOOKUP(order[[#This Row],[order_id]],shipment[order_id],shipment[delivery_date])</f>
        <v>45419</v>
      </c>
      <c r="R1096" s="3" t="str">
        <f>_xlfn.XLOOKUP(order[[#This Row],[order_id]],shipment[shipment_id],shipment[courier])</f>
        <v>Delhivery</v>
      </c>
      <c r="S1096" s="3">
        <f>order[[#This Row],[selling_price]]-order[[#This Row],[cost_price]]*order[[#This Row],[quantity]]-order[[#This Row],[discount]]</f>
        <v>17796</v>
      </c>
      <c r="T1096" s="3">
        <f>order[[#This Row],[quantity]]*order[[#This Row],[selling_price]]</f>
        <v>27732</v>
      </c>
    </row>
    <row r="1097" spans="1:20" x14ac:dyDescent="0.3">
      <c r="A1097">
        <v>218</v>
      </c>
      <c r="B1097" s="11">
        <v>45335</v>
      </c>
      <c r="C1097">
        <v>282</v>
      </c>
      <c r="D1097" t="str">
        <f>_xlfn.XLOOKUP(order[[#This Row],[customer_id]],customer[customer_id],customer[customer_name])</f>
        <v>Siddharth Jain</v>
      </c>
      <c r="E1097">
        <v>206</v>
      </c>
      <c r="F1097">
        <v>3</v>
      </c>
      <c r="G1097">
        <v>7057</v>
      </c>
      <c r="H1097">
        <v>1262</v>
      </c>
      <c r="I1097" t="s">
        <v>13</v>
      </c>
      <c r="J1097" t="s">
        <v>14</v>
      </c>
      <c r="K1097" t="str">
        <f>_xlfn.XLOOKUP(order[[#This Row],[customer_id]],customer[customer_id],customer[city])</f>
        <v>Delhi</v>
      </c>
      <c r="L1097" t="str">
        <f>_xlfn.XLOOKUP(order[[#This Row],[customer_id]],customer[customer_id],customer[state])</f>
        <v>Delhi</v>
      </c>
      <c r="M1097" t="str">
        <f>_xlfn.XLOOKUP(order[[#This Row],[product_id]],products!$A$2:$A$11,products!$B$2:$B$11)</f>
        <v>Philips Air Fryer</v>
      </c>
      <c r="N1097" s="3" t="str">
        <f>_xlfn.XLOOKUP(order[[#This Row],[product_id]],products!$A$2:$A$11,products!$C$2:$C$11)</f>
        <v>Home &amp; Kitchen</v>
      </c>
      <c r="O1097" s="3">
        <f>_xlfn.XLOOKUP(order[[#This Row],[product_id]],Table4[product_id],Table4[cost_price])</f>
        <v>7000</v>
      </c>
      <c r="P1097" s="11">
        <f>_xlfn.XLOOKUP(order[[#This Row],[order_id]],shipment[order_id],shipment[ship_date])</f>
        <v>45397</v>
      </c>
      <c r="Q1097" s="11">
        <f>_xlfn.XLOOKUP(order[[#This Row],[order_id]],shipment[order_id],shipment[delivery_date])</f>
        <v>45406</v>
      </c>
      <c r="R1097" s="3" t="str">
        <f>_xlfn.XLOOKUP(order[[#This Row],[order_id]],shipment[shipment_id],shipment[courier])</f>
        <v>Delhivery</v>
      </c>
      <c r="S1097" s="3">
        <f>order[[#This Row],[selling_price]]-order[[#This Row],[cost_price]]*order[[#This Row],[quantity]]-order[[#This Row],[discount]]</f>
        <v>-15205</v>
      </c>
      <c r="T1097" s="3">
        <f>order[[#This Row],[quantity]]*order[[#This Row],[selling_price]]</f>
        <v>21171</v>
      </c>
    </row>
    <row r="1098" spans="1:20" x14ac:dyDescent="0.3">
      <c r="A1098">
        <v>1097</v>
      </c>
      <c r="B1098" s="11">
        <v>45451</v>
      </c>
      <c r="C1098">
        <v>107</v>
      </c>
      <c r="D1098" t="str">
        <f>_xlfn.XLOOKUP(order[[#This Row],[customer_id]],customer[customer_id],customer[customer_name])</f>
        <v>Pooja Nair</v>
      </c>
      <c r="E1098">
        <v>203</v>
      </c>
      <c r="F1098">
        <v>2</v>
      </c>
      <c r="G1098">
        <v>20964</v>
      </c>
      <c r="H1098">
        <v>1174</v>
      </c>
      <c r="I1098" t="s">
        <v>9</v>
      </c>
      <c r="J1098" t="s">
        <v>14</v>
      </c>
      <c r="K1098" t="str">
        <f>_xlfn.XLOOKUP(order[[#This Row],[customer_id]],customer[customer_id],customer[city])</f>
        <v>Pune</v>
      </c>
      <c r="L1098" t="str">
        <f>_xlfn.XLOOKUP(order[[#This Row],[customer_id]],customer[customer_id],customer[state])</f>
        <v>Maharashtra</v>
      </c>
      <c r="M1098" t="str">
        <f>_xlfn.XLOOKUP(order[[#This Row],[product_id]],products!$A$2:$A$11,products!$B$2:$B$11)</f>
        <v>Nike Air Max Shoes</v>
      </c>
      <c r="N1098" s="3" t="str">
        <f>_xlfn.XLOOKUP(order[[#This Row],[product_id]],products!$A$2:$A$11,products!$C$2:$C$11)</f>
        <v>Fashion</v>
      </c>
      <c r="O1098" s="3">
        <f>_xlfn.XLOOKUP(order[[#This Row],[product_id]],Table4[product_id],Table4[cost_price])</f>
        <v>4000</v>
      </c>
      <c r="P1098" s="11">
        <f>_xlfn.XLOOKUP(order[[#This Row],[order_id]],shipment[order_id],shipment[ship_date])</f>
        <v>45429</v>
      </c>
      <c r="Q1098" s="11">
        <f>_xlfn.XLOOKUP(order[[#This Row],[order_id]],shipment[order_id],shipment[delivery_date])</f>
        <v>45430</v>
      </c>
      <c r="R1098" s="3" t="str">
        <f>_xlfn.XLOOKUP(order[[#This Row],[order_id]],shipment[shipment_id],shipment[courier])</f>
        <v>Delhivery</v>
      </c>
      <c r="S1098" s="3">
        <f>order[[#This Row],[selling_price]]-order[[#This Row],[cost_price]]*order[[#This Row],[quantity]]-order[[#This Row],[discount]]</f>
        <v>11790</v>
      </c>
      <c r="T1098" s="3">
        <f>order[[#This Row],[quantity]]*order[[#This Row],[selling_price]]</f>
        <v>41928</v>
      </c>
    </row>
    <row r="1099" spans="1:20" x14ac:dyDescent="0.3">
      <c r="A1099">
        <v>1098</v>
      </c>
      <c r="B1099" s="11">
        <v>45348</v>
      </c>
      <c r="C1099">
        <v>292</v>
      </c>
      <c r="D1099" t="str">
        <f>_xlfn.XLOOKUP(order[[#This Row],[customer_id]],customer[customer_id],customer[customer_name])</f>
        <v>Vikram Singh</v>
      </c>
      <c r="E1099">
        <v>210</v>
      </c>
      <c r="F1099">
        <v>2</v>
      </c>
      <c r="G1099">
        <v>67054</v>
      </c>
      <c r="H1099">
        <v>3195</v>
      </c>
      <c r="I1099" t="s">
        <v>9</v>
      </c>
      <c r="J1099" t="s">
        <v>14</v>
      </c>
      <c r="K1099" t="str">
        <f>_xlfn.XLOOKUP(order[[#This Row],[customer_id]],customer[customer_id],customer[city])</f>
        <v>Ahmedabad</v>
      </c>
      <c r="L1099" t="str">
        <f>_xlfn.XLOOKUP(order[[#This Row],[customer_id]],customer[customer_id],customer[state])</f>
        <v>Gujarat</v>
      </c>
      <c r="M1099" t="str">
        <f>_xlfn.XLOOKUP(order[[#This Row],[product_id]],products!$A$2:$A$11,products!$B$2:$B$11)</f>
        <v>LG 43 Inch Smart TV</v>
      </c>
      <c r="N1099" s="3" t="str">
        <f>_xlfn.XLOOKUP(order[[#This Row],[product_id]],products!$A$2:$A$11,products!$C$2:$C$11)</f>
        <v>Electronics</v>
      </c>
      <c r="O1099" s="3">
        <f>_xlfn.XLOOKUP(order[[#This Row],[product_id]],Table4[product_id],Table4[cost_price])</f>
        <v>30000</v>
      </c>
      <c r="P1099" s="11">
        <f>_xlfn.XLOOKUP(order[[#This Row],[order_id]],shipment[order_id],shipment[ship_date])</f>
        <v>45637</v>
      </c>
      <c r="Q1099" s="11">
        <f>_xlfn.XLOOKUP(order[[#This Row],[order_id]],shipment[order_id],shipment[delivery_date])</f>
        <v>45640</v>
      </c>
      <c r="R1099" s="3" t="str">
        <f>_xlfn.XLOOKUP(order[[#This Row],[order_id]],shipment[shipment_id],shipment[courier])</f>
        <v>Ekart</v>
      </c>
      <c r="S1099" s="3">
        <f>order[[#This Row],[selling_price]]-order[[#This Row],[cost_price]]*order[[#This Row],[quantity]]-order[[#This Row],[discount]]</f>
        <v>3859</v>
      </c>
      <c r="T1099" s="3">
        <f>order[[#This Row],[quantity]]*order[[#This Row],[selling_price]]</f>
        <v>134108</v>
      </c>
    </row>
    <row r="1100" spans="1:20" x14ac:dyDescent="0.3">
      <c r="A1100">
        <v>1099</v>
      </c>
      <c r="B1100" s="11">
        <v>45390</v>
      </c>
      <c r="C1100">
        <v>201</v>
      </c>
      <c r="D1100" t="str">
        <f>_xlfn.XLOOKUP(order[[#This Row],[customer_id]],customer[customer_id],customer[customer_name])</f>
        <v>Ishita Bose</v>
      </c>
      <c r="E1100">
        <v>209</v>
      </c>
      <c r="F1100">
        <v>1</v>
      </c>
      <c r="G1100">
        <v>42855</v>
      </c>
      <c r="H1100">
        <v>4099</v>
      </c>
      <c r="I1100" t="s">
        <v>11</v>
      </c>
      <c r="J1100" t="s">
        <v>14</v>
      </c>
      <c r="K1100" t="str">
        <f>_xlfn.XLOOKUP(order[[#This Row],[customer_id]],customer[customer_id],customer[city])</f>
        <v>Hyderabad</v>
      </c>
      <c r="L1100" t="str">
        <f>_xlfn.XLOOKUP(order[[#This Row],[customer_id]],customer[customer_id],customer[state])</f>
        <v>Telangana</v>
      </c>
      <c r="M1100" t="str">
        <f>_xlfn.XLOOKUP(order[[#This Row],[product_id]],products!$A$2:$A$11,products!$B$2:$B$11)</f>
        <v>Milton Thermosteel Bottle</v>
      </c>
      <c r="N1100" s="3" t="str">
        <f>_xlfn.XLOOKUP(order[[#This Row],[product_id]],products!$A$2:$A$11,products!$C$2:$C$11)</f>
        <v>Home &amp; Kitchen</v>
      </c>
      <c r="O1100" s="3">
        <f>_xlfn.XLOOKUP(order[[#This Row],[product_id]],Table4[product_id],Table4[cost_price])</f>
        <v>800</v>
      </c>
      <c r="P1100" s="11">
        <f>_xlfn.XLOOKUP(order[[#This Row],[order_id]],shipment[order_id],shipment[ship_date])</f>
        <v>45345</v>
      </c>
      <c r="Q1100" s="11">
        <f>_xlfn.XLOOKUP(order[[#This Row],[order_id]],shipment[order_id],shipment[delivery_date])</f>
        <v>45347</v>
      </c>
      <c r="R1100" s="3" t="str">
        <f>_xlfn.XLOOKUP(order[[#This Row],[order_id]],shipment[shipment_id],shipment[courier])</f>
        <v>DTDC</v>
      </c>
      <c r="S1100" s="3">
        <f>order[[#This Row],[selling_price]]-order[[#This Row],[cost_price]]*order[[#This Row],[quantity]]-order[[#This Row],[discount]]</f>
        <v>37956</v>
      </c>
      <c r="T1100" s="3">
        <f>order[[#This Row],[quantity]]*order[[#This Row],[selling_price]]</f>
        <v>42855</v>
      </c>
    </row>
    <row r="1101" spans="1:20" x14ac:dyDescent="0.3">
      <c r="A1101">
        <v>632</v>
      </c>
      <c r="B1101" s="11">
        <v>45555</v>
      </c>
      <c r="C1101">
        <v>117</v>
      </c>
      <c r="D1101" t="str">
        <f>_xlfn.XLOOKUP(order[[#This Row],[customer_id]],customer[customer_id],customer[customer_name])</f>
        <v>Rohit Verma</v>
      </c>
      <c r="E1101">
        <v>206</v>
      </c>
      <c r="F1101">
        <v>4</v>
      </c>
      <c r="G1101">
        <v>25753</v>
      </c>
      <c r="H1101">
        <v>1116</v>
      </c>
      <c r="I1101" t="s">
        <v>13</v>
      </c>
      <c r="J1101" t="s">
        <v>12</v>
      </c>
      <c r="K1101" t="str">
        <f>_xlfn.XLOOKUP(order[[#This Row],[customer_id]],customer[customer_id],customer[city])</f>
        <v>Bangalore</v>
      </c>
      <c r="L1101" t="str">
        <f>_xlfn.XLOOKUP(order[[#This Row],[customer_id]],customer[customer_id],customer[state])</f>
        <v>Karnataka</v>
      </c>
      <c r="M1101" t="str">
        <f>_xlfn.XLOOKUP(order[[#This Row],[product_id]],products!$A$2:$A$11,products!$B$2:$B$11)</f>
        <v>Philips Air Fryer</v>
      </c>
      <c r="N1101" s="3" t="str">
        <f>_xlfn.XLOOKUP(order[[#This Row],[product_id]],products!$A$2:$A$11,products!$C$2:$C$11)</f>
        <v>Home &amp; Kitchen</v>
      </c>
      <c r="O1101" s="3">
        <f>_xlfn.XLOOKUP(order[[#This Row],[product_id]],Table4[product_id],Table4[cost_price])</f>
        <v>7000</v>
      </c>
      <c r="P1101" s="11">
        <f>_xlfn.XLOOKUP(order[[#This Row],[order_id]],shipment[order_id],shipment[ship_date])</f>
        <v>45306</v>
      </c>
      <c r="Q1101" s="11">
        <f>_xlfn.XLOOKUP(order[[#This Row],[order_id]],shipment[order_id],shipment[delivery_date])</f>
        <v>45312</v>
      </c>
      <c r="R1101" s="3" t="str">
        <f>_xlfn.XLOOKUP(order[[#This Row],[order_id]],shipment[shipment_id],shipment[courier])</f>
        <v>Delhivery</v>
      </c>
      <c r="S1101" s="3">
        <f>order[[#This Row],[selling_price]]-order[[#This Row],[cost_price]]*order[[#This Row],[quantity]]-order[[#This Row],[discount]]</f>
        <v>-3363</v>
      </c>
      <c r="T1101" s="3">
        <f>order[[#This Row],[quantity]]*order[[#This Row],[selling_price]]</f>
        <v>103012</v>
      </c>
    </row>
    <row r="1102" spans="1:20" x14ac:dyDescent="0.3">
      <c r="A1102">
        <v>1101</v>
      </c>
      <c r="B1102" s="11">
        <v>45363</v>
      </c>
      <c r="C1102">
        <v>116</v>
      </c>
      <c r="D1102" t="str">
        <f>_xlfn.XLOOKUP(order[[#This Row],[customer_id]],customer[customer_id],customer[customer_name])</f>
        <v>Arjun Nair</v>
      </c>
      <c r="E1102">
        <v>204</v>
      </c>
      <c r="F1102">
        <v>2</v>
      </c>
      <c r="G1102">
        <v>55730</v>
      </c>
      <c r="H1102">
        <v>1891</v>
      </c>
      <c r="I1102" t="s">
        <v>13</v>
      </c>
      <c r="J1102" t="s">
        <v>12</v>
      </c>
      <c r="K1102" t="str">
        <f>_xlfn.XLOOKUP(order[[#This Row],[customer_id]],customer[customer_id],customer[city])</f>
        <v>Hyderabad</v>
      </c>
      <c r="L1102" t="str">
        <f>_xlfn.XLOOKUP(order[[#This Row],[customer_id]],customer[customer_id],customer[state])</f>
        <v>Telangana</v>
      </c>
      <c r="M1102" t="str">
        <f>_xlfn.XLOOKUP(order[[#This Row],[product_id]],products!$A$2:$A$11,products!$B$2:$B$11)</f>
        <v>Levi's Slim Fit Jeans</v>
      </c>
      <c r="N1102" s="3" t="str">
        <f>_xlfn.XLOOKUP(order[[#This Row],[product_id]],products!$A$2:$A$11,products!$C$2:$C$11)</f>
        <v>Fashion</v>
      </c>
      <c r="O1102" s="3">
        <f>_xlfn.XLOOKUP(order[[#This Row],[product_id]],Table4[product_id],Table4[cost_price])</f>
        <v>1800</v>
      </c>
      <c r="P1102" s="11">
        <f>_xlfn.XLOOKUP(order[[#This Row],[order_id]],shipment[order_id],shipment[ship_date])</f>
        <v>45448</v>
      </c>
      <c r="Q1102" s="11">
        <f>_xlfn.XLOOKUP(order[[#This Row],[order_id]],shipment[order_id],shipment[delivery_date])</f>
        <v>45456</v>
      </c>
      <c r="R1102" s="3" t="str">
        <f>_xlfn.XLOOKUP(order[[#This Row],[order_id]],shipment[shipment_id],shipment[courier])</f>
        <v>Delhivery</v>
      </c>
      <c r="S1102" s="3">
        <f>order[[#This Row],[selling_price]]-order[[#This Row],[cost_price]]*order[[#This Row],[quantity]]-order[[#This Row],[discount]]</f>
        <v>50239</v>
      </c>
      <c r="T1102" s="3">
        <f>order[[#This Row],[quantity]]*order[[#This Row],[selling_price]]</f>
        <v>111460</v>
      </c>
    </row>
    <row r="1103" spans="1:20" x14ac:dyDescent="0.3">
      <c r="A1103">
        <v>1136</v>
      </c>
      <c r="B1103" s="11">
        <v>45439</v>
      </c>
      <c r="C1103">
        <v>193</v>
      </c>
      <c r="D1103" t="str">
        <f>_xlfn.XLOOKUP(order[[#This Row],[customer_id]],customer[customer_id],customer[customer_name])</f>
        <v>Vikram Singh</v>
      </c>
      <c r="E1103">
        <v>206</v>
      </c>
      <c r="F1103">
        <v>4</v>
      </c>
      <c r="G1103">
        <v>24619</v>
      </c>
      <c r="H1103">
        <v>959</v>
      </c>
      <c r="I1103" t="s">
        <v>11</v>
      </c>
      <c r="J1103" t="s">
        <v>14</v>
      </c>
      <c r="K1103" t="str">
        <f>_xlfn.XLOOKUP(order[[#This Row],[customer_id]],customer[customer_id],customer[city])</f>
        <v>Mumbai</v>
      </c>
      <c r="L1103" t="str">
        <f>_xlfn.XLOOKUP(order[[#This Row],[customer_id]],customer[customer_id],customer[state])</f>
        <v>Maharashtra</v>
      </c>
      <c r="M1103" t="str">
        <f>_xlfn.XLOOKUP(order[[#This Row],[product_id]],products!$A$2:$A$11,products!$B$2:$B$11)</f>
        <v>Philips Air Fryer</v>
      </c>
      <c r="N1103" s="3" t="str">
        <f>_xlfn.XLOOKUP(order[[#This Row],[product_id]],products!$A$2:$A$11,products!$C$2:$C$11)</f>
        <v>Home &amp; Kitchen</v>
      </c>
      <c r="O1103" s="3">
        <f>_xlfn.XLOOKUP(order[[#This Row],[product_id]],Table4[product_id],Table4[cost_price])</f>
        <v>7000</v>
      </c>
      <c r="P1103" s="11">
        <f>_xlfn.XLOOKUP(order[[#This Row],[order_id]],shipment[order_id],shipment[ship_date])</f>
        <v>45636</v>
      </c>
      <c r="Q1103" s="11">
        <f>_xlfn.XLOOKUP(order[[#This Row],[order_id]],shipment[order_id],shipment[delivery_date])</f>
        <v>45646</v>
      </c>
      <c r="R1103" s="3" t="str">
        <f>_xlfn.XLOOKUP(order[[#This Row],[order_id]],shipment[shipment_id],shipment[courier])</f>
        <v>Delhivery</v>
      </c>
      <c r="S1103" s="3">
        <f>order[[#This Row],[selling_price]]-order[[#This Row],[cost_price]]*order[[#This Row],[quantity]]-order[[#This Row],[discount]]</f>
        <v>-4340</v>
      </c>
      <c r="T1103" s="3">
        <f>order[[#This Row],[quantity]]*order[[#This Row],[selling_price]]</f>
        <v>98476</v>
      </c>
    </row>
    <row r="1104" spans="1:20" x14ac:dyDescent="0.3">
      <c r="A1104">
        <v>938</v>
      </c>
      <c r="B1104" s="11">
        <v>45306</v>
      </c>
      <c r="C1104">
        <v>286</v>
      </c>
      <c r="D1104" t="str">
        <f>_xlfn.XLOOKUP(order[[#This Row],[customer_id]],customer[customer_id],customer[customer_name])</f>
        <v>Arjun Nair</v>
      </c>
      <c r="E1104">
        <v>206</v>
      </c>
      <c r="F1104">
        <v>4</v>
      </c>
      <c r="G1104">
        <v>25262</v>
      </c>
      <c r="H1104">
        <v>709</v>
      </c>
      <c r="I1104" t="s">
        <v>9</v>
      </c>
      <c r="J1104" t="s">
        <v>12</v>
      </c>
      <c r="K1104" t="str">
        <f>_xlfn.XLOOKUP(order[[#This Row],[customer_id]],customer[customer_id],customer[city])</f>
        <v>Hyderabad</v>
      </c>
      <c r="L1104" t="str">
        <f>_xlfn.XLOOKUP(order[[#This Row],[customer_id]],customer[customer_id],customer[state])</f>
        <v>Telangana</v>
      </c>
      <c r="M1104" t="str">
        <f>_xlfn.XLOOKUP(order[[#This Row],[product_id]],products!$A$2:$A$11,products!$B$2:$B$11)</f>
        <v>Philips Air Fryer</v>
      </c>
      <c r="N1104" s="3" t="str">
        <f>_xlfn.XLOOKUP(order[[#This Row],[product_id]],products!$A$2:$A$11,products!$C$2:$C$11)</f>
        <v>Home &amp; Kitchen</v>
      </c>
      <c r="O1104" s="3">
        <f>_xlfn.XLOOKUP(order[[#This Row],[product_id]],Table4[product_id],Table4[cost_price])</f>
        <v>7000</v>
      </c>
      <c r="P1104" s="11">
        <f>_xlfn.XLOOKUP(order[[#This Row],[order_id]],shipment[order_id],shipment[ship_date])</f>
        <v>45654</v>
      </c>
      <c r="Q1104" s="11">
        <f>_xlfn.XLOOKUP(order[[#This Row],[order_id]],shipment[order_id],shipment[delivery_date])</f>
        <v>45659</v>
      </c>
      <c r="R1104" s="3" t="str">
        <f>_xlfn.XLOOKUP(order[[#This Row],[order_id]],shipment[shipment_id],shipment[courier])</f>
        <v>DTDC</v>
      </c>
      <c r="S1104" s="3">
        <f>order[[#This Row],[selling_price]]-order[[#This Row],[cost_price]]*order[[#This Row],[quantity]]-order[[#This Row],[discount]]</f>
        <v>-3447</v>
      </c>
      <c r="T1104" s="3">
        <f>order[[#This Row],[quantity]]*order[[#This Row],[selling_price]]</f>
        <v>101048</v>
      </c>
    </row>
    <row r="1105" spans="1:20" x14ac:dyDescent="0.3">
      <c r="A1105">
        <v>875</v>
      </c>
      <c r="B1105" s="11">
        <v>45377</v>
      </c>
      <c r="C1105">
        <v>121</v>
      </c>
      <c r="D1105" t="str">
        <f>_xlfn.XLOOKUP(order[[#This Row],[customer_id]],customer[customer_id],customer[customer_name])</f>
        <v>Rohit Verma</v>
      </c>
      <c r="E1105">
        <v>206</v>
      </c>
      <c r="F1105">
        <v>3</v>
      </c>
      <c r="G1105">
        <v>10851</v>
      </c>
      <c r="H1105">
        <v>516</v>
      </c>
      <c r="I1105" t="s">
        <v>9</v>
      </c>
      <c r="J1105" t="s">
        <v>12</v>
      </c>
      <c r="K1105" t="str">
        <f>_xlfn.XLOOKUP(order[[#This Row],[customer_id]],customer[customer_id],customer[city])</f>
        <v>Bangalore</v>
      </c>
      <c r="L1105" t="str">
        <f>_xlfn.XLOOKUP(order[[#This Row],[customer_id]],customer[customer_id],customer[state])</f>
        <v>Karnataka</v>
      </c>
      <c r="M1105" t="str">
        <f>_xlfn.XLOOKUP(order[[#This Row],[product_id]],products!$A$2:$A$11,products!$B$2:$B$11)</f>
        <v>Philips Air Fryer</v>
      </c>
      <c r="N1105" s="3" t="str">
        <f>_xlfn.XLOOKUP(order[[#This Row],[product_id]],products!$A$2:$A$11,products!$C$2:$C$11)</f>
        <v>Home &amp; Kitchen</v>
      </c>
      <c r="O1105" s="3">
        <f>_xlfn.XLOOKUP(order[[#This Row],[product_id]],Table4[product_id],Table4[cost_price])</f>
        <v>7000</v>
      </c>
      <c r="P1105" s="11">
        <f>_xlfn.XLOOKUP(order[[#This Row],[order_id]],shipment[order_id],shipment[ship_date])</f>
        <v>45452</v>
      </c>
      <c r="Q1105" s="11">
        <f>_xlfn.XLOOKUP(order[[#This Row],[order_id]],shipment[order_id],shipment[delivery_date])</f>
        <v>45454</v>
      </c>
      <c r="R1105" s="3" t="str">
        <f>_xlfn.XLOOKUP(order[[#This Row],[order_id]],shipment[shipment_id],shipment[courier])</f>
        <v>Delhivery</v>
      </c>
      <c r="S1105" s="3">
        <f>order[[#This Row],[selling_price]]-order[[#This Row],[cost_price]]*order[[#This Row],[quantity]]-order[[#This Row],[discount]]</f>
        <v>-10665</v>
      </c>
      <c r="T1105" s="3">
        <f>order[[#This Row],[quantity]]*order[[#This Row],[selling_price]]</f>
        <v>32553</v>
      </c>
    </row>
    <row r="1106" spans="1:20" x14ac:dyDescent="0.3">
      <c r="A1106">
        <v>419</v>
      </c>
      <c r="B1106" s="11">
        <v>45431</v>
      </c>
      <c r="C1106">
        <v>165</v>
      </c>
      <c r="D1106" t="str">
        <f>_xlfn.XLOOKUP(order[[#This Row],[customer_id]],customer[customer_id],customer[customer_name])</f>
        <v>Ishita Bose</v>
      </c>
      <c r="E1106">
        <v>206</v>
      </c>
      <c r="F1106">
        <v>4</v>
      </c>
      <c r="G1106">
        <v>21833</v>
      </c>
      <c r="H1106">
        <v>440</v>
      </c>
      <c r="I1106" t="s">
        <v>15</v>
      </c>
      <c r="J1106" t="s">
        <v>14</v>
      </c>
      <c r="K1106" t="str">
        <f>_xlfn.XLOOKUP(order[[#This Row],[customer_id]],customer[customer_id],customer[city])</f>
        <v>Pune</v>
      </c>
      <c r="L1106" t="str">
        <f>_xlfn.XLOOKUP(order[[#This Row],[customer_id]],customer[customer_id],customer[state])</f>
        <v>Maharashtra</v>
      </c>
      <c r="M1106" t="str">
        <f>_xlfn.XLOOKUP(order[[#This Row],[product_id]],products!$A$2:$A$11,products!$B$2:$B$11)</f>
        <v>Philips Air Fryer</v>
      </c>
      <c r="N1106" s="3" t="str">
        <f>_xlfn.XLOOKUP(order[[#This Row],[product_id]],products!$A$2:$A$11,products!$C$2:$C$11)</f>
        <v>Home &amp; Kitchen</v>
      </c>
      <c r="O1106" s="3">
        <f>_xlfn.XLOOKUP(order[[#This Row],[product_id]],Table4[product_id],Table4[cost_price])</f>
        <v>7000</v>
      </c>
      <c r="P1106" s="11">
        <f>_xlfn.XLOOKUP(order[[#This Row],[order_id]],shipment[order_id],shipment[ship_date])</f>
        <v>45439</v>
      </c>
      <c r="Q1106" s="11">
        <f>_xlfn.XLOOKUP(order[[#This Row],[order_id]],shipment[order_id],shipment[delivery_date])</f>
        <v>45441</v>
      </c>
      <c r="R1106" s="3" t="str">
        <f>_xlfn.XLOOKUP(order[[#This Row],[order_id]],shipment[shipment_id],shipment[courier])</f>
        <v>BlueDart</v>
      </c>
      <c r="S1106" s="3">
        <f>order[[#This Row],[selling_price]]-order[[#This Row],[cost_price]]*order[[#This Row],[quantity]]-order[[#This Row],[discount]]</f>
        <v>-6607</v>
      </c>
      <c r="T1106" s="3">
        <f>order[[#This Row],[quantity]]*order[[#This Row],[selling_price]]</f>
        <v>87332</v>
      </c>
    </row>
    <row r="1107" spans="1:20" x14ac:dyDescent="0.3">
      <c r="A1107">
        <v>1106</v>
      </c>
      <c r="B1107" s="11">
        <v>45313</v>
      </c>
      <c r="C1107">
        <v>161</v>
      </c>
      <c r="D1107" t="str">
        <f>_xlfn.XLOOKUP(order[[#This Row],[customer_id]],customer[customer_id],customer[customer_name])</f>
        <v>Arjun Nair</v>
      </c>
      <c r="E1107">
        <v>208</v>
      </c>
      <c r="F1107">
        <v>3</v>
      </c>
      <c r="G1107">
        <v>61303</v>
      </c>
      <c r="H1107">
        <v>1144</v>
      </c>
      <c r="I1107" t="s">
        <v>13</v>
      </c>
      <c r="J1107" t="s">
        <v>14</v>
      </c>
      <c r="K1107" t="str">
        <f>_xlfn.XLOOKUP(order[[#This Row],[customer_id]],customer[customer_id],customer[city])</f>
        <v>Hyderabad</v>
      </c>
      <c r="L1107" t="str">
        <f>_xlfn.XLOOKUP(order[[#This Row],[customer_id]],customer[customer_id],customer[state])</f>
        <v>Telangana</v>
      </c>
      <c r="M1107" t="str">
        <f>_xlfn.XLOOKUP(order[[#This Row],[product_id]],products!$A$2:$A$11,products!$B$2:$B$11)</f>
        <v>Adidas Ultraboost Shoes</v>
      </c>
      <c r="N1107" s="3" t="str">
        <f>_xlfn.XLOOKUP(order[[#This Row],[product_id]],products!$A$2:$A$11,products!$C$2:$C$11)</f>
        <v>Fashion</v>
      </c>
      <c r="O1107" s="3">
        <f>_xlfn.XLOOKUP(order[[#This Row],[product_id]],Table4[product_id],Table4[cost_price])</f>
        <v>9000</v>
      </c>
      <c r="P1107" s="11">
        <f>_xlfn.XLOOKUP(order[[#This Row],[order_id]],shipment[order_id],shipment[ship_date])</f>
        <v>45573</v>
      </c>
      <c r="Q1107" s="11">
        <f>_xlfn.XLOOKUP(order[[#This Row],[order_id]],shipment[order_id],shipment[delivery_date])</f>
        <v>45575</v>
      </c>
      <c r="R1107" s="3" t="str">
        <f>_xlfn.XLOOKUP(order[[#This Row],[order_id]],shipment[shipment_id],shipment[courier])</f>
        <v>BlueDart</v>
      </c>
      <c r="S1107" s="3">
        <f>order[[#This Row],[selling_price]]-order[[#This Row],[cost_price]]*order[[#This Row],[quantity]]-order[[#This Row],[discount]]</f>
        <v>33159</v>
      </c>
      <c r="T1107" s="3">
        <f>order[[#This Row],[quantity]]*order[[#This Row],[selling_price]]</f>
        <v>183909</v>
      </c>
    </row>
    <row r="1108" spans="1:20" x14ac:dyDescent="0.3">
      <c r="A1108">
        <v>1107</v>
      </c>
      <c r="B1108" s="11">
        <v>45591</v>
      </c>
      <c r="C1108">
        <v>233</v>
      </c>
      <c r="D1108" t="str">
        <f>_xlfn.XLOOKUP(order[[#This Row],[customer_id]],customer[customer_id],customer[customer_name])</f>
        <v>Arjun Nair</v>
      </c>
      <c r="E1108">
        <v>203</v>
      </c>
      <c r="F1108">
        <v>4</v>
      </c>
      <c r="G1108">
        <v>62503</v>
      </c>
      <c r="H1108">
        <v>874</v>
      </c>
      <c r="I1108" t="s">
        <v>13</v>
      </c>
      <c r="J1108" t="s">
        <v>14</v>
      </c>
      <c r="K1108" t="str">
        <f>_xlfn.XLOOKUP(order[[#This Row],[customer_id]],customer[customer_id],customer[city])</f>
        <v>Hyderabad</v>
      </c>
      <c r="L1108" t="str">
        <f>_xlfn.XLOOKUP(order[[#This Row],[customer_id]],customer[customer_id],customer[state])</f>
        <v>Telangana</v>
      </c>
      <c r="M1108" t="str">
        <f>_xlfn.XLOOKUP(order[[#This Row],[product_id]],products!$A$2:$A$11,products!$B$2:$B$11)</f>
        <v>Nike Air Max Shoes</v>
      </c>
      <c r="N1108" s="3" t="str">
        <f>_xlfn.XLOOKUP(order[[#This Row],[product_id]],products!$A$2:$A$11,products!$C$2:$C$11)</f>
        <v>Fashion</v>
      </c>
      <c r="O1108" s="3">
        <f>_xlfn.XLOOKUP(order[[#This Row],[product_id]],Table4[product_id],Table4[cost_price])</f>
        <v>4000</v>
      </c>
      <c r="P1108" s="11">
        <f>_xlfn.XLOOKUP(order[[#This Row],[order_id]],shipment[order_id],shipment[ship_date])</f>
        <v>45478</v>
      </c>
      <c r="Q1108" s="11">
        <f>_xlfn.XLOOKUP(order[[#This Row],[order_id]],shipment[order_id],shipment[delivery_date])</f>
        <v>45482</v>
      </c>
      <c r="R1108" s="3" t="str">
        <f>_xlfn.XLOOKUP(order[[#This Row],[order_id]],shipment[shipment_id],shipment[courier])</f>
        <v>DTDC</v>
      </c>
      <c r="S1108" s="3">
        <f>order[[#This Row],[selling_price]]-order[[#This Row],[cost_price]]*order[[#This Row],[quantity]]-order[[#This Row],[discount]]</f>
        <v>45629</v>
      </c>
      <c r="T1108" s="3">
        <f>order[[#This Row],[quantity]]*order[[#This Row],[selling_price]]</f>
        <v>250012</v>
      </c>
    </row>
    <row r="1109" spans="1:20" x14ac:dyDescent="0.3">
      <c r="A1109">
        <v>1108</v>
      </c>
      <c r="B1109" s="11">
        <v>45387</v>
      </c>
      <c r="C1109">
        <v>170</v>
      </c>
      <c r="D1109" t="str">
        <f>_xlfn.XLOOKUP(order[[#This Row],[customer_id]],customer[customer_id],customer[customer_name])</f>
        <v>Siddharth Jain</v>
      </c>
      <c r="E1109">
        <v>205</v>
      </c>
      <c r="F1109">
        <v>2</v>
      </c>
      <c r="G1109">
        <v>8357</v>
      </c>
      <c r="H1109">
        <v>915</v>
      </c>
      <c r="I1109" t="s">
        <v>9</v>
      </c>
      <c r="J1109" t="s">
        <v>10</v>
      </c>
      <c r="K1109" t="str">
        <f>_xlfn.XLOOKUP(order[[#This Row],[customer_id]],customer[customer_id],customer[city])</f>
        <v>Pune</v>
      </c>
      <c r="L1109" t="str">
        <f>_xlfn.XLOOKUP(order[[#This Row],[customer_id]],customer[customer_id],customer[state])</f>
        <v>Maharashtra</v>
      </c>
      <c r="M1109" t="str">
        <f>_xlfn.XLOOKUP(order[[#This Row],[product_id]],products!$A$2:$A$11,products!$B$2:$B$11)</f>
        <v>Prestige Pressure Cooker 5L</v>
      </c>
      <c r="N1109" s="3" t="str">
        <f>_xlfn.XLOOKUP(order[[#This Row],[product_id]],products!$A$2:$A$11,products!$C$2:$C$11)</f>
        <v>Home &amp; Kitchen</v>
      </c>
      <c r="O1109" s="3">
        <f>_xlfn.XLOOKUP(order[[#This Row],[product_id]],Table4[product_id],Table4[cost_price])</f>
        <v>1200</v>
      </c>
      <c r="P1109" s="11">
        <f>_xlfn.XLOOKUP(order[[#This Row],[order_id]],shipment[order_id],shipment[ship_date])</f>
        <v>45454</v>
      </c>
      <c r="Q1109" s="11">
        <f>_xlfn.XLOOKUP(order[[#This Row],[order_id]],shipment[order_id],shipment[delivery_date])</f>
        <v>45462</v>
      </c>
      <c r="R1109" s="3" t="str">
        <f>_xlfn.XLOOKUP(order[[#This Row],[order_id]],shipment[shipment_id],shipment[courier])</f>
        <v>Delhivery</v>
      </c>
      <c r="S1109" s="3">
        <f>order[[#This Row],[selling_price]]-order[[#This Row],[cost_price]]*order[[#This Row],[quantity]]-order[[#This Row],[discount]]</f>
        <v>5042</v>
      </c>
      <c r="T1109" s="3">
        <f>order[[#This Row],[quantity]]*order[[#This Row],[selling_price]]</f>
        <v>16714</v>
      </c>
    </row>
    <row r="1110" spans="1:20" x14ac:dyDescent="0.3">
      <c r="A1110">
        <v>1109</v>
      </c>
      <c r="B1110" s="11">
        <v>45539</v>
      </c>
      <c r="C1110">
        <v>283</v>
      </c>
      <c r="D1110" t="str">
        <f>_xlfn.XLOOKUP(order[[#This Row],[customer_id]],customer[customer_id],customer[customer_name])</f>
        <v>Neha Kapoor</v>
      </c>
      <c r="E1110">
        <v>205</v>
      </c>
      <c r="F1110">
        <v>3</v>
      </c>
      <c r="G1110">
        <v>7084</v>
      </c>
      <c r="H1110">
        <v>1041</v>
      </c>
      <c r="I1110" t="s">
        <v>15</v>
      </c>
      <c r="J1110" t="s">
        <v>14</v>
      </c>
      <c r="K1110" t="str">
        <f>_xlfn.XLOOKUP(order[[#This Row],[customer_id]],customer[customer_id],customer[city])</f>
        <v>Ahmedabad</v>
      </c>
      <c r="L1110" t="str">
        <f>_xlfn.XLOOKUP(order[[#This Row],[customer_id]],customer[customer_id],customer[state])</f>
        <v>Gujarat</v>
      </c>
      <c r="M1110" t="str">
        <f>_xlfn.XLOOKUP(order[[#This Row],[product_id]],products!$A$2:$A$11,products!$B$2:$B$11)</f>
        <v>Prestige Pressure Cooker 5L</v>
      </c>
      <c r="N1110" s="3" t="str">
        <f>_xlfn.XLOOKUP(order[[#This Row],[product_id]],products!$A$2:$A$11,products!$C$2:$C$11)</f>
        <v>Home &amp; Kitchen</v>
      </c>
      <c r="O1110" s="3">
        <f>_xlfn.XLOOKUP(order[[#This Row],[product_id]],Table4[product_id],Table4[cost_price])</f>
        <v>1200</v>
      </c>
      <c r="P1110" s="11">
        <f>_xlfn.XLOOKUP(order[[#This Row],[order_id]],shipment[order_id],shipment[ship_date])</f>
        <v>45292</v>
      </c>
      <c r="Q1110" s="11">
        <f>_xlfn.XLOOKUP(order[[#This Row],[order_id]],shipment[order_id],shipment[delivery_date])</f>
        <v>45300</v>
      </c>
      <c r="R1110" s="3" t="str">
        <f>_xlfn.XLOOKUP(order[[#This Row],[order_id]],shipment[shipment_id],shipment[courier])</f>
        <v>DTDC</v>
      </c>
      <c r="S1110" s="3">
        <f>order[[#This Row],[selling_price]]-order[[#This Row],[cost_price]]*order[[#This Row],[quantity]]-order[[#This Row],[discount]]</f>
        <v>2443</v>
      </c>
      <c r="T1110" s="3">
        <f>order[[#This Row],[quantity]]*order[[#This Row],[selling_price]]</f>
        <v>21252</v>
      </c>
    </row>
    <row r="1111" spans="1:20" x14ac:dyDescent="0.3">
      <c r="A1111">
        <v>1110</v>
      </c>
      <c r="B1111" s="11">
        <v>45649</v>
      </c>
      <c r="C1111">
        <v>208</v>
      </c>
      <c r="D1111" t="str">
        <f>_xlfn.XLOOKUP(order[[#This Row],[customer_id]],customer[customer_id],customer[customer_name])</f>
        <v>Arjun Nair</v>
      </c>
      <c r="E1111">
        <v>203</v>
      </c>
      <c r="F1111">
        <v>2</v>
      </c>
      <c r="G1111">
        <v>45250</v>
      </c>
      <c r="H1111">
        <v>2769</v>
      </c>
      <c r="I1111" t="s">
        <v>13</v>
      </c>
      <c r="J1111" t="s">
        <v>14</v>
      </c>
      <c r="K1111" t="str">
        <f>_xlfn.XLOOKUP(order[[#This Row],[customer_id]],customer[customer_id],customer[city])</f>
        <v>Mumbai</v>
      </c>
      <c r="L1111" t="str">
        <f>_xlfn.XLOOKUP(order[[#This Row],[customer_id]],customer[customer_id],customer[state])</f>
        <v>Maharashtra</v>
      </c>
      <c r="M1111" t="str">
        <f>_xlfn.XLOOKUP(order[[#This Row],[product_id]],products!$A$2:$A$11,products!$B$2:$B$11)</f>
        <v>Nike Air Max Shoes</v>
      </c>
      <c r="N1111" s="3" t="str">
        <f>_xlfn.XLOOKUP(order[[#This Row],[product_id]],products!$A$2:$A$11,products!$C$2:$C$11)</f>
        <v>Fashion</v>
      </c>
      <c r="O1111" s="3">
        <f>_xlfn.XLOOKUP(order[[#This Row],[product_id]],Table4[product_id],Table4[cost_price])</f>
        <v>4000</v>
      </c>
      <c r="P1111" s="11">
        <f>_xlfn.XLOOKUP(order[[#This Row],[order_id]],shipment[order_id],shipment[ship_date])</f>
        <v>45454</v>
      </c>
      <c r="Q1111" s="11">
        <f>_xlfn.XLOOKUP(order[[#This Row],[order_id]],shipment[order_id],shipment[delivery_date])</f>
        <v>45463</v>
      </c>
      <c r="R1111" s="3" t="str">
        <f>_xlfn.XLOOKUP(order[[#This Row],[order_id]],shipment[shipment_id],shipment[courier])</f>
        <v>Ekart</v>
      </c>
      <c r="S1111" s="3">
        <f>order[[#This Row],[selling_price]]-order[[#This Row],[cost_price]]*order[[#This Row],[quantity]]-order[[#This Row],[discount]]</f>
        <v>34481</v>
      </c>
      <c r="T1111" s="3">
        <f>order[[#This Row],[quantity]]*order[[#This Row],[selling_price]]</f>
        <v>90500</v>
      </c>
    </row>
    <row r="1112" spans="1:20" x14ac:dyDescent="0.3">
      <c r="A1112">
        <v>1111</v>
      </c>
      <c r="B1112" s="11">
        <v>45634</v>
      </c>
      <c r="C1112">
        <v>268</v>
      </c>
      <c r="D1112" t="str">
        <f>_xlfn.XLOOKUP(order[[#This Row],[customer_id]],customer[customer_id],customer[customer_name])</f>
        <v>Rahul Mehta</v>
      </c>
      <c r="E1112">
        <v>205</v>
      </c>
      <c r="F1112">
        <v>1</v>
      </c>
      <c r="G1112">
        <v>60826</v>
      </c>
      <c r="H1112">
        <v>237</v>
      </c>
      <c r="I1112" t="s">
        <v>13</v>
      </c>
      <c r="J1112" t="s">
        <v>10</v>
      </c>
      <c r="K1112" t="str">
        <f>_xlfn.XLOOKUP(order[[#This Row],[customer_id]],customer[customer_id],customer[city])</f>
        <v>Mumbai</v>
      </c>
      <c r="L1112" t="str">
        <f>_xlfn.XLOOKUP(order[[#This Row],[customer_id]],customer[customer_id],customer[state])</f>
        <v>Maharashtra</v>
      </c>
      <c r="M1112" t="str">
        <f>_xlfn.XLOOKUP(order[[#This Row],[product_id]],products!$A$2:$A$11,products!$B$2:$B$11)</f>
        <v>Prestige Pressure Cooker 5L</v>
      </c>
      <c r="N1112" s="3" t="str">
        <f>_xlfn.XLOOKUP(order[[#This Row],[product_id]],products!$A$2:$A$11,products!$C$2:$C$11)</f>
        <v>Home &amp; Kitchen</v>
      </c>
      <c r="O1112" s="3">
        <f>_xlfn.XLOOKUP(order[[#This Row],[product_id]],Table4[product_id],Table4[cost_price])</f>
        <v>1200</v>
      </c>
      <c r="P1112" s="11">
        <f>_xlfn.XLOOKUP(order[[#This Row],[order_id]],shipment[order_id],shipment[ship_date])</f>
        <v>45301</v>
      </c>
      <c r="Q1112" s="11">
        <f>_xlfn.XLOOKUP(order[[#This Row],[order_id]],shipment[order_id],shipment[delivery_date])</f>
        <v>45306</v>
      </c>
      <c r="R1112" s="3" t="str">
        <f>_xlfn.XLOOKUP(order[[#This Row],[order_id]],shipment[shipment_id],shipment[courier])</f>
        <v>DTDC</v>
      </c>
      <c r="S1112" s="3">
        <f>order[[#This Row],[selling_price]]-order[[#This Row],[cost_price]]*order[[#This Row],[quantity]]-order[[#This Row],[discount]]</f>
        <v>59389</v>
      </c>
      <c r="T1112" s="3">
        <f>order[[#This Row],[quantity]]*order[[#This Row],[selling_price]]</f>
        <v>60826</v>
      </c>
    </row>
    <row r="1113" spans="1:20" x14ac:dyDescent="0.3">
      <c r="A1113">
        <v>1112</v>
      </c>
      <c r="B1113" s="11">
        <v>45509</v>
      </c>
      <c r="C1113">
        <v>252</v>
      </c>
      <c r="D1113" t="str">
        <f>_xlfn.XLOOKUP(order[[#This Row],[customer_id]],customer[customer_id],customer[customer_name])</f>
        <v>Ananya Gupta</v>
      </c>
      <c r="E1113">
        <v>204</v>
      </c>
      <c r="F1113">
        <v>4</v>
      </c>
      <c r="G1113">
        <v>51487</v>
      </c>
      <c r="H1113">
        <v>1516</v>
      </c>
      <c r="I1113" t="s">
        <v>11</v>
      </c>
      <c r="J1113" t="s">
        <v>10</v>
      </c>
      <c r="K1113" t="str">
        <f>_xlfn.XLOOKUP(order[[#This Row],[customer_id]],customer[customer_id],customer[city])</f>
        <v>Pune</v>
      </c>
      <c r="L1113" t="str">
        <f>_xlfn.XLOOKUP(order[[#This Row],[customer_id]],customer[customer_id],customer[state])</f>
        <v>Maharashtra</v>
      </c>
      <c r="M1113" t="str">
        <f>_xlfn.XLOOKUP(order[[#This Row],[product_id]],products!$A$2:$A$11,products!$B$2:$B$11)</f>
        <v>Levi's Slim Fit Jeans</v>
      </c>
      <c r="N1113" s="3" t="str">
        <f>_xlfn.XLOOKUP(order[[#This Row],[product_id]],products!$A$2:$A$11,products!$C$2:$C$11)</f>
        <v>Fashion</v>
      </c>
      <c r="O1113" s="3">
        <f>_xlfn.XLOOKUP(order[[#This Row],[product_id]],Table4[product_id],Table4[cost_price])</f>
        <v>1800</v>
      </c>
      <c r="P1113" s="11">
        <f>_xlfn.XLOOKUP(order[[#This Row],[order_id]],shipment[order_id],shipment[ship_date])</f>
        <v>45337</v>
      </c>
      <c r="Q1113" s="11">
        <f>_xlfn.XLOOKUP(order[[#This Row],[order_id]],shipment[order_id],shipment[delivery_date])</f>
        <v>45339</v>
      </c>
      <c r="R1113" s="3" t="str">
        <f>_xlfn.XLOOKUP(order[[#This Row],[order_id]],shipment[shipment_id],shipment[courier])</f>
        <v>DTDC</v>
      </c>
      <c r="S1113" s="3">
        <f>order[[#This Row],[selling_price]]-order[[#This Row],[cost_price]]*order[[#This Row],[quantity]]-order[[#This Row],[discount]]</f>
        <v>42771</v>
      </c>
      <c r="T1113" s="3">
        <f>order[[#This Row],[quantity]]*order[[#This Row],[selling_price]]</f>
        <v>205948</v>
      </c>
    </row>
    <row r="1114" spans="1:20" x14ac:dyDescent="0.3">
      <c r="A1114">
        <v>385</v>
      </c>
      <c r="B1114" s="11">
        <v>45617</v>
      </c>
      <c r="C1114">
        <v>117</v>
      </c>
      <c r="D1114" t="str">
        <f>_xlfn.XLOOKUP(order[[#This Row],[customer_id]],customer[customer_id],customer[customer_name])</f>
        <v>Rohit Verma</v>
      </c>
      <c r="E1114">
        <v>206</v>
      </c>
      <c r="F1114">
        <v>4</v>
      </c>
      <c r="G1114">
        <v>5481</v>
      </c>
      <c r="H1114">
        <v>213</v>
      </c>
      <c r="I1114" t="s">
        <v>11</v>
      </c>
      <c r="J1114" t="s">
        <v>12</v>
      </c>
      <c r="K1114" t="str">
        <f>_xlfn.XLOOKUP(order[[#This Row],[customer_id]],customer[customer_id],customer[city])</f>
        <v>Bangalore</v>
      </c>
      <c r="L1114" t="str">
        <f>_xlfn.XLOOKUP(order[[#This Row],[customer_id]],customer[customer_id],customer[state])</f>
        <v>Karnataka</v>
      </c>
      <c r="M1114" t="str">
        <f>_xlfn.XLOOKUP(order[[#This Row],[product_id]],products!$A$2:$A$11,products!$B$2:$B$11)</f>
        <v>Philips Air Fryer</v>
      </c>
      <c r="N1114" s="3" t="str">
        <f>_xlfn.XLOOKUP(order[[#This Row],[product_id]],products!$A$2:$A$11,products!$C$2:$C$11)</f>
        <v>Home &amp; Kitchen</v>
      </c>
      <c r="O1114" s="3">
        <f>_xlfn.XLOOKUP(order[[#This Row],[product_id]],Table4[product_id],Table4[cost_price])</f>
        <v>7000</v>
      </c>
      <c r="P1114" s="11">
        <f>_xlfn.XLOOKUP(order[[#This Row],[order_id]],shipment[order_id],shipment[ship_date])</f>
        <v>45514</v>
      </c>
      <c r="Q1114" s="11">
        <f>_xlfn.XLOOKUP(order[[#This Row],[order_id]],shipment[order_id],shipment[delivery_date])</f>
        <v>45515</v>
      </c>
      <c r="R1114" s="3" t="str">
        <f>_xlfn.XLOOKUP(order[[#This Row],[order_id]],shipment[shipment_id],shipment[courier])</f>
        <v>Ekart</v>
      </c>
      <c r="S1114" s="3">
        <f>order[[#This Row],[selling_price]]-order[[#This Row],[cost_price]]*order[[#This Row],[quantity]]-order[[#This Row],[discount]]</f>
        <v>-22732</v>
      </c>
      <c r="T1114" s="3">
        <f>order[[#This Row],[quantity]]*order[[#This Row],[selling_price]]</f>
        <v>21924</v>
      </c>
    </row>
    <row r="1115" spans="1:20" x14ac:dyDescent="0.3">
      <c r="A1115">
        <v>1114</v>
      </c>
      <c r="B1115" s="11">
        <v>45414</v>
      </c>
      <c r="C1115">
        <v>267</v>
      </c>
      <c r="D1115" t="str">
        <f>_xlfn.XLOOKUP(order[[#This Row],[customer_id]],customer[customer_id],customer[customer_name])</f>
        <v>Neha Kapoor</v>
      </c>
      <c r="E1115">
        <v>206</v>
      </c>
      <c r="F1115">
        <v>2</v>
      </c>
      <c r="G1115">
        <v>48749</v>
      </c>
      <c r="H1115">
        <v>4295</v>
      </c>
      <c r="I1115" t="s">
        <v>11</v>
      </c>
      <c r="J1115" t="s">
        <v>14</v>
      </c>
      <c r="K1115" t="str">
        <f>_xlfn.XLOOKUP(order[[#This Row],[customer_id]],customer[customer_id],customer[city])</f>
        <v>Hyderabad</v>
      </c>
      <c r="L1115" t="str">
        <f>_xlfn.XLOOKUP(order[[#This Row],[customer_id]],customer[customer_id],customer[state])</f>
        <v>Telangana</v>
      </c>
      <c r="M1115" t="str">
        <f>_xlfn.XLOOKUP(order[[#This Row],[product_id]],products!$A$2:$A$11,products!$B$2:$B$11)</f>
        <v>Philips Air Fryer</v>
      </c>
      <c r="N1115" s="3" t="str">
        <f>_xlfn.XLOOKUP(order[[#This Row],[product_id]],products!$A$2:$A$11,products!$C$2:$C$11)</f>
        <v>Home &amp; Kitchen</v>
      </c>
      <c r="O1115" s="3">
        <f>_xlfn.XLOOKUP(order[[#This Row],[product_id]],Table4[product_id],Table4[cost_price])</f>
        <v>7000</v>
      </c>
      <c r="P1115" s="11">
        <f>_xlfn.XLOOKUP(order[[#This Row],[order_id]],shipment[order_id],shipment[ship_date])</f>
        <v>45313</v>
      </c>
      <c r="Q1115" s="11">
        <f>_xlfn.XLOOKUP(order[[#This Row],[order_id]],shipment[order_id],shipment[delivery_date])</f>
        <v>45321</v>
      </c>
      <c r="R1115" s="3" t="str">
        <f>_xlfn.XLOOKUP(order[[#This Row],[order_id]],shipment[shipment_id],shipment[courier])</f>
        <v>DTDC</v>
      </c>
      <c r="S1115" s="3">
        <f>order[[#This Row],[selling_price]]-order[[#This Row],[cost_price]]*order[[#This Row],[quantity]]-order[[#This Row],[discount]]</f>
        <v>30454</v>
      </c>
      <c r="T1115" s="3">
        <f>order[[#This Row],[quantity]]*order[[#This Row],[selling_price]]</f>
        <v>97498</v>
      </c>
    </row>
    <row r="1116" spans="1:20" x14ac:dyDescent="0.3">
      <c r="A1116">
        <v>1115</v>
      </c>
      <c r="B1116" s="11">
        <v>45498</v>
      </c>
      <c r="C1116">
        <v>290</v>
      </c>
      <c r="D1116" t="str">
        <f>_xlfn.XLOOKUP(order[[#This Row],[customer_id]],customer[customer_id],customer[customer_name])</f>
        <v>Karan Patel</v>
      </c>
      <c r="E1116">
        <v>207</v>
      </c>
      <c r="F1116">
        <v>2</v>
      </c>
      <c r="G1116">
        <v>62746</v>
      </c>
      <c r="H1116">
        <v>2440</v>
      </c>
      <c r="I1116" t="s">
        <v>9</v>
      </c>
      <c r="J1116" t="s">
        <v>10</v>
      </c>
      <c r="K1116" t="str">
        <f>_xlfn.XLOOKUP(order[[#This Row],[customer_id]],customer[customer_id],customer[city])</f>
        <v>Pune</v>
      </c>
      <c r="L1116" t="str">
        <f>_xlfn.XLOOKUP(order[[#This Row],[customer_id]],customer[customer_id],customer[state])</f>
        <v>Maharashtra</v>
      </c>
      <c r="M1116" t="str">
        <f>_xlfn.XLOOKUP(order[[#This Row],[product_id]],products!$A$2:$A$11,products!$B$2:$B$11)</f>
        <v>Sony WH-1000XM4 Headphones</v>
      </c>
      <c r="N1116" s="3" t="str">
        <f>_xlfn.XLOOKUP(order[[#This Row],[product_id]],products!$A$2:$A$11,products!$C$2:$C$11)</f>
        <v>Electronics</v>
      </c>
      <c r="O1116" s="3">
        <f>_xlfn.XLOOKUP(order[[#This Row],[product_id]],Table4[product_id],Table4[cost_price])</f>
        <v>20000</v>
      </c>
      <c r="P1116" s="11">
        <f>_xlfn.XLOOKUP(order[[#This Row],[order_id]],shipment[order_id],shipment[ship_date])</f>
        <v>45650</v>
      </c>
      <c r="Q1116" s="11">
        <f>_xlfn.XLOOKUP(order[[#This Row],[order_id]],shipment[order_id],shipment[delivery_date])</f>
        <v>45653</v>
      </c>
      <c r="R1116" s="3" t="str">
        <f>_xlfn.XLOOKUP(order[[#This Row],[order_id]],shipment[shipment_id],shipment[courier])</f>
        <v>BlueDart</v>
      </c>
      <c r="S1116" s="3">
        <f>order[[#This Row],[selling_price]]-order[[#This Row],[cost_price]]*order[[#This Row],[quantity]]-order[[#This Row],[discount]]</f>
        <v>20306</v>
      </c>
      <c r="T1116" s="3">
        <f>order[[#This Row],[quantity]]*order[[#This Row],[selling_price]]</f>
        <v>125492</v>
      </c>
    </row>
    <row r="1117" spans="1:20" x14ac:dyDescent="0.3">
      <c r="A1117">
        <v>1116</v>
      </c>
      <c r="B1117" s="11">
        <v>45562</v>
      </c>
      <c r="C1117">
        <v>185</v>
      </c>
      <c r="D1117" t="str">
        <f>_xlfn.XLOOKUP(order[[#This Row],[customer_id]],customer[customer_id],customer[customer_name])</f>
        <v>Karan Patel</v>
      </c>
      <c r="E1117">
        <v>210</v>
      </c>
      <c r="F1117">
        <v>1</v>
      </c>
      <c r="G1117">
        <v>50298</v>
      </c>
      <c r="H1117">
        <v>3485</v>
      </c>
      <c r="I1117" t="s">
        <v>13</v>
      </c>
      <c r="J1117" t="s">
        <v>14</v>
      </c>
      <c r="K1117" t="str">
        <f>_xlfn.XLOOKUP(order[[#This Row],[customer_id]],customer[customer_id],customer[city])</f>
        <v>Pune</v>
      </c>
      <c r="L1117" t="str">
        <f>_xlfn.XLOOKUP(order[[#This Row],[customer_id]],customer[customer_id],customer[state])</f>
        <v>Maharashtra</v>
      </c>
      <c r="M1117" t="str">
        <f>_xlfn.XLOOKUP(order[[#This Row],[product_id]],products!$A$2:$A$11,products!$B$2:$B$11)</f>
        <v>LG 43 Inch Smart TV</v>
      </c>
      <c r="N1117" s="3" t="str">
        <f>_xlfn.XLOOKUP(order[[#This Row],[product_id]],products!$A$2:$A$11,products!$C$2:$C$11)</f>
        <v>Electronics</v>
      </c>
      <c r="O1117" s="3">
        <f>_xlfn.XLOOKUP(order[[#This Row],[product_id]],Table4[product_id],Table4[cost_price])</f>
        <v>30000</v>
      </c>
      <c r="P1117" s="11">
        <f>_xlfn.XLOOKUP(order[[#This Row],[order_id]],shipment[order_id],shipment[ship_date])</f>
        <v>45554</v>
      </c>
      <c r="Q1117" s="11">
        <f>_xlfn.XLOOKUP(order[[#This Row],[order_id]],shipment[order_id],shipment[delivery_date])</f>
        <v>45555</v>
      </c>
      <c r="R1117" s="3" t="str">
        <f>_xlfn.XLOOKUP(order[[#This Row],[order_id]],shipment[shipment_id],shipment[courier])</f>
        <v>DTDC</v>
      </c>
      <c r="S1117" s="3">
        <f>order[[#This Row],[selling_price]]-order[[#This Row],[cost_price]]*order[[#This Row],[quantity]]-order[[#This Row],[discount]]</f>
        <v>16813</v>
      </c>
      <c r="T1117" s="3">
        <f>order[[#This Row],[quantity]]*order[[#This Row],[selling_price]]</f>
        <v>50298</v>
      </c>
    </row>
    <row r="1118" spans="1:20" x14ac:dyDescent="0.3">
      <c r="A1118">
        <v>1117</v>
      </c>
      <c r="B1118" s="11">
        <v>45328</v>
      </c>
      <c r="C1118">
        <v>298</v>
      </c>
      <c r="D1118" t="str">
        <f>_xlfn.XLOOKUP(order[[#This Row],[customer_id]],customer[customer_id],customer[customer_name])</f>
        <v>Karan Patel</v>
      </c>
      <c r="E1118">
        <v>204</v>
      </c>
      <c r="F1118">
        <v>1</v>
      </c>
      <c r="G1118">
        <v>14127</v>
      </c>
      <c r="H1118">
        <v>4653</v>
      </c>
      <c r="I1118" t="s">
        <v>11</v>
      </c>
      <c r="J1118" t="s">
        <v>10</v>
      </c>
      <c r="K1118" t="str">
        <f>_xlfn.XLOOKUP(order[[#This Row],[customer_id]],customer[customer_id],customer[city])</f>
        <v>Bangalore</v>
      </c>
      <c r="L1118" t="str">
        <f>_xlfn.XLOOKUP(order[[#This Row],[customer_id]],customer[customer_id],customer[state])</f>
        <v>Karnataka</v>
      </c>
      <c r="M1118" t="str">
        <f>_xlfn.XLOOKUP(order[[#This Row],[product_id]],products!$A$2:$A$11,products!$B$2:$B$11)</f>
        <v>Levi's Slim Fit Jeans</v>
      </c>
      <c r="N1118" s="3" t="str">
        <f>_xlfn.XLOOKUP(order[[#This Row],[product_id]],products!$A$2:$A$11,products!$C$2:$C$11)</f>
        <v>Fashion</v>
      </c>
      <c r="O1118" s="3">
        <f>_xlfn.XLOOKUP(order[[#This Row],[product_id]],Table4[product_id],Table4[cost_price])</f>
        <v>1800</v>
      </c>
      <c r="P1118" s="11">
        <f>_xlfn.XLOOKUP(order[[#This Row],[order_id]],shipment[order_id],shipment[ship_date])</f>
        <v>45409</v>
      </c>
      <c r="Q1118" s="11">
        <f>_xlfn.XLOOKUP(order[[#This Row],[order_id]],shipment[order_id],shipment[delivery_date])</f>
        <v>45414</v>
      </c>
      <c r="R1118" s="3" t="str">
        <f>_xlfn.XLOOKUP(order[[#This Row],[order_id]],shipment[shipment_id],shipment[courier])</f>
        <v>DTDC</v>
      </c>
      <c r="S1118" s="3">
        <f>order[[#This Row],[selling_price]]-order[[#This Row],[cost_price]]*order[[#This Row],[quantity]]-order[[#This Row],[discount]]</f>
        <v>7674</v>
      </c>
      <c r="T1118" s="3">
        <f>order[[#This Row],[quantity]]*order[[#This Row],[selling_price]]</f>
        <v>14127</v>
      </c>
    </row>
    <row r="1119" spans="1:20" x14ac:dyDescent="0.3">
      <c r="A1119">
        <v>1057</v>
      </c>
      <c r="B1119" s="11">
        <v>45369</v>
      </c>
      <c r="C1119">
        <v>251</v>
      </c>
      <c r="D1119" t="str">
        <f>_xlfn.XLOOKUP(order[[#This Row],[customer_id]],customer[customer_id],customer[customer_name])</f>
        <v>Manish Yadav</v>
      </c>
      <c r="E1119">
        <v>206</v>
      </c>
      <c r="F1119">
        <v>4</v>
      </c>
      <c r="G1119">
        <v>17192</v>
      </c>
      <c r="H1119">
        <v>199</v>
      </c>
      <c r="I1119" t="s">
        <v>11</v>
      </c>
      <c r="J1119" t="s">
        <v>14</v>
      </c>
      <c r="K1119" t="str">
        <f>_xlfn.XLOOKUP(order[[#This Row],[customer_id]],customer[customer_id],customer[city])</f>
        <v>Bangalore</v>
      </c>
      <c r="L1119" t="str">
        <f>_xlfn.XLOOKUP(order[[#This Row],[customer_id]],customer[customer_id],customer[state])</f>
        <v>Karnataka</v>
      </c>
      <c r="M1119" t="str">
        <f>_xlfn.XLOOKUP(order[[#This Row],[product_id]],products!$A$2:$A$11,products!$B$2:$B$11)</f>
        <v>Philips Air Fryer</v>
      </c>
      <c r="N1119" s="3" t="str">
        <f>_xlfn.XLOOKUP(order[[#This Row],[product_id]],products!$A$2:$A$11,products!$C$2:$C$11)</f>
        <v>Home &amp; Kitchen</v>
      </c>
      <c r="O1119" s="3">
        <f>_xlfn.XLOOKUP(order[[#This Row],[product_id]],Table4[product_id],Table4[cost_price])</f>
        <v>7000</v>
      </c>
      <c r="P1119" s="11">
        <f>_xlfn.XLOOKUP(order[[#This Row],[order_id]],shipment[order_id],shipment[ship_date])</f>
        <v>45549</v>
      </c>
      <c r="Q1119" s="11">
        <f>_xlfn.XLOOKUP(order[[#This Row],[order_id]],shipment[order_id],shipment[delivery_date])</f>
        <v>45556</v>
      </c>
      <c r="R1119" s="3" t="str">
        <f>_xlfn.XLOOKUP(order[[#This Row],[order_id]],shipment[shipment_id],shipment[courier])</f>
        <v>Ekart</v>
      </c>
      <c r="S1119" s="3">
        <f>order[[#This Row],[selling_price]]-order[[#This Row],[cost_price]]*order[[#This Row],[quantity]]-order[[#This Row],[discount]]</f>
        <v>-11007</v>
      </c>
      <c r="T1119" s="3">
        <f>order[[#This Row],[quantity]]*order[[#This Row],[selling_price]]</f>
        <v>68768</v>
      </c>
    </row>
    <row r="1120" spans="1:20" x14ac:dyDescent="0.3">
      <c r="A1120">
        <v>1119</v>
      </c>
      <c r="B1120" s="11">
        <v>45297</v>
      </c>
      <c r="C1120">
        <v>179</v>
      </c>
      <c r="D1120" t="str">
        <f>_xlfn.XLOOKUP(order[[#This Row],[customer_id]],customer[customer_id],customer[customer_name])</f>
        <v>Ananya Gupta</v>
      </c>
      <c r="E1120">
        <v>205</v>
      </c>
      <c r="F1120">
        <v>3</v>
      </c>
      <c r="G1120">
        <v>39973</v>
      </c>
      <c r="H1120">
        <v>1054</v>
      </c>
      <c r="I1120" t="s">
        <v>11</v>
      </c>
      <c r="J1120" t="s">
        <v>14</v>
      </c>
      <c r="K1120" t="str">
        <f>_xlfn.XLOOKUP(order[[#This Row],[customer_id]],customer[customer_id],customer[city])</f>
        <v>Hyderabad</v>
      </c>
      <c r="L1120" t="str">
        <f>_xlfn.XLOOKUP(order[[#This Row],[customer_id]],customer[customer_id],customer[state])</f>
        <v>Telangana</v>
      </c>
      <c r="M1120" t="str">
        <f>_xlfn.XLOOKUP(order[[#This Row],[product_id]],products!$A$2:$A$11,products!$B$2:$B$11)</f>
        <v>Prestige Pressure Cooker 5L</v>
      </c>
      <c r="N1120" s="3" t="str">
        <f>_xlfn.XLOOKUP(order[[#This Row],[product_id]],products!$A$2:$A$11,products!$C$2:$C$11)</f>
        <v>Home &amp; Kitchen</v>
      </c>
      <c r="O1120" s="3">
        <f>_xlfn.XLOOKUP(order[[#This Row],[product_id]],Table4[product_id],Table4[cost_price])</f>
        <v>1200</v>
      </c>
      <c r="P1120" s="11">
        <f>_xlfn.XLOOKUP(order[[#This Row],[order_id]],shipment[order_id],shipment[ship_date])</f>
        <v>45460</v>
      </c>
      <c r="Q1120" s="11">
        <f>_xlfn.XLOOKUP(order[[#This Row],[order_id]],shipment[order_id],shipment[delivery_date])</f>
        <v>45461</v>
      </c>
      <c r="R1120" s="3" t="str">
        <f>_xlfn.XLOOKUP(order[[#This Row],[order_id]],shipment[shipment_id],shipment[courier])</f>
        <v>Delhivery</v>
      </c>
      <c r="S1120" s="3">
        <f>order[[#This Row],[selling_price]]-order[[#This Row],[cost_price]]*order[[#This Row],[quantity]]-order[[#This Row],[discount]]</f>
        <v>35319</v>
      </c>
      <c r="T1120" s="3">
        <f>order[[#This Row],[quantity]]*order[[#This Row],[selling_price]]</f>
        <v>119919</v>
      </c>
    </row>
    <row r="1121" spans="1:20" x14ac:dyDescent="0.3">
      <c r="A1121">
        <v>1120</v>
      </c>
      <c r="B1121" s="11">
        <v>45535</v>
      </c>
      <c r="C1121">
        <v>250</v>
      </c>
      <c r="D1121" t="str">
        <f>_xlfn.XLOOKUP(order[[#This Row],[customer_id]],customer[customer_id],customer[customer_name])</f>
        <v>Vikram Singh</v>
      </c>
      <c r="E1121">
        <v>203</v>
      </c>
      <c r="F1121">
        <v>1</v>
      </c>
      <c r="G1121">
        <v>59031</v>
      </c>
      <c r="H1121">
        <v>4426</v>
      </c>
      <c r="I1121" t="s">
        <v>9</v>
      </c>
      <c r="J1121" t="s">
        <v>14</v>
      </c>
      <c r="K1121" t="str">
        <f>_xlfn.XLOOKUP(order[[#This Row],[customer_id]],customer[customer_id],customer[city])</f>
        <v>Bangalore</v>
      </c>
      <c r="L1121" t="str">
        <f>_xlfn.XLOOKUP(order[[#This Row],[customer_id]],customer[customer_id],customer[state])</f>
        <v>Karnataka</v>
      </c>
      <c r="M1121" t="str">
        <f>_xlfn.XLOOKUP(order[[#This Row],[product_id]],products!$A$2:$A$11,products!$B$2:$B$11)</f>
        <v>Nike Air Max Shoes</v>
      </c>
      <c r="N1121" s="3" t="str">
        <f>_xlfn.XLOOKUP(order[[#This Row],[product_id]],products!$A$2:$A$11,products!$C$2:$C$11)</f>
        <v>Fashion</v>
      </c>
      <c r="O1121" s="3">
        <f>_xlfn.XLOOKUP(order[[#This Row],[product_id]],Table4[product_id],Table4[cost_price])</f>
        <v>4000</v>
      </c>
      <c r="P1121" s="11">
        <f>_xlfn.XLOOKUP(order[[#This Row],[order_id]],shipment[order_id],shipment[ship_date])</f>
        <v>45434</v>
      </c>
      <c r="Q1121" s="11">
        <f>_xlfn.XLOOKUP(order[[#This Row],[order_id]],shipment[order_id],shipment[delivery_date])</f>
        <v>45435</v>
      </c>
      <c r="R1121" s="3" t="str">
        <f>_xlfn.XLOOKUP(order[[#This Row],[order_id]],shipment[shipment_id],shipment[courier])</f>
        <v>DTDC</v>
      </c>
      <c r="S1121" s="3">
        <f>order[[#This Row],[selling_price]]-order[[#This Row],[cost_price]]*order[[#This Row],[quantity]]-order[[#This Row],[discount]]</f>
        <v>50605</v>
      </c>
      <c r="T1121" s="3">
        <f>order[[#This Row],[quantity]]*order[[#This Row],[selling_price]]</f>
        <v>59031</v>
      </c>
    </row>
    <row r="1122" spans="1:20" x14ac:dyDescent="0.3">
      <c r="A1122">
        <v>1121</v>
      </c>
      <c r="B1122" s="11">
        <v>45433</v>
      </c>
      <c r="C1122">
        <v>208</v>
      </c>
      <c r="D1122" t="str">
        <f>_xlfn.XLOOKUP(order[[#This Row],[customer_id]],customer[customer_id],customer[customer_name])</f>
        <v>Arjun Nair</v>
      </c>
      <c r="E1122">
        <v>209</v>
      </c>
      <c r="F1122">
        <v>2</v>
      </c>
      <c r="G1122">
        <v>62667</v>
      </c>
      <c r="H1122">
        <v>4925</v>
      </c>
      <c r="I1122" t="s">
        <v>11</v>
      </c>
      <c r="J1122" t="s">
        <v>12</v>
      </c>
      <c r="K1122" t="str">
        <f>_xlfn.XLOOKUP(order[[#This Row],[customer_id]],customer[customer_id],customer[city])</f>
        <v>Mumbai</v>
      </c>
      <c r="L1122" t="str">
        <f>_xlfn.XLOOKUP(order[[#This Row],[customer_id]],customer[customer_id],customer[state])</f>
        <v>Maharashtra</v>
      </c>
      <c r="M1122" t="str">
        <f>_xlfn.XLOOKUP(order[[#This Row],[product_id]],products!$A$2:$A$11,products!$B$2:$B$11)</f>
        <v>Milton Thermosteel Bottle</v>
      </c>
      <c r="N1122" s="3" t="str">
        <f>_xlfn.XLOOKUP(order[[#This Row],[product_id]],products!$A$2:$A$11,products!$C$2:$C$11)</f>
        <v>Home &amp; Kitchen</v>
      </c>
      <c r="O1122" s="3">
        <f>_xlfn.XLOOKUP(order[[#This Row],[product_id]],Table4[product_id],Table4[cost_price])</f>
        <v>800</v>
      </c>
      <c r="P1122" s="11">
        <f>_xlfn.XLOOKUP(order[[#This Row],[order_id]],shipment[order_id],shipment[ship_date])</f>
        <v>45419</v>
      </c>
      <c r="Q1122" s="11">
        <f>_xlfn.XLOOKUP(order[[#This Row],[order_id]],shipment[order_id],shipment[delivery_date])</f>
        <v>45426</v>
      </c>
      <c r="R1122" s="3" t="str">
        <f>_xlfn.XLOOKUP(order[[#This Row],[order_id]],shipment[shipment_id],shipment[courier])</f>
        <v>DTDC</v>
      </c>
      <c r="S1122" s="3">
        <f>order[[#This Row],[selling_price]]-order[[#This Row],[cost_price]]*order[[#This Row],[quantity]]-order[[#This Row],[discount]]</f>
        <v>56142</v>
      </c>
      <c r="T1122" s="3">
        <f>order[[#This Row],[quantity]]*order[[#This Row],[selling_price]]</f>
        <v>125334</v>
      </c>
    </row>
    <row r="1123" spans="1:20" x14ac:dyDescent="0.3">
      <c r="A1123">
        <v>404</v>
      </c>
      <c r="B1123" s="11">
        <v>45293</v>
      </c>
      <c r="C1123">
        <v>228</v>
      </c>
      <c r="D1123" t="str">
        <f>_xlfn.XLOOKUP(order[[#This Row],[customer_id]],customer[customer_id],customer[customer_name])</f>
        <v>Priya Reddy</v>
      </c>
      <c r="E1123">
        <v>206</v>
      </c>
      <c r="F1123">
        <v>2</v>
      </c>
      <c r="G1123">
        <v>9993</v>
      </c>
      <c r="H1123">
        <v>107</v>
      </c>
      <c r="I1123" t="s">
        <v>15</v>
      </c>
      <c r="J1123" t="s">
        <v>10</v>
      </c>
      <c r="K1123" t="str">
        <f>_xlfn.XLOOKUP(order[[#This Row],[customer_id]],customer[customer_id],customer[city])</f>
        <v>Chennai</v>
      </c>
      <c r="L1123" t="str">
        <f>_xlfn.XLOOKUP(order[[#This Row],[customer_id]],customer[customer_id],customer[state])</f>
        <v>Tamil Nadu</v>
      </c>
      <c r="M1123" t="str">
        <f>_xlfn.XLOOKUP(order[[#This Row],[product_id]],products!$A$2:$A$11,products!$B$2:$B$11)</f>
        <v>Philips Air Fryer</v>
      </c>
      <c r="N1123" s="3" t="str">
        <f>_xlfn.XLOOKUP(order[[#This Row],[product_id]],products!$A$2:$A$11,products!$C$2:$C$11)</f>
        <v>Home &amp; Kitchen</v>
      </c>
      <c r="O1123" s="3">
        <f>_xlfn.XLOOKUP(order[[#This Row],[product_id]],Table4[product_id],Table4[cost_price])</f>
        <v>7000</v>
      </c>
      <c r="P1123" s="11">
        <f>_xlfn.XLOOKUP(order[[#This Row],[order_id]],shipment[order_id],shipment[ship_date])</f>
        <v>45647</v>
      </c>
      <c r="Q1123" s="11">
        <f>_xlfn.XLOOKUP(order[[#This Row],[order_id]],shipment[order_id],shipment[delivery_date])</f>
        <v>45650</v>
      </c>
      <c r="R1123" s="3" t="str">
        <f>_xlfn.XLOOKUP(order[[#This Row],[order_id]],shipment[shipment_id],shipment[courier])</f>
        <v>DTDC</v>
      </c>
      <c r="S1123" s="3">
        <f>order[[#This Row],[selling_price]]-order[[#This Row],[cost_price]]*order[[#This Row],[quantity]]-order[[#This Row],[discount]]</f>
        <v>-4114</v>
      </c>
      <c r="T1123" s="3">
        <f>order[[#This Row],[quantity]]*order[[#This Row],[selling_price]]</f>
        <v>19986</v>
      </c>
    </row>
    <row r="1124" spans="1:20" x14ac:dyDescent="0.3">
      <c r="A1124">
        <v>1123</v>
      </c>
      <c r="B1124" s="11">
        <v>45569</v>
      </c>
      <c r="C1124">
        <v>288</v>
      </c>
      <c r="D1124" t="str">
        <f>_xlfn.XLOOKUP(order[[#This Row],[customer_id]],customer[customer_id],customer[customer_name])</f>
        <v>Pooja Nair</v>
      </c>
      <c r="E1124">
        <v>209</v>
      </c>
      <c r="F1124">
        <v>3</v>
      </c>
      <c r="G1124">
        <v>68022</v>
      </c>
      <c r="H1124">
        <v>4818</v>
      </c>
      <c r="I1124" t="s">
        <v>9</v>
      </c>
      <c r="J1124" t="s">
        <v>12</v>
      </c>
      <c r="K1124" t="str">
        <f>_xlfn.XLOOKUP(order[[#This Row],[customer_id]],customer[customer_id],customer[city])</f>
        <v>Pune</v>
      </c>
      <c r="L1124" t="str">
        <f>_xlfn.XLOOKUP(order[[#This Row],[customer_id]],customer[customer_id],customer[state])</f>
        <v>Maharashtra</v>
      </c>
      <c r="M1124" t="str">
        <f>_xlfn.XLOOKUP(order[[#This Row],[product_id]],products!$A$2:$A$11,products!$B$2:$B$11)</f>
        <v>Milton Thermosteel Bottle</v>
      </c>
      <c r="N1124" s="3" t="str">
        <f>_xlfn.XLOOKUP(order[[#This Row],[product_id]],products!$A$2:$A$11,products!$C$2:$C$11)</f>
        <v>Home &amp; Kitchen</v>
      </c>
      <c r="O1124" s="3">
        <f>_xlfn.XLOOKUP(order[[#This Row],[product_id]],Table4[product_id],Table4[cost_price])</f>
        <v>800</v>
      </c>
      <c r="P1124" s="11">
        <f>_xlfn.XLOOKUP(order[[#This Row],[order_id]],shipment[order_id],shipment[ship_date])</f>
        <v>45386</v>
      </c>
      <c r="Q1124" s="11">
        <f>_xlfn.XLOOKUP(order[[#This Row],[order_id]],shipment[order_id],shipment[delivery_date])</f>
        <v>45396</v>
      </c>
      <c r="R1124" s="3" t="str">
        <f>_xlfn.XLOOKUP(order[[#This Row],[order_id]],shipment[shipment_id],shipment[courier])</f>
        <v>BlueDart</v>
      </c>
      <c r="S1124" s="3">
        <f>order[[#This Row],[selling_price]]-order[[#This Row],[cost_price]]*order[[#This Row],[quantity]]-order[[#This Row],[discount]]</f>
        <v>60804</v>
      </c>
      <c r="T1124" s="3">
        <f>order[[#This Row],[quantity]]*order[[#This Row],[selling_price]]</f>
        <v>204066</v>
      </c>
    </row>
    <row r="1125" spans="1:20" x14ac:dyDescent="0.3">
      <c r="A1125">
        <v>685</v>
      </c>
      <c r="B1125" s="11">
        <v>45335</v>
      </c>
      <c r="C1125">
        <v>133</v>
      </c>
      <c r="D1125" t="str">
        <f>_xlfn.XLOOKUP(order[[#This Row],[customer_id]],customer[customer_id],customer[customer_name])</f>
        <v>Manish Yadav</v>
      </c>
      <c r="E1125">
        <v>206</v>
      </c>
      <c r="F1125">
        <v>3</v>
      </c>
      <c r="G1125">
        <v>1870</v>
      </c>
      <c r="H1125">
        <v>73</v>
      </c>
      <c r="I1125" t="s">
        <v>15</v>
      </c>
      <c r="J1125" t="s">
        <v>12</v>
      </c>
      <c r="K1125" t="str">
        <f>_xlfn.XLOOKUP(order[[#This Row],[customer_id]],customer[customer_id],customer[city])</f>
        <v>Hyderabad</v>
      </c>
      <c r="L1125" t="str">
        <f>_xlfn.XLOOKUP(order[[#This Row],[customer_id]],customer[customer_id],customer[state])</f>
        <v>Telangana</v>
      </c>
      <c r="M1125" t="str">
        <f>_xlfn.XLOOKUP(order[[#This Row],[product_id]],products!$A$2:$A$11,products!$B$2:$B$11)</f>
        <v>Philips Air Fryer</v>
      </c>
      <c r="N1125" s="3" t="str">
        <f>_xlfn.XLOOKUP(order[[#This Row],[product_id]],products!$A$2:$A$11,products!$C$2:$C$11)</f>
        <v>Home &amp; Kitchen</v>
      </c>
      <c r="O1125" s="3">
        <f>_xlfn.XLOOKUP(order[[#This Row],[product_id]],Table4[product_id],Table4[cost_price])</f>
        <v>7000</v>
      </c>
      <c r="P1125" s="11">
        <f>_xlfn.XLOOKUP(order[[#This Row],[order_id]],shipment[order_id],shipment[ship_date])</f>
        <v>45303</v>
      </c>
      <c r="Q1125" s="11">
        <f>_xlfn.XLOOKUP(order[[#This Row],[order_id]],shipment[order_id],shipment[delivery_date])</f>
        <v>45308</v>
      </c>
      <c r="R1125" s="3" t="str">
        <f>_xlfn.XLOOKUP(order[[#This Row],[order_id]],shipment[shipment_id],shipment[courier])</f>
        <v>DTDC</v>
      </c>
      <c r="S1125" s="3">
        <f>order[[#This Row],[selling_price]]-order[[#This Row],[cost_price]]*order[[#This Row],[quantity]]-order[[#This Row],[discount]]</f>
        <v>-19203</v>
      </c>
      <c r="T1125" s="3">
        <f>order[[#This Row],[quantity]]*order[[#This Row],[selling_price]]</f>
        <v>5610</v>
      </c>
    </row>
    <row r="1126" spans="1:20" x14ac:dyDescent="0.3">
      <c r="A1126">
        <v>1125</v>
      </c>
      <c r="B1126" s="11">
        <v>45522</v>
      </c>
      <c r="C1126">
        <v>168</v>
      </c>
      <c r="D1126" t="str">
        <f>_xlfn.XLOOKUP(order[[#This Row],[customer_id]],customer[customer_id],customer[customer_name])</f>
        <v>Arjun Nair</v>
      </c>
      <c r="E1126">
        <v>208</v>
      </c>
      <c r="F1126">
        <v>4</v>
      </c>
      <c r="G1126">
        <v>43479</v>
      </c>
      <c r="H1126">
        <v>1668</v>
      </c>
      <c r="I1126" t="s">
        <v>13</v>
      </c>
      <c r="J1126" t="s">
        <v>12</v>
      </c>
      <c r="K1126" t="str">
        <f>_xlfn.XLOOKUP(order[[#This Row],[customer_id]],customer[customer_id],customer[city])</f>
        <v>Mumbai</v>
      </c>
      <c r="L1126" t="str">
        <f>_xlfn.XLOOKUP(order[[#This Row],[customer_id]],customer[customer_id],customer[state])</f>
        <v>Maharashtra</v>
      </c>
      <c r="M1126" t="str">
        <f>_xlfn.XLOOKUP(order[[#This Row],[product_id]],products!$A$2:$A$11,products!$B$2:$B$11)</f>
        <v>Adidas Ultraboost Shoes</v>
      </c>
      <c r="N1126" s="3" t="str">
        <f>_xlfn.XLOOKUP(order[[#This Row],[product_id]],products!$A$2:$A$11,products!$C$2:$C$11)</f>
        <v>Fashion</v>
      </c>
      <c r="O1126" s="3">
        <f>_xlfn.XLOOKUP(order[[#This Row],[product_id]],Table4[product_id],Table4[cost_price])</f>
        <v>9000</v>
      </c>
      <c r="P1126" s="11">
        <f>_xlfn.XLOOKUP(order[[#This Row],[order_id]],shipment[order_id],shipment[ship_date])</f>
        <v>45547</v>
      </c>
      <c r="Q1126" s="11">
        <f>_xlfn.XLOOKUP(order[[#This Row],[order_id]],shipment[order_id],shipment[delivery_date])</f>
        <v>45548</v>
      </c>
      <c r="R1126" s="3" t="str">
        <f>_xlfn.XLOOKUP(order[[#This Row],[order_id]],shipment[shipment_id],shipment[courier])</f>
        <v>DTDC</v>
      </c>
      <c r="S1126" s="3">
        <f>order[[#This Row],[selling_price]]-order[[#This Row],[cost_price]]*order[[#This Row],[quantity]]-order[[#This Row],[discount]]</f>
        <v>5811</v>
      </c>
      <c r="T1126" s="3">
        <f>order[[#This Row],[quantity]]*order[[#This Row],[selling_price]]</f>
        <v>173916</v>
      </c>
    </row>
    <row r="1127" spans="1:20" x14ac:dyDescent="0.3">
      <c r="A1127">
        <v>1126</v>
      </c>
      <c r="B1127" s="11">
        <v>45571</v>
      </c>
      <c r="C1127">
        <v>163</v>
      </c>
      <c r="D1127" t="str">
        <f>_xlfn.XLOOKUP(order[[#This Row],[customer_id]],customer[customer_id],customer[customer_name])</f>
        <v>Ananya Gupta</v>
      </c>
      <c r="E1127">
        <v>204</v>
      </c>
      <c r="F1127">
        <v>1</v>
      </c>
      <c r="G1127">
        <v>10597</v>
      </c>
      <c r="H1127">
        <v>1479</v>
      </c>
      <c r="I1127" t="s">
        <v>13</v>
      </c>
      <c r="J1127" t="s">
        <v>12</v>
      </c>
      <c r="K1127" t="str">
        <f>_xlfn.XLOOKUP(order[[#This Row],[customer_id]],customer[customer_id],customer[city])</f>
        <v>Chennai</v>
      </c>
      <c r="L1127" t="str">
        <f>_xlfn.XLOOKUP(order[[#This Row],[customer_id]],customer[customer_id],customer[state])</f>
        <v>Tamil Nadu</v>
      </c>
      <c r="M1127" t="str">
        <f>_xlfn.XLOOKUP(order[[#This Row],[product_id]],products!$A$2:$A$11,products!$B$2:$B$11)</f>
        <v>Levi's Slim Fit Jeans</v>
      </c>
      <c r="N1127" s="3" t="str">
        <f>_xlfn.XLOOKUP(order[[#This Row],[product_id]],products!$A$2:$A$11,products!$C$2:$C$11)</f>
        <v>Fashion</v>
      </c>
      <c r="O1127" s="3">
        <f>_xlfn.XLOOKUP(order[[#This Row],[product_id]],Table4[product_id],Table4[cost_price])</f>
        <v>1800</v>
      </c>
      <c r="P1127" s="11">
        <f>_xlfn.XLOOKUP(order[[#This Row],[order_id]],shipment[order_id],shipment[ship_date])</f>
        <v>45560</v>
      </c>
      <c r="Q1127" s="11">
        <f>_xlfn.XLOOKUP(order[[#This Row],[order_id]],shipment[order_id],shipment[delivery_date])</f>
        <v>45566</v>
      </c>
      <c r="R1127" s="3" t="str">
        <f>_xlfn.XLOOKUP(order[[#This Row],[order_id]],shipment[shipment_id],shipment[courier])</f>
        <v>BlueDart</v>
      </c>
      <c r="S1127" s="3">
        <f>order[[#This Row],[selling_price]]-order[[#This Row],[cost_price]]*order[[#This Row],[quantity]]-order[[#This Row],[discount]]</f>
        <v>7318</v>
      </c>
      <c r="T1127" s="3">
        <f>order[[#This Row],[quantity]]*order[[#This Row],[selling_price]]</f>
        <v>10597</v>
      </c>
    </row>
    <row r="1128" spans="1:20" x14ac:dyDescent="0.3">
      <c r="A1128">
        <v>200</v>
      </c>
      <c r="B1128" s="11">
        <v>45335</v>
      </c>
      <c r="C1128">
        <v>264</v>
      </c>
      <c r="D1128" t="str">
        <f>_xlfn.XLOOKUP(order[[#This Row],[customer_id]],customer[customer_id],customer[customer_name])</f>
        <v>Ishita Bose</v>
      </c>
      <c r="E1128">
        <v>203</v>
      </c>
      <c r="F1128">
        <v>3</v>
      </c>
      <c r="G1128">
        <v>7477</v>
      </c>
      <c r="H1128">
        <v>4805</v>
      </c>
      <c r="I1128" t="s">
        <v>11</v>
      </c>
      <c r="J1128" t="s">
        <v>12</v>
      </c>
      <c r="K1128" t="str">
        <f>_xlfn.XLOOKUP(order[[#This Row],[customer_id]],customer[customer_id],customer[city])</f>
        <v>Delhi</v>
      </c>
      <c r="L1128" t="str">
        <f>_xlfn.XLOOKUP(order[[#This Row],[customer_id]],customer[customer_id],customer[state])</f>
        <v>Delhi</v>
      </c>
      <c r="M1128" t="str">
        <f>_xlfn.XLOOKUP(order[[#This Row],[product_id]],products!$A$2:$A$11,products!$B$2:$B$11)</f>
        <v>Nike Air Max Shoes</v>
      </c>
      <c r="N1128" s="3" t="str">
        <f>_xlfn.XLOOKUP(order[[#This Row],[product_id]],products!$A$2:$A$11,products!$C$2:$C$11)</f>
        <v>Fashion</v>
      </c>
      <c r="O1128" s="3">
        <f>_xlfn.XLOOKUP(order[[#This Row],[product_id]],Table4[product_id],Table4[cost_price])</f>
        <v>4000</v>
      </c>
      <c r="P1128" s="11">
        <f>_xlfn.XLOOKUP(order[[#This Row],[order_id]],shipment[order_id],shipment[ship_date])</f>
        <v>45466</v>
      </c>
      <c r="Q1128" s="11">
        <f>_xlfn.XLOOKUP(order[[#This Row],[order_id]],shipment[order_id],shipment[delivery_date])</f>
        <v>45471</v>
      </c>
      <c r="R1128" s="3" t="str">
        <f>_xlfn.XLOOKUP(order[[#This Row],[order_id]],shipment[shipment_id],shipment[courier])</f>
        <v>BlueDart</v>
      </c>
      <c r="S1128" s="3">
        <f>order[[#This Row],[selling_price]]-order[[#This Row],[cost_price]]*order[[#This Row],[quantity]]-order[[#This Row],[discount]]</f>
        <v>-9328</v>
      </c>
      <c r="T1128" s="3">
        <f>order[[#This Row],[quantity]]*order[[#This Row],[selling_price]]</f>
        <v>22431</v>
      </c>
    </row>
    <row r="1129" spans="1:20" x14ac:dyDescent="0.3">
      <c r="A1129">
        <v>1128</v>
      </c>
      <c r="B1129" s="11">
        <v>45631</v>
      </c>
      <c r="C1129">
        <v>253</v>
      </c>
      <c r="D1129" t="str">
        <f>_xlfn.XLOOKUP(order[[#This Row],[customer_id]],customer[customer_id],customer[customer_name])</f>
        <v>Neha Kapoor</v>
      </c>
      <c r="E1129">
        <v>204</v>
      </c>
      <c r="F1129">
        <v>3</v>
      </c>
      <c r="G1129">
        <v>67266</v>
      </c>
      <c r="H1129">
        <v>4690</v>
      </c>
      <c r="I1129" t="s">
        <v>9</v>
      </c>
      <c r="J1129" t="s">
        <v>10</v>
      </c>
      <c r="K1129" t="str">
        <f>_xlfn.XLOOKUP(order[[#This Row],[customer_id]],customer[customer_id],customer[city])</f>
        <v>Mumbai</v>
      </c>
      <c r="L1129" t="str">
        <f>_xlfn.XLOOKUP(order[[#This Row],[customer_id]],customer[customer_id],customer[state])</f>
        <v>Maharashtra</v>
      </c>
      <c r="M1129" t="str">
        <f>_xlfn.XLOOKUP(order[[#This Row],[product_id]],products!$A$2:$A$11,products!$B$2:$B$11)</f>
        <v>Levi's Slim Fit Jeans</v>
      </c>
      <c r="N1129" s="3" t="str">
        <f>_xlfn.XLOOKUP(order[[#This Row],[product_id]],products!$A$2:$A$11,products!$C$2:$C$11)</f>
        <v>Fashion</v>
      </c>
      <c r="O1129" s="3">
        <f>_xlfn.XLOOKUP(order[[#This Row],[product_id]],Table4[product_id],Table4[cost_price])</f>
        <v>1800</v>
      </c>
      <c r="P1129" s="11">
        <f>_xlfn.XLOOKUP(order[[#This Row],[order_id]],shipment[order_id],shipment[ship_date])</f>
        <v>45623</v>
      </c>
      <c r="Q1129" s="11">
        <f>_xlfn.XLOOKUP(order[[#This Row],[order_id]],shipment[order_id],shipment[delivery_date])</f>
        <v>45625</v>
      </c>
      <c r="R1129" s="3" t="str">
        <f>_xlfn.XLOOKUP(order[[#This Row],[order_id]],shipment[shipment_id],shipment[courier])</f>
        <v>Ekart</v>
      </c>
      <c r="S1129" s="3">
        <f>order[[#This Row],[selling_price]]-order[[#This Row],[cost_price]]*order[[#This Row],[quantity]]-order[[#This Row],[discount]]</f>
        <v>57176</v>
      </c>
      <c r="T1129" s="3">
        <f>order[[#This Row],[quantity]]*order[[#This Row],[selling_price]]</f>
        <v>201798</v>
      </c>
    </row>
    <row r="1130" spans="1:20" x14ac:dyDescent="0.3">
      <c r="A1130">
        <v>352</v>
      </c>
      <c r="B1130" s="11">
        <v>45586</v>
      </c>
      <c r="C1130">
        <v>225</v>
      </c>
      <c r="D1130" t="str">
        <f>_xlfn.XLOOKUP(order[[#This Row],[customer_id]],customer[customer_id],customer[customer_name])</f>
        <v>Aarav Sharma</v>
      </c>
      <c r="E1130">
        <v>203</v>
      </c>
      <c r="F1130">
        <v>4</v>
      </c>
      <c r="G1130">
        <v>19519</v>
      </c>
      <c r="H1130">
        <v>4741</v>
      </c>
      <c r="I1130" t="s">
        <v>13</v>
      </c>
      <c r="J1130" t="s">
        <v>14</v>
      </c>
      <c r="K1130" t="str">
        <f>_xlfn.XLOOKUP(order[[#This Row],[customer_id]],customer[customer_id],customer[city])</f>
        <v>Bangalore</v>
      </c>
      <c r="L1130" t="str">
        <f>_xlfn.XLOOKUP(order[[#This Row],[customer_id]],customer[customer_id],customer[state])</f>
        <v>Karnataka</v>
      </c>
      <c r="M1130" t="str">
        <f>_xlfn.XLOOKUP(order[[#This Row],[product_id]],products!$A$2:$A$11,products!$B$2:$B$11)</f>
        <v>Nike Air Max Shoes</v>
      </c>
      <c r="N1130" s="3" t="str">
        <f>_xlfn.XLOOKUP(order[[#This Row],[product_id]],products!$A$2:$A$11,products!$C$2:$C$11)</f>
        <v>Fashion</v>
      </c>
      <c r="O1130" s="3">
        <f>_xlfn.XLOOKUP(order[[#This Row],[product_id]],Table4[product_id],Table4[cost_price])</f>
        <v>4000</v>
      </c>
      <c r="P1130" s="11">
        <f>_xlfn.XLOOKUP(order[[#This Row],[order_id]],shipment[order_id],shipment[ship_date])</f>
        <v>45428</v>
      </c>
      <c r="Q1130" s="11">
        <f>_xlfn.XLOOKUP(order[[#This Row],[order_id]],shipment[order_id],shipment[delivery_date])</f>
        <v>45429</v>
      </c>
      <c r="R1130" s="3" t="str">
        <f>_xlfn.XLOOKUP(order[[#This Row],[order_id]],shipment[shipment_id],shipment[courier])</f>
        <v>Ekart</v>
      </c>
      <c r="S1130" s="3">
        <f>order[[#This Row],[selling_price]]-order[[#This Row],[cost_price]]*order[[#This Row],[quantity]]-order[[#This Row],[discount]]</f>
        <v>-1222</v>
      </c>
      <c r="T1130" s="3">
        <f>order[[#This Row],[quantity]]*order[[#This Row],[selling_price]]</f>
        <v>78076</v>
      </c>
    </row>
    <row r="1131" spans="1:20" x14ac:dyDescent="0.3">
      <c r="A1131">
        <v>1130</v>
      </c>
      <c r="B1131" s="11">
        <v>45533</v>
      </c>
      <c r="C1131">
        <v>176</v>
      </c>
      <c r="D1131" t="str">
        <f>_xlfn.XLOOKUP(order[[#This Row],[customer_id]],customer[customer_id],customer[customer_name])</f>
        <v>Manish Yadav</v>
      </c>
      <c r="E1131">
        <v>203</v>
      </c>
      <c r="F1131">
        <v>2</v>
      </c>
      <c r="G1131">
        <v>64595</v>
      </c>
      <c r="H1131">
        <v>1907</v>
      </c>
      <c r="I1131" t="s">
        <v>13</v>
      </c>
      <c r="J1131" t="s">
        <v>12</v>
      </c>
      <c r="K1131" t="str">
        <f>_xlfn.XLOOKUP(order[[#This Row],[customer_id]],customer[customer_id],customer[city])</f>
        <v>Pune</v>
      </c>
      <c r="L1131" t="str">
        <f>_xlfn.XLOOKUP(order[[#This Row],[customer_id]],customer[customer_id],customer[state])</f>
        <v>Maharashtra</v>
      </c>
      <c r="M1131" t="str">
        <f>_xlfn.XLOOKUP(order[[#This Row],[product_id]],products!$A$2:$A$11,products!$B$2:$B$11)</f>
        <v>Nike Air Max Shoes</v>
      </c>
      <c r="N1131" s="3" t="str">
        <f>_xlfn.XLOOKUP(order[[#This Row],[product_id]],products!$A$2:$A$11,products!$C$2:$C$11)</f>
        <v>Fashion</v>
      </c>
      <c r="O1131" s="3">
        <f>_xlfn.XLOOKUP(order[[#This Row],[product_id]],Table4[product_id],Table4[cost_price])</f>
        <v>4000</v>
      </c>
      <c r="P1131" s="11">
        <f>_xlfn.XLOOKUP(order[[#This Row],[order_id]],shipment[order_id],shipment[ship_date])</f>
        <v>45466</v>
      </c>
      <c r="Q1131" s="11">
        <f>_xlfn.XLOOKUP(order[[#This Row],[order_id]],shipment[order_id],shipment[delivery_date])</f>
        <v>45475</v>
      </c>
      <c r="R1131" s="3" t="str">
        <f>_xlfn.XLOOKUP(order[[#This Row],[order_id]],shipment[shipment_id],shipment[courier])</f>
        <v>Ekart</v>
      </c>
      <c r="S1131" s="3">
        <f>order[[#This Row],[selling_price]]-order[[#This Row],[cost_price]]*order[[#This Row],[quantity]]-order[[#This Row],[discount]]</f>
        <v>54688</v>
      </c>
      <c r="T1131" s="3">
        <f>order[[#This Row],[quantity]]*order[[#This Row],[selling_price]]</f>
        <v>129190</v>
      </c>
    </row>
    <row r="1132" spans="1:20" x14ac:dyDescent="0.3">
      <c r="A1132">
        <v>757</v>
      </c>
      <c r="B1132" s="11">
        <v>45344</v>
      </c>
      <c r="C1132">
        <v>266</v>
      </c>
      <c r="D1132" t="str">
        <f>_xlfn.XLOOKUP(order[[#This Row],[customer_id]],customer[customer_id],customer[customer_name])</f>
        <v>Karan Patel</v>
      </c>
      <c r="E1132">
        <v>203</v>
      </c>
      <c r="F1132">
        <v>4</v>
      </c>
      <c r="G1132">
        <v>14924</v>
      </c>
      <c r="H1132">
        <v>4349</v>
      </c>
      <c r="I1132" t="s">
        <v>13</v>
      </c>
      <c r="J1132" t="s">
        <v>10</v>
      </c>
      <c r="K1132" t="str">
        <f>_xlfn.XLOOKUP(order[[#This Row],[customer_id]],customer[customer_id],customer[city])</f>
        <v>Chennai</v>
      </c>
      <c r="L1132" t="str">
        <f>_xlfn.XLOOKUP(order[[#This Row],[customer_id]],customer[customer_id],customer[state])</f>
        <v>Tamil Nadu</v>
      </c>
      <c r="M1132" t="str">
        <f>_xlfn.XLOOKUP(order[[#This Row],[product_id]],products!$A$2:$A$11,products!$B$2:$B$11)</f>
        <v>Nike Air Max Shoes</v>
      </c>
      <c r="N1132" s="3" t="str">
        <f>_xlfn.XLOOKUP(order[[#This Row],[product_id]],products!$A$2:$A$11,products!$C$2:$C$11)</f>
        <v>Fashion</v>
      </c>
      <c r="O1132" s="3">
        <f>_xlfn.XLOOKUP(order[[#This Row],[product_id]],Table4[product_id],Table4[cost_price])</f>
        <v>4000</v>
      </c>
      <c r="P1132" s="11">
        <f>_xlfn.XLOOKUP(order[[#This Row],[order_id]],shipment[order_id],shipment[ship_date])</f>
        <v>45417</v>
      </c>
      <c r="Q1132" s="11">
        <f>_xlfn.XLOOKUP(order[[#This Row],[order_id]],shipment[order_id],shipment[delivery_date])</f>
        <v>45424</v>
      </c>
      <c r="R1132" s="3" t="str">
        <f>_xlfn.XLOOKUP(order[[#This Row],[order_id]],shipment[shipment_id],shipment[courier])</f>
        <v>DTDC</v>
      </c>
      <c r="S1132" s="3">
        <f>order[[#This Row],[selling_price]]-order[[#This Row],[cost_price]]*order[[#This Row],[quantity]]-order[[#This Row],[discount]]</f>
        <v>-5425</v>
      </c>
      <c r="T1132" s="3">
        <f>order[[#This Row],[quantity]]*order[[#This Row],[selling_price]]</f>
        <v>59696</v>
      </c>
    </row>
    <row r="1133" spans="1:20" x14ac:dyDescent="0.3">
      <c r="A1133">
        <v>626</v>
      </c>
      <c r="B1133" s="11">
        <v>45648</v>
      </c>
      <c r="C1133">
        <v>169</v>
      </c>
      <c r="D1133" t="str">
        <f>_xlfn.XLOOKUP(order[[#This Row],[customer_id]],customer[customer_id],customer[customer_name])</f>
        <v>Vikram Singh</v>
      </c>
      <c r="E1133">
        <v>203</v>
      </c>
      <c r="F1133">
        <v>2</v>
      </c>
      <c r="G1133">
        <v>8868</v>
      </c>
      <c r="H1133">
        <v>4050</v>
      </c>
      <c r="I1133" t="s">
        <v>11</v>
      </c>
      <c r="J1133" t="s">
        <v>12</v>
      </c>
      <c r="K1133" t="str">
        <f>_xlfn.XLOOKUP(order[[#This Row],[customer_id]],customer[customer_id],customer[city])</f>
        <v>Ahmedabad</v>
      </c>
      <c r="L1133" t="str">
        <f>_xlfn.XLOOKUP(order[[#This Row],[customer_id]],customer[customer_id],customer[state])</f>
        <v>Gujarat</v>
      </c>
      <c r="M1133" t="str">
        <f>_xlfn.XLOOKUP(order[[#This Row],[product_id]],products!$A$2:$A$11,products!$B$2:$B$11)</f>
        <v>Nike Air Max Shoes</v>
      </c>
      <c r="N1133" s="3" t="str">
        <f>_xlfn.XLOOKUP(order[[#This Row],[product_id]],products!$A$2:$A$11,products!$C$2:$C$11)</f>
        <v>Fashion</v>
      </c>
      <c r="O1133" s="3">
        <f>_xlfn.XLOOKUP(order[[#This Row],[product_id]],Table4[product_id],Table4[cost_price])</f>
        <v>4000</v>
      </c>
      <c r="P1133" s="11">
        <f>_xlfn.XLOOKUP(order[[#This Row],[order_id]],shipment[order_id],shipment[ship_date])</f>
        <v>45611</v>
      </c>
      <c r="Q1133" s="11">
        <f>_xlfn.XLOOKUP(order[[#This Row],[order_id]],shipment[order_id],shipment[delivery_date])</f>
        <v>45613</v>
      </c>
      <c r="R1133" s="3" t="str">
        <f>_xlfn.XLOOKUP(order[[#This Row],[order_id]],shipment[shipment_id],shipment[courier])</f>
        <v>BlueDart</v>
      </c>
      <c r="S1133" s="3">
        <f>order[[#This Row],[selling_price]]-order[[#This Row],[cost_price]]*order[[#This Row],[quantity]]-order[[#This Row],[discount]]</f>
        <v>-3182</v>
      </c>
      <c r="T1133" s="3">
        <f>order[[#This Row],[quantity]]*order[[#This Row],[selling_price]]</f>
        <v>17736</v>
      </c>
    </row>
    <row r="1134" spans="1:20" x14ac:dyDescent="0.3">
      <c r="A1134">
        <v>1133</v>
      </c>
      <c r="B1134" s="11">
        <v>45636</v>
      </c>
      <c r="C1134">
        <v>257</v>
      </c>
      <c r="D1134" t="str">
        <f>_xlfn.XLOOKUP(order[[#This Row],[customer_id]],customer[customer_id],customer[customer_name])</f>
        <v>Siddharth Jain</v>
      </c>
      <c r="E1134">
        <v>208</v>
      </c>
      <c r="F1134">
        <v>2</v>
      </c>
      <c r="G1134">
        <v>39553</v>
      </c>
      <c r="H1134">
        <v>1445</v>
      </c>
      <c r="I1134" t="s">
        <v>15</v>
      </c>
      <c r="J1134" t="s">
        <v>14</v>
      </c>
      <c r="K1134" t="str">
        <f>_xlfn.XLOOKUP(order[[#This Row],[customer_id]],customer[customer_id],customer[city])</f>
        <v>Pune</v>
      </c>
      <c r="L1134" t="str">
        <f>_xlfn.XLOOKUP(order[[#This Row],[customer_id]],customer[customer_id],customer[state])</f>
        <v>Maharashtra</v>
      </c>
      <c r="M1134" t="str">
        <f>_xlfn.XLOOKUP(order[[#This Row],[product_id]],products!$A$2:$A$11,products!$B$2:$B$11)</f>
        <v>Adidas Ultraboost Shoes</v>
      </c>
      <c r="N1134" s="3" t="str">
        <f>_xlfn.XLOOKUP(order[[#This Row],[product_id]],products!$A$2:$A$11,products!$C$2:$C$11)</f>
        <v>Fashion</v>
      </c>
      <c r="O1134" s="3">
        <f>_xlfn.XLOOKUP(order[[#This Row],[product_id]],Table4[product_id],Table4[cost_price])</f>
        <v>9000</v>
      </c>
      <c r="P1134" s="11">
        <f>_xlfn.XLOOKUP(order[[#This Row],[order_id]],shipment[order_id],shipment[ship_date])</f>
        <v>45318</v>
      </c>
      <c r="Q1134" s="11">
        <f>_xlfn.XLOOKUP(order[[#This Row],[order_id]],shipment[order_id],shipment[delivery_date])</f>
        <v>45322</v>
      </c>
      <c r="R1134" s="3" t="str">
        <f>_xlfn.XLOOKUP(order[[#This Row],[order_id]],shipment[shipment_id],shipment[courier])</f>
        <v>DTDC</v>
      </c>
      <c r="S1134" s="3">
        <f>order[[#This Row],[selling_price]]-order[[#This Row],[cost_price]]*order[[#This Row],[quantity]]-order[[#This Row],[discount]]</f>
        <v>20108</v>
      </c>
      <c r="T1134" s="3">
        <f>order[[#This Row],[quantity]]*order[[#This Row],[selling_price]]</f>
        <v>79106</v>
      </c>
    </row>
    <row r="1135" spans="1:20" x14ac:dyDescent="0.3">
      <c r="A1135">
        <v>28</v>
      </c>
      <c r="B1135" s="11">
        <v>45491</v>
      </c>
      <c r="C1135">
        <v>223</v>
      </c>
      <c r="D1135" t="str">
        <f>_xlfn.XLOOKUP(order[[#This Row],[customer_id]],customer[customer_id],customer[customer_name])</f>
        <v>Manish Yadav</v>
      </c>
      <c r="E1135">
        <v>203</v>
      </c>
      <c r="F1135">
        <v>3</v>
      </c>
      <c r="G1135">
        <v>8743</v>
      </c>
      <c r="H1135">
        <v>3682</v>
      </c>
      <c r="I1135" t="s">
        <v>13</v>
      </c>
      <c r="J1135" t="s">
        <v>14</v>
      </c>
      <c r="K1135" t="str">
        <f>_xlfn.XLOOKUP(order[[#This Row],[customer_id]],customer[customer_id],customer[city])</f>
        <v>Delhi</v>
      </c>
      <c r="L1135" t="str">
        <f>_xlfn.XLOOKUP(order[[#This Row],[customer_id]],customer[customer_id],customer[state])</f>
        <v>Delhi</v>
      </c>
      <c r="M1135" t="str">
        <f>_xlfn.XLOOKUP(order[[#This Row],[product_id]],products!$A$2:$A$11,products!$B$2:$B$11)</f>
        <v>Nike Air Max Shoes</v>
      </c>
      <c r="N1135" s="3" t="str">
        <f>_xlfn.XLOOKUP(order[[#This Row],[product_id]],products!$A$2:$A$11,products!$C$2:$C$11)</f>
        <v>Fashion</v>
      </c>
      <c r="O1135" s="3">
        <f>_xlfn.XLOOKUP(order[[#This Row],[product_id]],Table4[product_id],Table4[cost_price])</f>
        <v>4000</v>
      </c>
      <c r="P1135" s="11">
        <f>_xlfn.XLOOKUP(order[[#This Row],[order_id]],shipment[order_id],shipment[ship_date])</f>
        <v>45541</v>
      </c>
      <c r="Q1135" s="11">
        <f>_xlfn.XLOOKUP(order[[#This Row],[order_id]],shipment[order_id],shipment[delivery_date])</f>
        <v>45544</v>
      </c>
      <c r="R1135" s="3" t="str">
        <f>_xlfn.XLOOKUP(order[[#This Row],[order_id]],shipment[shipment_id],shipment[courier])</f>
        <v>Ekart</v>
      </c>
      <c r="S1135" s="3">
        <f>order[[#This Row],[selling_price]]-order[[#This Row],[cost_price]]*order[[#This Row],[quantity]]-order[[#This Row],[discount]]</f>
        <v>-6939</v>
      </c>
      <c r="T1135" s="3">
        <f>order[[#This Row],[quantity]]*order[[#This Row],[selling_price]]</f>
        <v>26229</v>
      </c>
    </row>
    <row r="1136" spans="1:20" x14ac:dyDescent="0.3">
      <c r="A1136">
        <v>413</v>
      </c>
      <c r="B1136" s="11">
        <v>45331</v>
      </c>
      <c r="C1136">
        <v>162</v>
      </c>
      <c r="D1136" t="str">
        <f>_xlfn.XLOOKUP(order[[#This Row],[customer_id]],customer[customer_id],customer[customer_name])</f>
        <v>Ananya Gupta</v>
      </c>
      <c r="E1136">
        <v>203</v>
      </c>
      <c r="F1136">
        <v>4</v>
      </c>
      <c r="G1136">
        <v>3376</v>
      </c>
      <c r="H1136">
        <v>3531</v>
      </c>
      <c r="I1136" t="s">
        <v>9</v>
      </c>
      <c r="J1136" t="s">
        <v>14</v>
      </c>
      <c r="K1136" t="str">
        <f>_xlfn.XLOOKUP(order[[#This Row],[customer_id]],customer[customer_id],customer[city])</f>
        <v>Ahmedabad</v>
      </c>
      <c r="L1136" t="str">
        <f>_xlfn.XLOOKUP(order[[#This Row],[customer_id]],customer[customer_id],customer[state])</f>
        <v>Gujarat</v>
      </c>
      <c r="M1136" t="str">
        <f>_xlfn.XLOOKUP(order[[#This Row],[product_id]],products!$A$2:$A$11,products!$B$2:$B$11)</f>
        <v>Nike Air Max Shoes</v>
      </c>
      <c r="N1136" s="3" t="str">
        <f>_xlfn.XLOOKUP(order[[#This Row],[product_id]],products!$A$2:$A$11,products!$C$2:$C$11)</f>
        <v>Fashion</v>
      </c>
      <c r="O1136" s="3">
        <f>_xlfn.XLOOKUP(order[[#This Row],[product_id]],Table4[product_id],Table4[cost_price])</f>
        <v>4000</v>
      </c>
      <c r="P1136" s="11">
        <f>_xlfn.XLOOKUP(order[[#This Row],[order_id]],shipment[order_id],shipment[ship_date])</f>
        <v>45502</v>
      </c>
      <c r="Q1136" s="11">
        <f>_xlfn.XLOOKUP(order[[#This Row],[order_id]],shipment[order_id],shipment[delivery_date])</f>
        <v>45508</v>
      </c>
      <c r="R1136" s="3" t="str">
        <f>_xlfn.XLOOKUP(order[[#This Row],[order_id]],shipment[shipment_id],shipment[courier])</f>
        <v>BlueDart</v>
      </c>
      <c r="S1136" s="3">
        <f>order[[#This Row],[selling_price]]-order[[#This Row],[cost_price]]*order[[#This Row],[quantity]]-order[[#This Row],[discount]]</f>
        <v>-16155</v>
      </c>
      <c r="T1136" s="3">
        <f>order[[#This Row],[quantity]]*order[[#This Row],[selling_price]]</f>
        <v>13504</v>
      </c>
    </row>
    <row r="1137" spans="1:20" x14ac:dyDescent="0.3">
      <c r="A1137">
        <v>559</v>
      </c>
      <c r="B1137" s="11">
        <v>45312</v>
      </c>
      <c r="C1137">
        <v>297</v>
      </c>
      <c r="D1137" t="str">
        <f>_xlfn.XLOOKUP(order[[#This Row],[customer_id]],customer[customer_id],customer[customer_name])</f>
        <v>Meera Joshi</v>
      </c>
      <c r="E1137">
        <v>203</v>
      </c>
      <c r="F1137">
        <v>4</v>
      </c>
      <c r="G1137">
        <v>4971</v>
      </c>
      <c r="H1137">
        <v>3198</v>
      </c>
      <c r="I1137" t="s">
        <v>13</v>
      </c>
      <c r="J1137" t="s">
        <v>10</v>
      </c>
      <c r="K1137" t="str">
        <f>_xlfn.XLOOKUP(order[[#This Row],[customer_id]],customer[customer_id],customer[city])</f>
        <v>Bangalore</v>
      </c>
      <c r="L1137" t="str">
        <f>_xlfn.XLOOKUP(order[[#This Row],[customer_id]],customer[customer_id],customer[state])</f>
        <v>Karnataka</v>
      </c>
      <c r="M1137" t="str">
        <f>_xlfn.XLOOKUP(order[[#This Row],[product_id]],products!$A$2:$A$11,products!$B$2:$B$11)</f>
        <v>Nike Air Max Shoes</v>
      </c>
      <c r="N1137" s="3" t="str">
        <f>_xlfn.XLOOKUP(order[[#This Row],[product_id]],products!$A$2:$A$11,products!$C$2:$C$11)</f>
        <v>Fashion</v>
      </c>
      <c r="O1137" s="3">
        <f>_xlfn.XLOOKUP(order[[#This Row],[product_id]],Table4[product_id],Table4[cost_price])</f>
        <v>4000</v>
      </c>
      <c r="P1137" s="11">
        <f>_xlfn.XLOOKUP(order[[#This Row],[order_id]],shipment[order_id],shipment[ship_date])</f>
        <v>45348</v>
      </c>
      <c r="Q1137" s="11">
        <f>_xlfn.XLOOKUP(order[[#This Row],[order_id]],shipment[order_id],shipment[delivery_date])</f>
        <v>45355</v>
      </c>
      <c r="R1137" s="3" t="str">
        <f>_xlfn.XLOOKUP(order[[#This Row],[order_id]],shipment[shipment_id],shipment[courier])</f>
        <v>DTDC</v>
      </c>
      <c r="S1137" s="3">
        <f>order[[#This Row],[selling_price]]-order[[#This Row],[cost_price]]*order[[#This Row],[quantity]]-order[[#This Row],[discount]]</f>
        <v>-14227</v>
      </c>
      <c r="T1137" s="3">
        <f>order[[#This Row],[quantity]]*order[[#This Row],[selling_price]]</f>
        <v>19884</v>
      </c>
    </row>
    <row r="1138" spans="1:20" x14ac:dyDescent="0.3">
      <c r="A1138">
        <v>1006</v>
      </c>
      <c r="B1138" s="11">
        <v>45314</v>
      </c>
      <c r="C1138">
        <v>151</v>
      </c>
      <c r="D1138" t="str">
        <f>_xlfn.XLOOKUP(order[[#This Row],[customer_id]],customer[customer_id],customer[customer_name])</f>
        <v>Neha Kapoor</v>
      </c>
      <c r="E1138">
        <v>203</v>
      </c>
      <c r="F1138">
        <v>2</v>
      </c>
      <c r="G1138">
        <v>6801</v>
      </c>
      <c r="H1138">
        <v>3182</v>
      </c>
      <c r="I1138" t="s">
        <v>13</v>
      </c>
      <c r="J1138" t="s">
        <v>12</v>
      </c>
      <c r="K1138" t="str">
        <f>_xlfn.XLOOKUP(order[[#This Row],[customer_id]],customer[customer_id],customer[city])</f>
        <v>Pune</v>
      </c>
      <c r="L1138" t="str">
        <f>_xlfn.XLOOKUP(order[[#This Row],[customer_id]],customer[customer_id],customer[state])</f>
        <v>Maharashtra</v>
      </c>
      <c r="M1138" t="str">
        <f>_xlfn.XLOOKUP(order[[#This Row],[product_id]],products!$A$2:$A$11,products!$B$2:$B$11)</f>
        <v>Nike Air Max Shoes</v>
      </c>
      <c r="N1138" s="3" t="str">
        <f>_xlfn.XLOOKUP(order[[#This Row],[product_id]],products!$A$2:$A$11,products!$C$2:$C$11)</f>
        <v>Fashion</v>
      </c>
      <c r="O1138" s="3">
        <f>_xlfn.XLOOKUP(order[[#This Row],[product_id]],Table4[product_id],Table4[cost_price])</f>
        <v>4000</v>
      </c>
      <c r="P1138" s="11">
        <f>_xlfn.XLOOKUP(order[[#This Row],[order_id]],shipment[order_id],shipment[ship_date])</f>
        <v>45560</v>
      </c>
      <c r="Q1138" s="11">
        <f>_xlfn.XLOOKUP(order[[#This Row],[order_id]],shipment[order_id],shipment[delivery_date])</f>
        <v>45563</v>
      </c>
      <c r="R1138" s="3" t="str">
        <f>_xlfn.XLOOKUP(order[[#This Row],[order_id]],shipment[shipment_id],shipment[courier])</f>
        <v>BlueDart</v>
      </c>
      <c r="S1138" s="3">
        <f>order[[#This Row],[selling_price]]-order[[#This Row],[cost_price]]*order[[#This Row],[quantity]]-order[[#This Row],[discount]]</f>
        <v>-4381</v>
      </c>
      <c r="T1138" s="3">
        <f>order[[#This Row],[quantity]]*order[[#This Row],[selling_price]]</f>
        <v>13602</v>
      </c>
    </row>
    <row r="1139" spans="1:20" x14ac:dyDescent="0.3">
      <c r="A1139">
        <v>271</v>
      </c>
      <c r="B1139" s="11">
        <v>45572</v>
      </c>
      <c r="C1139">
        <v>120</v>
      </c>
      <c r="D1139" t="str">
        <f>_xlfn.XLOOKUP(order[[#This Row],[customer_id]],customer[customer_id],customer[customer_name])</f>
        <v>Aarav Sharma</v>
      </c>
      <c r="E1139">
        <v>203</v>
      </c>
      <c r="F1139">
        <v>3</v>
      </c>
      <c r="G1139">
        <v>11106</v>
      </c>
      <c r="H1139">
        <v>2874</v>
      </c>
      <c r="I1139" t="s">
        <v>15</v>
      </c>
      <c r="J1139" t="s">
        <v>12</v>
      </c>
      <c r="K1139" t="str">
        <f>_xlfn.XLOOKUP(order[[#This Row],[customer_id]],customer[customer_id],customer[city])</f>
        <v>Ahmedabad</v>
      </c>
      <c r="L1139" t="str">
        <f>_xlfn.XLOOKUP(order[[#This Row],[customer_id]],customer[customer_id],customer[state])</f>
        <v>Gujarat</v>
      </c>
      <c r="M1139" t="str">
        <f>_xlfn.XLOOKUP(order[[#This Row],[product_id]],products!$A$2:$A$11,products!$B$2:$B$11)</f>
        <v>Nike Air Max Shoes</v>
      </c>
      <c r="N1139" s="3" t="str">
        <f>_xlfn.XLOOKUP(order[[#This Row],[product_id]],products!$A$2:$A$11,products!$C$2:$C$11)</f>
        <v>Fashion</v>
      </c>
      <c r="O1139" s="3">
        <f>_xlfn.XLOOKUP(order[[#This Row],[product_id]],Table4[product_id],Table4[cost_price])</f>
        <v>4000</v>
      </c>
      <c r="P1139" s="11">
        <f>_xlfn.XLOOKUP(order[[#This Row],[order_id]],shipment[order_id],shipment[ship_date])</f>
        <v>45657</v>
      </c>
      <c r="Q1139" s="11">
        <f>_xlfn.XLOOKUP(order[[#This Row],[order_id]],shipment[order_id],shipment[delivery_date])</f>
        <v>45658</v>
      </c>
      <c r="R1139" s="3" t="str">
        <f>_xlfn.XLOOKUP(order[[#This Row],[order_id]],shipment[shipment_id],shipment[courier])</f>
        <v>Ekart</v>
      </c>
      <c r="S1139" s="3">
        <f>order[[#This Row],[selling_price]]-order[[#This Row],[cost_price]]*order[[#This Row],[quantity]]-order[[#This Row],[discount]]</f>
        <v>-3768</v>
      </c>
      <c r="T1139" s="3">
        <f>order[[#This Row],[quantity]]*order[[#This Row],[selling_price]]</f>
        <v>33318</v>
      </c>
    </row>
    <row r="1140" spans="1:20" x14ac:dyDescent="0.3">
      <c r="A1140">
        <v>1139</v>
      </c>
      <c r="B1140" s="11">
        <v>45313</v>
      </c>
      <c r="C1140">
        <v>300</v>
      </c>
      <c r="D1140" t="str">
        <f>_xlfn.XLOOKUP(order[[#This Row],[customer_id]],customer[customer_id],customer[customer_name])</f>
        <v>Pooja Nair</v>
      </c>
      <c r="E1140">
        <v>204</v>
      </c>
      <c r="F1140">
        <v>3</v>
      </c>
      <c r="G1140">
        <v>51304</v>
      </c>
      <c r="H1140">
        <v>3075</v>
      </c>
      <c r="I1140" t="s">
        <v>11</v>
      </c>
      <c r="J1140" t="s">
        <v>10</v>
      </c>
      <c r="K1140" t="str">
        <f>_xlfn.XLOOKUP(order[[#This Row],[customer_id]],customer[customer_id],customer[city])</f>
        <v>Bangalore</v>
      </c>
      <c r="L1140" t="str">
        <f>_xlfn.XLOOKUP(order[[#This Row],[customer_id]],customer[customer_id],customer[state])</f>
        <v>Karnataka</v>
      </c>
      <c r="M1140" t="str">
        <f>_xlfn.XLOOKUP(order[[#This Row],[product_id]],products!$A$2:$A$11,products!$B$2:$B$11)</f>
        <v>Levi's Slim Fit Jeans</v>
      </c>
      <c r="N1140" s="3" t="str">
        <f>_xlfn.XLOOKUP(order[[#This Row],[product_id]],products!$A$2:$A$11,products!$C$2:$C$11)</f>
        <v>Fashion</v>
      </c>
      <c r="O1140" s="3">
        <f>_xlfn.XLOOKUP(order[[#This Row],[product_id]],Table4[product_id],Table4[cost_price])</f>
        <v>1800</v>
      </c>
      <c r="P1140" s="11">
        <f>_xlfn.XLOOKUP(order[[#This Row],[order_id]],shipment[order_id],shipment[ship_date])</f>
        <v>45416</v>
      </c>
      <c r="Q1140" s="11">
        <f>_xlfn.XLOOKUP(order[[#This Row],[order_id]],shipment[order_id],shipment[delivery_date])</f>
        <v>45421</v>
      </c>
      <c r="R1140" s="3" t="str">
        <f>_xlfn.XLOOKUP(order[[#This Row],[order_id]],shipment[shipment_id],shipment[courier])</f>
        <v>DTDC</v>
      </c>
      <c r="S1140" s="3">
        <f>order[[#This Row],[selling_price]]-order[[#This Row],[cost_price]]*order[[#This Row],[quantity]]-order[[#This Row],[discount]]</f>
        <v>42829</v>
      </c>
      <c r="T1140" s="3">
        <f>order[[#This Row],[quantity]]*order[[#This Row],[selling_price]]</f>
        <v>153912</v>
      </c>
    </row>
    <row r="1141" spans="1:20" x14ac:dyDescent="0.3">
      <c r="A1141">
        <v>561</v>
      </c>
      <c r="B1141" s="11">
        <v>45484</v>
      </c>
      <c r="C1141">
        <v>294</v>
      </c>
      <c r="D1141" t="str">
        <f>_xlfn.XLOOKUP(order[[#This Row],[customer_id]],customer[customer_id],customer[customer_name])</f>
        <v>Sneha Iyer</v>
      </c>
      <c r="E1141">
        <v>203</v>
      </c>
      <c r="F1141">
        <v>3</v>
      </c>
      <c r="G1141">
        <v>7075</v>
      </c>
      <c r="H1141">
        <v>2525</v>
      </c>
      <c r="I1141" t="s">
        <v>15</v>
      </c>
      <c r="J1141" t="s">
        <v>12</v>
      </c>
      <c r="K1141" t="str">
        <f>_xlfn.XLOOKUP(order[[#This Row],[customer_id]],customer[customer_id],customer[city])</f>
        <v>Hyderabad</v>
      </c>
      <c r="L1141" t="str">
        <f>_xlfn.XLOOKUP(order[[#This Row],[customer_id]],customer[customer_id],customer[state])</f>
        <v>Telangana</v>
      </c>
      <c r="M1141" t="str">
        <f>_xlfn.XLOOKUP(order[[#This Row],[product_id]],products!$A$2:$A$11,products!$B$2:$B$11)</f>
        <v>Nike Air Max Shoes</v>
      </c>
      <c r="N1141" s="3" t="str">
        <f>_xlfn.XLOOKUP(order[[#This Row],[product_id]],products!$A$2:$A$11,products!$C$2:$C$11)</f>
        <v>Fashion</v>
      </c>
      <c r="O1141" s="3">
        <f>_xlfn.XLOOKUP(order[[#This Row],[product_id]],Table4[product_id],Table4[cost_price])</f>
        <v>4000</v>
      </c>
      <c r="P1141" s="11">
        <f>_xlfn.XLOOKUP(order[[#This Row],[order_id]],shipment[order_id],shipment[ship_date])</f>
        <v>45376</v>
      </c>
      <c r="Q1141" s="11">
        <f>_xlfn.XLOOKUP(order[[#This Row],[order_id]],shipment[order_id],shipment[delivery_date])</f>
        <v>45381</v>
      </c>
      <c r="R1141" s="3" t="str">
        <f>_xlfn.XLOOKUP(order[[#This Row],[order_id]],shipment[shipment_id],shipment[courier])</f>
        <v>BlueDart</v>
      </c>
      <c r="S1141" s="3">
        <f>order[[#This Row],[selling_price]]-order[[#This Row],[cost_price]]*order[[#This Row],[quantity]]-order[[#This Row],[discount]]</f>
        <v>-7450</v>
      </c>
      <c r="T1141" s="3">
        <f>order[[#This Row],[quantity]]*order[[#This Row],[selling_price]]</f>
        <v>21225</v>
      </c>
    </row>
    <row r="1142" spans="1:20" x14ac:dyDescent="0.3">
      <c r="A1142">
        <v>1141</v>
      </c>
      <c r="B1142" s="11">
        <v>45547</v>
      </c>
      <c r="C1142">
        <v>191</v>
      </c>
      <c r="D1142" t="str">
        <f>_xlfn.XLOOKUP(order[[#This Row],[customer_id]],customer[customer_id],customer[customer_name])</f>
        <v>Priya Reddy</v>
      </c>
      <c r="E1142">
        <v>205</v>
      </c>
      <c r="F1142">
        <v>2</v>
      </c>
      <c r="G1142">
        <v>52678</v>
      </c>
      <c r="H1142">
        <v>4631</v>
      </c>
      <c r="I1142" t="s">
        <v>11</v>
      </c>
      <c r="J1142" t="s">
        <v>10</v>
      </c>
      <c r="K1142" t="str">
        <f>_xlfn.XLOOKUP(order[[#This Row],[customer_id]],customer[customer_id],customer[city])</f>
        <v>Pune</v>
      </c>
      <c r="L1142" t="str">
        <f>_xlfn.XLOOKUP(order[[#This Row],[customer_id]],customer[customer_id],customer[state])</f>
        <v>Maharashtra</v>
      </c>
      <c r="M1142" t="str">
        <f>_xlfn.XLOOKUP(order[[#This Row],[product_id]],products!$A$2:$A$11,products!$B$2:$B$11)</f>
        <v>Prestige Pressure Cooker 5L</v>
      </c>
      <c r="N1142" s="3" t="str">
        <f>_xlfn.XLOOKUP(order[[#This Row],[product_id]],products!$A$2:$A$11,products!$C$2:$C$11)</f>
        <v>Home &amp; Kitchen</v>
      </c>
      <c r="O1142" s="3">
        <f>_xlfn.XLOOKUP(order[[#This Row],[product_id]],Table4[product_id],Table4[cost_price])</f>
        <v>1200</v>
      </c>
      <c r="P1142" s="11">
        <f>_xlfn.XLOOKUP(order[[#This Row],[order_id]],shipment[order_id],shipment[ship_date])</f>
        <v>45345</v>
      </c>
      <c r="Q1142" s="11">
        <f>_xlfn.XLOOKUP(order[[#This Row],[order_id]],shipment[order_id],shipment[delivery_date])</f>
        <v>45349</v>
      </c>
      <c r="R1142" s="3" t="str">
        <f>_xlfn.XLOOKUP(order[[#This Row],[order_id]],shipment[shipment_id],shipment[courier])</f>
        <v>BlueDart</v>
      </c>
      <c r="S1142" s="3">
        <f>order[[#This Row],[selling_price]]-order[[#This Row],[cost_price]]*order[[#This Row],[quantity]]-order[[#This Row],[discount]]</f>
        <v>45647</v>
      </c>
      <c r="T1142" s="3">
        <f>order[[#This Row],[quantity]]*order[[#This Row],[selling_price]]</f>
        <v>105356</v>
      </c>
    </row>
    <row r="1143" spans="1:20" x14ac:dyDescent="0.3">
      <c r="A1143">
        <v>1142</v>
      </c>
      <c r="B1143" s="11">
        <v>45533</v>
      </c>
      <c r="C1143">
        <v>157</v>
      </c>
      <c r="D1143" t="str">
        <f>_xlfn.XLOOKUP(order[[#This Row],[customer_id]],customer[customer_id],customer[customer_name])</f>
        <v>Rohit Verma</v>
      </c>
      <c r="E1143">
        <v>206</v>
      </c>
      <c r="F1143">
        <v>1</v>
      </c>
      <c r="G1143">
        <v>30860</v>
      </c>
      <c r="H1143">
        <v>4409</v>
      </c>
      <c r="I1143" t="s">
        <v>11</v>
      </c>
      <c r="J1143" t="s">
        <v>12</v>
      </c>
      <c r="K1143" t="str">
        <f>_xlfn.XLOOKUP(order[[#This Row],[customer_id]],customer[customer_id],customer[city])</f>
        <v>Pune</v>
      </c>
      <c r="L1143" t="str">
        <f>_xlfn.XLOOKUP(order[[#This Row],[customer_id]],customer[customer_id],customer[state])</f>
        <v>Maharashtra</v>
      </c>
      <c r="M1143" t="str">
        <f>_xlfn.XLOOKUP(order[[#This Row],[product_id]],products!$A$2:$A$11,products!$B$2:$B$11)</f>
        <v>Philips Air Fryer</v>
      </c>
      <c r="N1143" s="3" t="str">
        <f>_xlfn.XLOOKUP(order[[#This Row],[product_id]],products!$A$2:$A$11,products!$C$2:$C$11)</f>
        <v>Home &amp; Kitchen</v>
      </c>
      <c r="O1143" s="3">
        <f>_xlfn.XLOOKUP(order[[#This Row],[product_id]],Table4[product_id],Table4[cost_price])</f>
        <v>7000</v>
      </c>
      <c r="P1143" s="11">
        <f>_xlfn.XLOOKUP(order[[#This Row],[order_id]],shipment[order_id],shipment[ship_date])</f>
        <v>45654</v>
      </c>
      <c r="Q1143" s="11">
        <f>_xlfn.XLOOKUP(order[[#This Row],[order_id]],shipment[order_id],shipment[delivery_date])</f>
        <v>45664</v>
      </c>
      <c r="R1143" s="3" t="str">
        <f>_xlfn.XLOOKUP(order[[#This Row],[order_id]],shipment[shipment_id],shipment[courier])</f>
        <v>DTDC</v>
      </c>
      <c r="S1143" s="3">
        <f>order[[#This Row],[selling_price]]-order[[#This Row],[cost_price]]*order[[#This Row],[quantity]]-order[[#This Row],[discount]]</f>
        <v>19451</v>
      </c>
      <c r="T1143" s="3">
        <f>order[[#This Row],[quantity]]*order[[#This Row],[selling_price]]</f>
        <v>30860</v>
      </c>
    </row>
    <row r="1144" spans="1:20" x14ac:dyDescent="0.3">
      <c r="A1144">
        <v>1143</v>
      </c>
      <c r="B1144" s="11">
        <v>45546</v>
      </c>
      <c r="C1144">
        <v>259</v>
      </c>
      <c r="D1144" t="str">
        <f>_xlfn.XLOOKUP(order[[#This Row],[customer_id]],customer[customer_id],customer[customer_name])</f>
        <v>Siddharth Jain</v>
      </c>
      <c r="E1144">
        <v>204</v>
      </c>
      <c r="F1144">
        <v>2</v>
      </c>
      <c r="G1144">
        <v>65318</v>
      </c>
      <c r="H1144">
        <v>3366</v>
      </c>
      <c r="I1144" t="s">
        <v>11</v>
      </c>
      <c r="J1144" t="s">
        <v>10</v>
      </c>
      <c r="K1144" t="str">
        <f>_xlfn.XLOOKUP(order[[#This Row],[customer_id]],customer[customer_id],customer[city])</f>
        <v>Hyderabad</v>
      </c>
      <c r="L1144" t="str">
        <f>_xlfn.XLOOKUP(order[[#This Row],[customer_id]],customer[customer_id],customer[state])</f>
        <v>Telangana</v>
      </c>
      <c r="M1144" t="str">
        <f>_xlfn.XLOOKUP(order[[#This Row],[product_id]],products!$A$2:$A$11,products!$B$2:$B$11)</f>
        <v>Levi's Slim Fit Jeans</v>
      </c>
      <c r="N1144" s="3" t="str">
        <f>_xlfn.XLOOKUP(order[[#This Row],[product_id]],products!$A$2:$A$11,products!$C$2:$C$11)</f>
        <v>Fashion</v>
      </c>
      <c r="O1144" s="3">
        <f>_xlfn.XLOOKUP(order[[#This Row],[product_id]],Table4[product_id],Table4[cost_price])</f>
        <v>1800</v>
      </c>
      <c r="P1144" s="11">
        <f>_xlfn.XLOOKUP(order[[#This Row],[order_id]],shipment[order_id],shipment[ship_date])</f>
        <v>45369</v>
      </c>
      <c r="Q1144" s="11">
        <f>_xlfn.XLOOKUP(order[[#This Row],[order_id]],shipment[order_id],shipment[delivery_date])</f>
        <v>45377</v>
      </c>
      <c r="R1144" s="3" t="str">
        <f>_xlfn.XLOOKUP(order[[#This Row],[order_id]],shipment[shipment_id],shipment[courier])</f>
        <v>Ekart</v>
      </c>
      <c r="S1144" s="3">
        <f>order[[#This Row],[selling_price]]-order[[#This Row],[cost_price]]*order[[#This Row],[quantity]]-order[[#This Row],[discount]]</f>
        <v>58352</v>
      </c>
      <c r="T1144" s="3">
        <f>order[[#This Row],[quantity]]*order[[#This Row],[selling_price]]</f>
        <v>130636</v>
      </c>
    </row>
    <row r="1145" spans="1:20" x14ac:dyDescent="0.3">
      <c r="A1145">
        <v>929</v>
      </c>
      <c r="B1145" s="11">
        <v>45329</v>
      </c>
      <c r="C1145">
        <v>133</v>
      </c>
      <c r="D1145" t="str">
        <f>_xlfn.XLOOKUP(order[[#This Row],[customer_id]],customer[customer_id],customer[customer_name])</f>
        <v>Manish Yadav</v>
      </c>
      <c r="E1145">
        <v>203</v>
      </c>
      <c r="F1145">
        <v>3</v>
      </c>
      <c r="G1145">
        <v>10908</v>
      </c>
      <c r="H1145">
        <v>1317</v>
      </c>
      <c r="I1145" t="s">
        <v>15</v>
      </c>
      <c r="J1145" t="s">
        <v>12</v>
      </c>
      <c r="K1145" t="str">
        <f>_xlfn.XLOOKUP(order[[#This Row],[customer_id]],customer[customer_id],customer[city])</f>
        <v>Hyderabad</v>
      </c>
      <c r="L1145" t="str">
        <f>_xlfn.XLOOKUP(order[[#This Row],[customer_id]],customer[customer_id],customer[state])</f>
        <v>Telangana</v>
      </c>
      <c r="M1145" t="str">
        <f>_xlfn.XLOOKUP(order[[#This Row],[product_id]],products!$A$2:$A$11,products!$B$2:$B$11)</f>
        <v>Nike Air Max Shoes</v>
      </c>
      <c r="N1145" s="3" t="str">
        <f>_xlfn.XLOOKUP(order[[#This Row],[product_id]],products!$A$2:$A$11,products!$C$2:$C$11)</f>
        <v>Fashion</v>
      </c>
      <c r="O1145" s="3">
        <f>_xlfn.XLOOKUP(order[[#This Row],[product_id]],Table4[product_id],Table4[cost_price])</f>
        <v>4000</v>
      </c>
      <c r="P1145" s="11">
        <f>_xlfn.XLOOKUP(order[[#This Row],[order_id]],shipment[order_id],shipment[ship_date])</f>
        <v>45421</v>
      </c>
      <c r="Q1145" s="11">
        <f>_xlfn.XLOOKUP(order[[#This Row],[order_id]],shipment[order_id],shipment[delivery_date])</f>
        <v>45425</v>
      </c>
      <c r="R1145" s="3" t="str">
        <f>_xlfn.XLOOKUP(order[[#This Row],[order_id]],shipment[shipment_id],shipment[courier])</f>
        <v>Delhivery</v>
      </c>
      <c r="S1145" s="3">
        <f>order[[#This Row],[selling_price]]-order[[#This Row],[cost_price]]*order[[#This Row],[quantity]]-order[[#This Row],[discount]]</f>
        <v>-2409</v>
      </c>
      <c r="T1145" s="3">
        <f>order[[#This Row],[quantity]]*order[[#This Row],[selling_price]]</f>
        <v>32724</v>
      </c>
    </row>
    <row r="1146" spans="1:20" x14ac:dyDescent="0.3">
      <c r="A1146">
        <v>1145</v>
      </c>
      <c r="B1146" s="11">
        <v>45417</v>
      </c>
      <c r="C1146">
        <v>271</v>
      </c>
      <c r="D1146" t="str">
        <f>_xlfn.XLOOKUP(order[[#This Row],[customer_id]],customer[customer_id],customer[customer_name])</f>
        <v>Neha Kapoor</v>
      </c>
      <c r="E1146">
        <v>210</v>
      </c>
      <c r="F1146">
        <v>1</v>
      </c>
      <c r="G1146">
        <v>50067</v>
      </c>
      <c r="H1146">
        <v>1765</v>
      </c>
      <c r="I1146" t="s">
        <v>13</v>
      </c>
      <c r="J1146" t="s">
        <v>10</v>
      </c>
      <c r="K1146" t="str">
        <f>_xlfn.XLOOKUP(order[[#This Row],[customer_id]],customer[customer_id],customer[city])</f>
        <v>Ahmedabad</v>
      </c>
      <c r="L1146" t="str">
        <f>_xlfn.XLOOKUP(order[[#This Row],[customer_id]],customer[customer_id],customer[state])</f>
        <v>Gujarat</v>
      </c>
      <c r="M1146" t="str">
        <f>_xlfn.XLOOKUP(order[[#This Row],[product_id]],products!$A$2:$A$11,products!$B$2:$B$11)</f>
        <v>LG 43 Inch Smart TV</v>
      </c>
      <c r="N1146" s="3" t="str">
        <f>_xlfn.XLOOKUP(order[[#This Row],[product_id]],products!$A$2:$A$11,products!$C$2:$C$11)</f>
        <v>Electronics</v>
      </c>
      <c r="O1146" s="3">
        <f>_xlfn.XLOOKUP(order[[#This Row],[product_id]],Table4[product_id],Table4[cost_price])</f>
        <v>30000</v>
      </c>
      <c r="P1146" s="11">
        <f>_xlfn.XLOOKUP(order[[#This Row],[order_id]],shipment[order_id],shipment[ship_date])</f>
        <v>45337</v>
      </c>
      <c r="Q1146" s="11">
        <f>_xlfn.XLOOKUP(order[[#This Row],[order_id]],shipment[order_id],shipment[delivery_date])</f>
        <v>45347</v>
      </c>
      <c r="R1146" s="3" t="str">
        <f>_xlfn.XLOOKUP(order[[#This Row],[order_id]],shipment[shipment_id],shipment[courier])</f>
        <v>Ekart</v>
      </c>
      <c r="S1146" s="3">
        <f>order[[#This Row],[selling_price]]-order[[#This Row],[cost_price]]*order[[#This Row],[quantity]]-order[[#This Row],[discount]]</f>
        <v>18302</v>
      </c>
      <c r="T1146" s="3">
        <f>order[[#This Row],[quantity]]*order[[#This Row],[selling_price]]</f>
        <v>50067</v>
      </c>
    </row>
    <row r="1147" spans="1:20" x14ac:dyDescent="0.3">
      <c r="A1147">
        <v>1146</v>
      </c>
      <c r="B1147" s="11">
        <v>45557</v>
      </c>
      <c r="C1147">
        <v>238</v>
      </c>
      <c r="D1147" t="str">
        <f>_xlfn.XLOOKUP(order[[#This Row],[customer_id]],customer[customer_id],customer[customer_name])</f>
        <v>Karan Patel</v>
      </c>
      <c r="E1147">
        <v>208</v>
      </c>
      <c r="F1147">
        <v>4</v>
      </c>
      <c r="G1147">
        <v>44039</v>
      </c>
      <c r="H1147">
        <v>4716</v>
      </c>
      <c r="I1147" t="s">
        <v>11</v>
      </c>
      <c r="J1147" t="s">
        <v>12</v>
      </c>
      <c r="K1147" t="str">
        <f>_xlfn.XLOOKUP(order[[#This Row],[customer_id]],customer[customer_id],customer[city])</f>
        <v>Chennai</v>
      </c>
      <c r="L1147" t="str">
        <f>_xlfn.XLOOKUP(order[[#This Row],[customer_id]],customer[customer_id],customer[state])</f>
        <v>Tamil Nadu</v>
      </c>
      <c r="M1147" t="str">
        <f>_xlfn.XLOOKUP(order[[#This Row],[product_id]],products!$A$2:$A$11,products!$B$2:$B$11)</f>
        <v>Adidas Ultraboost Shoes</v>
      </c>
      <c r="N1147" s="3" t="str">
        <f>_xlfn.XLOOKUP(order[[#This Row],[product_id]],products!$A$2:$A$11,products!$C$2:$C$11)</f>
        <v>Fashion</v>
      </c>
      <c r="O1147" s="3">
        <f>_xlfn.XLOOKUP(order[[#This Row],[product_id]],Table4[product_id],Table4[cost_price])</f>
        <v>9000</v>
      </c>
      <c r="P1147" s="11">
        <f>_xlfn.XLOOKUP(order[[#This Row],[order_id]],shipment[order_id],shipment[ship_date])</f>
        <v>45545</v>
      </c>
      <c r="Q1147" s="11">
        <f>_xlfn.XLOOKUP(order[[#This Row],[order_id]],shipment[order_id],shipment[delivery_date])</f>
        <v>45551</v>
      </c>
      <c r="R1147" s="3" t="str">
        <f>_xlfn.XLOOKUP(order[[#This Row],[order_id]],shipment[shipment_id],shipment[courier])</f>
        <v>BlueDart</v>
      </c>
      <c r="S1147" s="3">
        <f>order[[#This Row],[selling_price]]-order[[#This Row],[cost_price]]*order[[#This Row],[quantity]]-order[[#This Row],[discount]]</f>
        <v>3323</v>
      </c>
      <c r="T1147" s="3">
        <f>order[[#This Row],[quantity]]*order[[#This Row],[selling_price]]</f>
        <v>176156</v>
      </c>
    </row>
    <row r="1148" spans="1:20" x14ac:dyDescent="0.3">
      <c r="A1148">
        <v>1077</v>
      </c>
      <c r="B1148" s="11">
        <v>45299</v>
      </c>
      <c r="C1148">
        <v>223</v>
      </c>
      <c r="D1148" t="str">
        <f>_xlfn.XLOOKUP(order[[#This Row],[customer_id]],customer[customer_id],customer[customer_name])</f>
        <v>Manish Yadav</v>
      </c>
      <c r="E1148">
        <v>203</v>
      </c>
      <c r="F1148">
        <v>4</v>
      </c>
      <c r="G1148">
        <v>16200</v>
      </c>
      <c r="H1148">
        <v>672</v>
      </c>
      <c r="I1148" t="s">
        <v>11</v>
      </c>
      <c r="J1148" t="s">
        <v>12</v>
      </c>
      <c r="K1148" t="str">
        <f>_xlfn.XLOOKUP(order[[#This Row],[customer_id]],customer[customer_id],customer[city])</f>
        <v>Delhi</v>
      </c>
      <c r="L1148" t="str">
        <f>_xlfn.XLOOKUP(order[[#This Row],[customer_id]],customer[customer_id],customer[state])</f>
        <v>Delhi</v>
      </c>
      <c r="M1148" t="str">
        <f>_xlfn.XLOOKUP(order[[#This Row],[product_id]],products!$A$2:$A$11,products!$B$2:$B$11)</f>
        <v>Nike Air Max Shoes</v>
      </c>
      <c r="N1148" s="3" t="str">
        <f>_xlfn.XLOOKUP(order[[#This Row],[product_id]],products!$A$2:$A$11,products!$C$2:$C$11)</f>
        <v>Fashion</v>
      </c>
      <c r="O1148" s="3">
        <f>_xlfn.XLOOKUP(order[[#This Row],[product_id]],Table4[product_id],Table4[cost_price])</f>
        <v>4000</v>
      </c>
      <c r="P1148" s="11">
        <f>_xlfn.XLOOKUP(order[[#This Row],[order_id]],shipment[order_id],shipment[ship_date])</f>
        <v>45310</v>
      </c>
      <c r="Q1148" s="11">
        <f>_xlfn.XLOOKUP(order[[#This Row],[order_id]],shipment[order_id],shipment[delivery_date])</f>
        <v>45313</v>
      </c>
      <c r="R1148" s="3" t="str">
        <f>_xlfn.XLOOKUP(order[[#This Row],[order_id]],shipment[shipment_id],shipment[courier])</f>
        <v>DTDC</v>
      </c>
      <c r="S1148" s="3">
        <f>order[[#This Row],[selling_price]]-order[[#This Row],[cost_price]]*order[[#This Row],[quantity]]-order[[#This Row],[discount]]</f>
        <v>-472</v>
      </c>
      <c r="T1148" s="3">
        <f>order[[#This Row],[quantity]]*order[[#This Row],[selling_price]]</f>
        <v>64800</v>
      </c>
    </row>
    <row r="1149" spans="1:20" x14ac:dyDescent="0.3">
      <c r="A1149">
        <v>1148</v>
      </c>
      <c r="B1149" s="11">
        <v>45509</v>
      </c>
      <c r="C1149">
        <v>181</v>
      </c>
      <c r="D1149" t="str">
        <f>_xlfn.XLOOKUP(order[[#This Row],[customer_id]],customer[customer_id],customer[customer_name])</f>
        <v>Manish Yadav</v>
      </c>
      <c r="E1149">
        <v>201</v>
      </c>
      <c r="F1149">
        <v>1</v>
      </c>
      <c r="G1149">
        <v>66476</v>
      </c>
      <c r="H1149">
        <v>2966</v>
      </c>
      <c r="I1149" t="s">
        <v>15</v>
      </c>
      <c r="J1149" t="s">
        <v>14</v>
      </c>
      <c r="K1149" t="str">
        <f>_xlfn.XLOOKUP(order[[#This Row],[customer_id]],customer[customer_id],customer[city])</f>
        <v>Delhi</v>
      </c>
      <c r="L1149" t="str">
        <f>_xlfn.XLOOKUP(order[[#This Row],[customer_id]],customer[customer_id],customer[state])</f>
        <v>Delhi</v>
      </c>
      <c r="M1149" t="str">
        <f>_xlfn.XLOOKUP(order[[#This Row],[product_id]],products!$A$2:$A$11,products!$B$2:$B$11)</f>
        <v>iPhone 13</v>
      </c>
      <c r="N1149" s="3" t="str">
        <f>_xlfn.XLOOKUP(order[[#This Row],[product_id]],products!$A$2:$A$11,products!$C$2:$C$11)</f>
        <v>Electronics</v>
      </c>
      <c r="O1149" s="3">
        <f>_xlfn.XLOOKUP(order[[#This Row],[product_id]],Table4[product_id],Table4[cost_price])</f>
        <v>52000</v>
      </c>
      <c r="P1149" s="11">
        <f>_xlfn.XLOOKUP(order[[#This Row],[order_id]],shipment[order_id],shipment[ship_date])</f>
        <v>45480</v>
      </c>
      <c r="Q1149" s="11">
        <f>_xlfn.XLOOKUP(order[[#This Row],[order_id]],shipment[order_id],shipment[delivery_date])</f>
        <v>45481</v>
      </c>
      <c r="R1149" s="3" t="str">
        <f>_xlfn.XLOOKUP(order[[#This Row],[order_id]],shipment[shipment_id],shipment[courier])</f>
        <v>Ekart</v>
      </c>
      <c r="S1149" s="3">
        <f>order[[#This Row],[selling_price]]-order[[#This Row],[cost_price]]*order[[#This Row],[quantity]]-order[[#This Row],[discount]]</f>
        <v>11510</v>
      </c>
      <c r="T1149" s="3">
        <f>order[[#This Row],[quantity]]*order[[#This Row],[selling_price]]</f>
        <v>66476</v>
      </c>
    </row>
    <row r="1150" spans="1:20" x14ac:dyDescent="0.3">
      <c r="A1150">
        <v>1149</v>
      </c>
      <c r="B1150" s="11">
        <v>45547</v>
      </c>
      <c r="C1150">
        <v>210</v>
      </c>
      <c r="D1150" t="str">
        <f>_xlfn.XLOOKUP(order[[#This Row],[customer_id]],customer[customer_id],customer[customer_name])</f>
        <v>Neha Kapoor</v>
      </c>
      <c r="E1150">
        <v>203</v>
      </c>
      <c r="F1150">
        <v>3</v>
      </c>
      <c r="G1150">
        <v>21219</v>
      </c>
      <c r="H1150">
        <v>4385</v>
      </c>
      <c r="I1150" t="s">
        <v>11</v>
      </c>
      <c r="J1150" t="s">
        <v>14</v>
      </c>
      <c r="K1150" t="str">
        <f>_xlfn.XLOOKUP(order[[#This Row],[customer_id]],customer[customer_id],customer[city])</f>
        <v>Bangalore</v>
      </c>
      <c r="L1150" t="str">
        <f>_xlfn.XLOOKUP(order[[#This Row],[customer_id]],customer[customer_id],customer[state])</f>
        <v>Karnataka</v>
      </c>
      <c r="M1150" t="str">
        <f>_xlfn.XLOOKUP(order[[#This Row],[product_id]],products!$A$2:$A$11,products!$B$2:$B$11)</f>
        <v>Nike Air Max Shoes</v>
      </c>
      <c r="N1150" s="3" t="str">
        <f>_xlfn.XLOOKUP(order[[#This Row],[product_id]],products!$A$2:$A$11,products!$C$2:$C$11)</f>
        <v>Fashion</v>
      </c>
      <c r="O1150" s="3">
        <f>_xlfn.XLOOKUP(order[[#This Row],[product_id]],Table4[product_id],Table4[cost_price])</f>
        <v>4000</v>
      </c>
      <c r="P1150" s="11">
        <f>_xlfn.XLOOKUP(order[[#This Row],[order_id]],shipment[order_id],shipment[ship_date])</f>
        <v>45653</v>
      </c>
      <c r="Q1150" s="11">
        <f>_xlfn.XLOOKUP(order[[#This Row],[order_id]],shipment[order_id],shipment[delivery_date])</f>
        <v>45657</v>
      </c>
      <c r="R1150" s="3" t="str">
        <f>_xlfn.XLOOKUP(order[[#This Row],[order_id]],shipment[shipment_id],shipment[courier])</f>
        <v>DTDC</v>
      </c>
      <c r="S1150" s="3">
        <f>order[[#This Row],[selling_price]]-order[[#This Row],[cost_price]]*order[[#This Row],[quantity]]-order[[#This Row],[discount]]</f>
        <v>4834</v>
      </c>
      <c r="T1150" s="3">
        <f>order[[#This Row],[quantity]]*order[[#This Row],[selling_price]]</f>
        <v>63657</v>
      </c>
    </row>
    <row r="1151" spans="1:20" x14ac:dyDescent="0.3">
      <c r="A1151">
        <v>760</v>
      </c>
      <c r="B1151" s="11">
        <v>45448</v>
      </c>
      <c r="C1151">
        <v>134</v>
      </c>
      <c r="D1151" t="str">
        <f>_xlfn.XLOOKUP(order[[#This Row],[customer_id]],customer[customer_id],customer[customer_name])</f>
        <v>Rohit Verma</v>
      </c>
      <c r="E1151">
        <v>204</v>
      </c>
      <c r="F1151">
        <v>3</v>
      </c>
      <c r="G1151">
        <v>3852</v>
      </c>
      <c r="H1151">
        <v>4147</v>
      </c>
      <c r="I1151" t="s">
        <v>11</v>
      </c>
      <c r="J1151" t="s">
        <v>10</v>
      </c>
      <c r="K1151" t="str">
        <f>_xlfn.XLOOKUP(order[[#This Row],[customer_id]],customer[customer_id],customer[city])</f>
        <v>Hyderabad</v>
      </c>
      <c r="L1151" t="str">
        <f>_xlfn.XLOOKUP(order[[#This Row],[customer_id]],customer[customer_id],customer[state])</f>
        <v>Telangana</v>
      </c>
      <c r="M1151" t="str">
        <f>_xlfn.XLOOKUP(order[[#This Row],[product_id]],products!$A$2:$A$11,products!$B$2:$B$11)</f>
        <v>Levi's Slim Fit Jeans</v>
      </c>
      <c r="N1151" s="3" t="str">
        <f>_xlfn.XLOOKUP(order[[#This Row],[product_id]],products!$A$2:$A$11,products!$C$2:$C$11)</f>
        <v>Fashion</v>
      </c>
      <c r="O1151" s="3">
        <f>_xlfn.XLOOKUP(order[[#This Row],[product_id]],Table4[product_id],Table4[cost_price])</f>
        <v>1800</v>
      </c>
      <c r="P1151" s="11">
        <f>_xlfn.XLOOKUP(order[[#This Row],[order_id]],shipment[order_id],shipment[ship_date])</f>
        <v>45607</v>
      </c>
      <c r="Q1151" s="11">
        <f>_xlfn.XLOOKUP(order[[#This Row],[order_id]],shipment[order_id],shipment[delivery_date])</f>
        <v>45617</v>
      </c>
      <c r="R1151" s="3" t="str">
        <f>_xlfn.XLOOKUP(order[[#This Row],[order_id]],shipment[shipment_id],shipment[courier])</f>
        <v>DTDC</v>
      </c>
      <c r="S1151" s="3">
        <f>order[[#This Row],[selling_price]]-order[[#This Row],[cost_price]]*order[[#This Row],[quantity]]-order[[#This Row],[discount]]</f>
        <v>-5695</v>
      </c>
      <c r="T1151" s="3">
        <f>order[[#This Row],[quantity]]*order[[#This Row],[selling_price]]</f>
        <v>11556</v>
      </c>
    </row>
    <row r="1152" spans="1:20" x14ac:dyDescent="0.3">
      <c r="A1152">
        <v>1151</v>
      </c>
      <c r="B1152" s="11">
        <v>45399</v>
      </c>
      <c r="C1152">
        <v>194</v>
      </c>
      <c r="D1152" t="str">
        <f>_xlfn.XLOOKUP(order[[#This Row],[customer_id]],customer[customer_id],customer[customer_name])</f>
        <v>Neha Kapoor</v>
      </c>
      <c r="E1152">
        <v>209</v>
      </c>
      <c r="F1152">
        <v>3</v>
      </c>
      <c r="G1152">
        <v>54048</v>
      </c>
      <c r="H1152">
        <v>3384</v>
      </c>
      <c r="I1152" t="s">
        <v>11</v>
      </c>
      <c r="J1152" t="s">
        <v>10</v>
      </c>
      <c r="K1152" t="str">
        <f>_xlfn.XLOOKUP(order[[#This Row],[customer_id]],customer[customer_id],customer[city])</f>
        <v>Delhi</v>
      </c>
      <c r="L1152" t="str">
        <f>_xlfn.XLOOKUP(order[[#This Row],[customer_id]],customer[customer_id],customer[state])</f>
        <v>Delhi</v>
      </c>
      <c r="M1152" t="str">
        <f>_xlfn.XLOOKUP(order[[#This Row],[product_id]],products!$A$2:$A$11,products!$B$2:$B$11)</f>
        <v>Milton Thermosteel Bottle</v>
      </c>
      <c r="N1152" s="3" t="str">
        <f>_xlfn.XLOOKUP(order[[#This Row],[product_id]],products!$A$2:$A$11,products!$C$2:$C$11)</f>
        <v>Home &amp; Kitchen</v>
      </c>
      <c r="O1152" s="3">
        <f>_xlfn.XLOOKUP(order[[#This Row],[product_id]],Table4[product_id],Table4[cost_price])</f>
        <v>800</v>
      </c>
      <c r="P1152" s="11">
        <f>_xlfn.XLOOKUP(order[[#This Row],[order_id]],shipment[order_id],shipment[ship_date])</f>
        <v>45556</v>
      </c>
      <c r="Q1152" s="11">
        <f>_xlfn.XLOOKUP(order[[#This Row],[order_id]],shipment[order_id],shipment[delivery_date])</f>
        <v>45566</v>
      </c>
      <c r="R1152" s="3" t="str">
        <f>_xlfn.XLOOKUP(order[[#This Row],[order_id]],shipment[shipment_id],shipment[courier])</f>
        <v>Delhivery</v>
      </c>
      <c r="S1152" s="3">
        <f>order[[#This Row],[selling_price]]-order[[#This Row],[cost_price]]*order[[#This Row],[quantity]]-order[[#This Row],[discount]]</f>
        <v>48264</v>
      </c>
      <c r="T1152" s="3">
        <f>order[[#This Row],[quantity]]*order[[#This Row],[selling_price]]</f>
        <v>162144</v>
      </c>
    </row>
    <row r="1153" spans="1:20" x14ac:dyDescent="0.3">
      <c r="A1153">
        <v>662</v>
      </c>
      <c r="B1153" s="11">
        <v>45509</v>
      </c>
      <c r="C1153">
        <v>222</v>
      </c>
      <c r="D1153" t="str">
        <f>_xlfn.XLOOKUP(order[[#This Row],[customer_id]],customer[customer_id],customer[customer_name])</f>
        <v>Ananya Gupta</v>
      </c>
      <c r="E1153">
        <v>204</v>
      </c>
      <c r="F1153">
        <v>2</v>
      </c>
      <c r="G1153">
        <v>7102</v>
      </c>
      <c r="H1153">
        <v>3804</v>
      </c>
      <c r="I1153" t="s">
        <v>11</v>
      </c>
      <c r="J1153" t="s">
        <v>14</v>
      </c>
      <c r="K1153" t="str">
        <f>_xlfn.XLOOKUP(order[[#This Row],[customer_id]],customer[customer_id],customer[city])</f>
        <v>Chennai</v>
      </c>
      <c r="L1153" t="str">
        <f>_xlfn.XLOOKUP(order[[#This Row],[customer_id]],customer[customer_id],customer[state])</f>
        <v>Tamil Nadu</v>
      </c>
      <c r="M1153" t="str">
        <f>_xlfn.XLOOKUP(order[[#This Row],[product_id]],products!$A$2:$A$11,products!$B$2:$B$11)</f>
        <v>Levi's Slim Fit Jeans</v>
      </c>
      <c r="N1153" s="3" t="str">
        <f>_xlfn.XLOOKUP(order[[#This Row],[product_id]],products!$A$2:$A$11,products!$C$2:$C$11)</f>
        <v>Fashion</v>
      </c>
      <c r="O1153" s="3">
        <f>_xlfn.XLOOKUP(order[[#This Row],[product_id]],Table4[product_id],Table4[cost_price])</f>
        <v>1800</v>
      </c>
      <c r="P1153" s="11">
        <f>_xlfn.XLOOKUP(order[[#This Row],[order_id]],shipment[order_id],shipment[ship_date])</f>
        <v>45602</v>
      </c>
      <c r="Q1153" s="11">
        <f>_xlfn.XLOOKUP(order[[#This Row],[order_id]],shipment[order_id],shipment[delivery_date])</f>
        <v>45609</v>
      </c>
      <c r="R1153" s="3" t="str">
        <f>_xlfn.XLOOKUP(order[[#This Row],[order_id]],shipment[shipment_id],shipment[courier])</f>
        <v>DTDC</v>
      </c>
      <c r="S1153" s="3">
        <f>order[[#This Row],[selling_price]]-order[[#This Row],[cost_price]]*order[[#This Row],[quantity]]-order[[#This Row],[discount]]</f>
        <v>-302</v>
      </c>
      <c r="T1153" s="3">
        <f>order[[#This Row],[quantity]]*order[[#This Row],[selling_price]]</f>
        <v>14204</v>
      </c>
    </row>
    <row r="1154" spans="1:20" x14ac:dyDescent="0.3">
      <c r="A1154">
        <v>1153</v>
      </c>
      <c r="B1154" s="11">
        <v>45635</v>
      </c>
      <c r="C1154">
        <v>117</v>
      </c>
      <c r="D1154" t="str">
        <f>_xlfn.XLOOKUP(order[[#This Row],[customer_id]],customer[customer_id],customer[customer_name])</f>
        <v>Rohit Verma</v>
      </c>
      <c r="E1154">
        <v>208</v>
      </c>
      <c r="F1154">
        <v>4</v>
      </c>
      <c r="G1154">
        <v>62839</v>
      </c>
      <c r="H1154">
        <v>2348</v>
      </c>
      <c r="I1154" t="s">
        <v>9</v>
      </c>
      <c r="J1154" t="s">
        <v>14</v>
      </c>
      <c r="K1154" t="str">
        <f>_xlfn.XLOOKUP(order[[#This Row],[customer_id]],customer[customer_id],customer[city])</f>
        <v>Bangalore</v>
      </c>
      <c r="L1154" t="str">
        <f>_xlfn.XLOOKUP(order[[#This Row],[customer_id]],customer[customer_id],customer[state])</f>
        <v>Karnataka</v>
      </c>
      <c r="M1154" t="str">
        <f>_xlfn.XLOOKUP(order[[#This Row],[product_id]],products!$A$2:$A$11,products!$B$2:$B$11)</f>
        <v>Adidas Ultraboost Shoes</v>
      </c>
      <c r="N1154" s="3" t="str">
        <f>_xlfn.XLOOKUP(order[[#This Row],[product_id]],products!$A$2:$A$11,products!$C$2:$C$11)</f>
        <v>Fashion</v>
      </c>
      <c r="O1154" s="3">
        <f>_xlfn.XLOOKUP(order[[#This Row],[product_id]],Table4[product_id],Table4[cost_price])</f>
        <v>9000</v>
      </c>
      <c r="P1154" s="11">
        <f>_xlfn.XLOOKUP(order[[#This Row],[order_id]],shipment[order_id],shipment[ship_date])</f>
        <v>45328</v>
      </c>
      <c r="Q1154" s="11">
        <f>_xlfn.XLOOKUP(order[[#This Row],[order_id]],shipment[order_id],shipment[delivery_date])</f>
        <v>45334</v>
      </c>
      <c r="R1154" s="3" t="str">
        <f>_xlfn.XLOOKUP(order[[#This Row],[order_id]],shipment[shipment_id],shipment[courier])</f>
        <v>Ekart</v>
      </c>
      <c r="S1154" s="3">
        <f>order[[#This Row],[selling_price]]-order[[#This Row],[cost_price]]*order[[#This Row],[quantity]]-order[[#This Row],[discount]]</f>
        <v>24491</v>
      </c>
      <c r="T1154" s="3">
        <f>order[[#This Row],[quantity]]*order[[#This Row],[selling_price]]</f>
        <v>251356</v>
      </c>
    </row>
    <row r="1155" spans="1:20" x14ac:dyDescent="0.3">
      <c r="A1155">
        <v>1154</v>
      </c>
      <c r="B1155" s="11">
        <v>45534</v>
      </c>
      <c r="C1155">
        <v>204</v>
      </c>
      <c r="D1155" t="str">
        <f>_xlfn.XLOOKUP(order[[#This Row],[customer_id]],customer[customer_id],customer[customer_name])</f>
        <v>Meera Joshi</v>
      </c>
      <c r="E1155">
        <v>206</v>
      </c>
      <c r="F1155">
        <v>3</v>
      </c>
      <c r="G1155">
        <v>33315</v>
      </c>
      <c r="H1155">
        <v>662</v>
      </c>
      <c r="I1155" t="s">
        <v>13</v>
      </c>
      <c r="J1155" t="s">
        <v>10</v>
      </c>
      <c r="K1155" t="str">
        <f>_xlfn.XLOOKUP(order[[#This Row],[customer_id]],customer[customer_id],customer[city])</f>
        <v>Mumbai</v>
      </c>
      <c r="L1155" t="str">
        <f>_xlfn.XLOOKUP(order[[#This Row],[customer_id]],customer[customer_id],customer[state])</f>
        <v>Maharashtra</v>
      </c>
      <c r="M1155" t="str">
        <f>_xlfn.XLOOKUP(order[[#This Row],[product_id]],products!$A$2:$A$11,products!$B$2:$B$11)</f>
        <v>Philips Air Fryer</v>
      </c>
      <c r="N1155" s="3" t="str">
        <f>_xlfn.XLOOKUP(order[[#This Row],[product_id]],products!$A$2:$A$11,products!$C$2:$C$11)</f>
        <v>Home &amp; Kitchen</v>
      </c>
      <c r="O1155" s="3">
        <f>_xlfn.XLOOKUP(order[[#This Row],[product_id]],Table4[product_id],Table4[cost_price])</f>
        <v>7000</v>
      </c>
      <c r="P1155" s="11">
        <f>_xlfn.XLOOKUP(order[[#This Row],[order_id]],shipment[order_id],shipment[ship_date])</f>
        <v>45329</v>
      </c>
      <c r="Q1155" s="11">
        <f>_xlfn.XLOOKUP(order[[#This Row],[order_id]],shipment[order_id],shipment[delivery_date])</f>
        <v>45335</v>
      </c>
      <c r="R1155" s="3" t="str">
        <f>_xlfn.XLOOKUP(order[[#This Row],[order_id]],shipment[shipment_id],shipment[courier])</f>
        <v>DTDC</v>
      </c>
      <c r="S1155" s="3">
        <f>order[[#This Row],[selling_price]]-order[[#This Row],[cost_price]]*order[[#This Row],[quantity]]-order[[#This Row],[discount]]</f>
        <v>11653</v>
      </c>
      <c r="T1155" s="3">
        <f>order[[#This Row],[quantity]]*order[[#This Row],[selling_price]]</f>
        <v>99945</v>
      </c>
    </row>
    <row r="1156" spans="1:20" x14ac:dyDescent="0.3">
      <c r="A1156">
        <v>1155</v>
      </c>
      <c r="B1156" s="11">
        <v>45464</v>
      </c>
      <c r="C1156">
        <v>149</v>
      </c>
      <c r="D1156" t="str">
        <f>_xlfn.XLOOKUP(order[[#This Row],[customer_id]],customer[customer_id],customer[customer_name])</f>
        <v>Karan Patel</v>
      </c>
      <c r="E1156">
        <v>210</v>
      </c>
      <c r="F1156">
        <v>1</v>
      </c>
      <c r="G1156">
        <v>47877</v>
      </c>
      <c r="H1156">
        <v>2808</v>
      </c>
      <c r="I1156" t="s">
        <v>13</v>
      </c>
      <c r="J1156" t="s">
        <v>14</v>
      </c>
      <c r="K1156" t="str">
        <f>_xlfn.XLOOKUP(order[[#This Row],[customer_id]],customer[customer_id],customer[city])</f>
        <v>Delhi</v>
      </c>
      <c r="L1156" t="str">
        <f>_xlfn.XLOOKUP(order[[#This Row],[customer_id]],customer[customer_id],customer[state])</f>
        <v>Delhi</v>
      </c>
      <c r="M1156" t="str">
        <f>_xlfn.XLOOKUP(order[[#This Row],[product_id]],products!$A$2:$A$11,products!$B$2:$B$11)</f>
        <v>LG 43 Inch Smart TV</v>
      </c>
      <c r="N1156" s="3" t="str">
        <f>_xlfn.XLOOKUP(order[[#This Row],[product_id]],products!$A$2:$A$11,products!$C$2:$C$11)</f>
        <v>Electronics</v>
      </c>
      <c r="O1156" s="3">
        <f>_xlfn.XLOOKUP(order[[#This Row],[product_id]],Table4[product_id],Table4[cost_price])</f>
        <v>30000</v>
      </c>
      <c r="P1156" s="11">
        <f>_xlfn.XLOOKUP(order[[#This Row],[order_id]],shipment[order_id],shipment[ship_date])</f>
        <v>45403</v>
      </c>
      <c r="Q1156" s="11">
        <f>_xlfn.XLOOKUP(order[[#This Row],[order_id]],shipment[order_id],shipment[delivery_date])</f>
        <v>45406</v>
      </c>
      <c r="R1156" s="3" t="str">
        <f>_xlfn.XLOOKUP(order[[#This Row],[order_id]],shipment[shipment_id],shipment[courier])</f>
        <v>DTDC</v>
      </c>
      <c r="S1156" s="3">
        <f>order[[#This Row],[selling_price]]-order[[#This Row],[cost_price]]*order[[#This Row],[quantity]]-order[[#This Row],[discount]]</f>
        <v>15069</v>
      </c>
      <c r="T1156" s="3">
        <f>order[[#This Row],[quantity]]*order[[#This Row],[selling_price]]</f>
        <v>47877</v>
      </c>
    </row>
    <row r="1157" spans="1:20" x14ac:dyDescent="0.3">
      <c r="A1157">
        <v>234</v>
      </c>
      <c r="B1157" s="11">
        <v>45633</v>
      </c>
      <c r="C1157">
        <v>241</v>
      </c>
      <c r="D1157" t="str">
        <f>_xlfn.XLOOKUP(order[[#This Row],[customer_id]],customer[customer_id],customer[customer_name])</f>
        <v>Rohit Verma</v>
      </c>
      <c r="E1157">
        <v>204</v>
      </c>
      <c r="F1157">
        <v>4</v>
      </c>
      <c r="G1157">
        <v>1562</v>
      </c>
      <c r="H1157">
        <v>3777</v>
      </c>
      <c r="I1157" t="s">
        <v>15</v>
      </c>
      <c r="J1157" t="s">
        <v>10</v>
      </c>
      <c r="K1157" t="str">
        <f>_xlfn.XLOOKUP(order[[#This Row],[customer_id]],customer[customer_id],customer[city])</f>
        <v>Chennai</v>
      </c>
      <c r="L1157" t="str">
        <f>_xlfn.XLOOKUP(order[[#This Row],[customer_id]],customer[customer_id],customer[state])</f>
        <v>Tamil Nadu</v>
      </c>
      <c r="M1157" t="str">
        <f>_xlfn.XLOOKUP(order[[#This Row],[product_id]],products!$A$2:$A$11,products!$B$2:$B$11)</f>
        <v>Levi's Slim Fit Jeans</v>
      </c>
      <c r="N1157" s="3" t="str">
        <f>_xlfn.XLOOKUP(order[[#This Row],[product_id]],products!$A$2:$A$11,products!$C$2:$C$11)</f>
        <v>Fashion</v>
      </c>
      <c r="O1157" s="3">
        <f>_xlfn.XLOOKUP(order[[#This Row],[product_id]],Table4[product_id],Table4[cost_price])</f>
        <v>1800</v>
      </c>
      <c r="P1157" s="11">
        <f>_xlfn.XLOOKUP(order[[#This Row],[order_id]],shipment[order_id],shipment[ship_date])</f>
        <v>45607</v>
      </c>
      <c r="Q1157" s="11">
        <f>_xlfn.XLOOKUP(order[[#This Row],[order_id]],shipment[order_id],shipment[delivery_date])</f>
        <v>45610</v>
      </c>
      <c r="R1157" s="3" t="str">
        <f>_xlfn.XLOOKUP(order[[#This Row],[order_id]],shipment[shipment_id],shipment[courier])</f>
        <v>BlueDart</v>
      </c>
      <c r="S1157" s="3">
        <f>order[[#This Row],[selling_price]]-order[[#This Row],[cost_price]]*order[[#This Row],[quantity]]-order[[#This Row],[discount]]</f>
        <v>-9415</v>
      </c>
      <c r="T1157" s="3">
        <f>order[[#This Row],[quantity]]*order[[#This Row],[selling_price]]</f>
        <v>6248</v>
      </c>
    </row>
    <row r="1158" spans="1:20" x14ac:dyDescent="0.3">
      <c r="A1158">
        <v>534</v>
      </c>
      <c r="B1158" s="11">
        <v>45356</v>
      </c>
      <c r="C1158">
        <v>219</v>
      </c>
      <c r="D1158" t="str">
        <f>_xlfn.XLOOKUP(order[[#This Row],[customer_id]],customer[customer_id],customer[customer_name])</f>
        <v>Meera Joshi</v>
      </c>
      <c r="E1158">
        <v>204</v>
      </c>
      <c r="F1158">
        <v>1</v>
      </c>
      <c r="G1158">
        <v>3482</v>
      </c>
      <c r="H1158">
        <v>3673</v>
      </c>
      <c r="I1158" t="s">
        <v>9</v>
      </c>
      <c r="J1158" t="s">
        <v>12</v>
      </c>
      <c r="K1158" t="str">
        <f>_xlfn.XLOOKUP(order[[#This Row],[customer_id]],customer[customer_id],customer[city])</f>
        <v>Bangalore</v>
      </c>
      <c r="L1158" t="str">
        <f>_xlfn.XLOOKUP(order[[#This Row],[customer_id]],customer[customer_id],customer[state])</f>
        <v>Karnataka</v>
      </c>
      <c r="M1158" t="str">
        <f>_xlfn.XLOOKUP(order[[#This Row],[product_id]],products!$A$2:$A$11,products!$B$2:$B$11)</f>
        <v>Levi's Slim Fit Jeans</v>
      </c>
      <c r="N1158" s="3" t="str">
        <f>_xlfn.XLOOKUP(order[[#This Row],[product_id]],products!$A$2:$A$11,products!$C$2:$C$11)</f>
        <v>Fashion</v>
      </c>
      <c r="O1158" s="3">
        <f>_xlfn.XLOOKUP(order[[#This Row],[product_id]],Table4[product_id],Table4[cost_price])</f>
        <v>1800</v>
      </c>
      <c r="P1158" s="11">
        <f>_xlfn.XLOOKUP(order[[#This Row],[order_id]],shipment[order_id],shipment[ship_date])</f>
        <v>45296</v>
      </c>
      <c r="Q1158" s="11">
        <f>_xlfn.XLOOKUP(order[[#This Row],[order_id]],shipment[order_id],shipment[delivery_date])</f>
        <v>45302</v>
      </c>
      <c r="R1158" s="3" t="str">
        <f>_xlfn.XLOOKUP(order[[#This Row],[order_id]],shipment[shipment_id],shipment[courier])</f>
        <v>BlueDart</v>
      </c>
      <c r="S1158" s="3">
        <f>order[[#This Row],[selling_price]]-order[[#This Row],[cost_price]]*order[[#This Row],[quantity]]-order[[#This Row],[discount]]</f>
        <v>-1991</v>
      </c>
      <c r="T1158" s="3">
        <f>order[[#This Row],[quantity]]*order[[#This Row],[selling_price]]</f>
        <v>3482</v>
      </c>
    </row>
    <row r="1159" spans="1:20" x14ac:dyDescent="0.3">
      <c r="A1159">
        <v>1158</v>
      </c>
      <c r="B1159" s="11">
        <v>45497</v>
      </c>
      <c r="C1159">
        <v>188</v>
      </c>
      <c r="D1159" t="str">
        <f>_xlfn.XLOOKUP(order[[#This Row],[customer_id]],customer[customer_id],customer[customer_name])</f>
        <v>Sneha Iyer</v>
      </c>
      <c r="E1159">
        <v>207</v>
      </c>
      <c r="F1159">
        <v>2</v>
      </c>
      <c r="G1159">
        <v>56587</v>
      </c>
      <c r="H1159">
        <v>4841</v>
      </c>
      <c r="I1159" t="s">
        <v>13</v>
      </c>
      <c r="J1159" t="s">
        <v>10</v>
      </c>
      <c r="K1159" t="str">
        <f>_xlfn.XLOOKUP(order[[#This Row],[customer_id]],customer[customer_id],customer[city])</f>
        <v>Pune</v>
      </c>
      <c r="L1159" t="str">
        <f>_xlfn.XLOOKUP(order[[#This Row],[customer_id]],customer[customer_id],customer[state])</f>
        <v>Maharashtra</v>
      </c>
      <c r="M1159" t="str">
        <f>_xlfn.XLOOKUP(order[[#This Row],[product_id]],products!$A$2:$A$11,products!$B$2:$B$11)</f>
        <v>Sony WH-1000XM4 Headphones</v>
      </c>
      <c r="N1159" s="3" t="str">
        <f>_xlfn.XLOOKUP(order[[#This Row],[product_id]],products!$A$2:$A$11,products!$C$2:$C$11)</f>
        <v>Electronics</v>
      </c>
      <c r="O1159" s="3">
        <f>_xlfn.XLOOKUP(order[[#This Row],[product_id]],Table4[product_id],Table4[cost_price])</f>
        <v>20000</v>
      </c>
      <c r="P1159" s="11">
        <f>_xlfn.XLOOKUP(order[[#This Row],[order_id]],shipment[order_id],shipment[ship_date])</f>
        <v>45386</v>
      </c>
      <c r="Q1159" s="11">
        <f>_xlfn.XLOOKUP(order[[#This Row],[order_id]],shipment[order_id],shipment[delivery_date])</f>
        <v>45395</v>
      </c>
      <c r="R1159" s="3" t="str">
        <f>_xlfn.XLOOKUP(order[[#This Row],[order_id]],shipment[shipment_id],shipment[courier])</f>
        <v>Ekart</v>
      </c>
      <c r="S1159" s="3">
        <f>order[[#This Row],[selling_price]]-order[[#This Row],[cost_price]]*order[[#This Row],[quantity]]-order[[#This Row],[discount]]</f>
        <v>11746</v>
      </c>
      <c r="T1159" s="3">
        <f>order[[#This Row],[quantity]]*order[[#This Row],[selling_price]]</f>
        <v>113174</v>
      </c>
    </row>
    <row r="1160" spans="1:20" x14ac:dyDescent="0.3">
      <c r="A1160">
        <v>1159</v>
      </c>
      <c r="B1160" s="11">
        <v>45556</v>
      </c>
      <c r="C1160">
        <v>135</v>
      </c>
      <c r="D1160" t="str">
        <f>_xlfn.XLOOKUP(order[[#This Row],[customer_id]],customer[customer_id],customer[customer_name])</f>
        <v>Manish Yadav</v>
      </c>
      <c r="E1160">
        <v>206</v>
      </c>
      <c r="F1160">
        <v>4</v>
      </c>
      <c r="G1160">
        <v>57803</v>
      </c>
      <c r="H1160">
        <v>4542</v>
      </c>
      <c r="I1160" t="s">
        <v>11</v>
      </c>
      <c r="J1160" t="s">
        <v>14</v>
      </c>
      <c r="K1160" t="str">
        <f>_xlfn.XLOOKUP(order[[#This Row],[customer_id]],customer[customer_id],customer[city])</f>
        <v>Bangalore</v>
      </c>
      <c r="L1160" t="str">
        <f>_xlfn.XLOOKUP(order[[#This Row],[customer_id]],customer[customer_id],customer[state])</f>
        <v>Karnataka</v>
      </c>
      <c r="M1160" t="str">
        <f>_xlfn.XLOOKUP(order[[#This Row],[product_id]],products!$A$2:$A$11,products!$B$2:$B$11)</f>
        <v>Philips Air Fryer</v>
      </c>
      <c r="N1160" s="3" t="str">
        <f>_xlfn.XLOOKUP(order[[#This Row],[product_id]],products!$A$2:$A$11,products!$C$2:$C$11)</f>
        <v>Home &amp; Kitchen</v>
      </c>
      <c r="O1160" s="3">
        <f>_xlfn.XLOOKUP(order[[#This Row],[product_id]],Table4[product_id],Table4[cost_price])</f>
        <v>7000</v>
      </c>
      <c r="P1160" s="11">
        <f>_xlfn.XLOOKUP(order[[#This Row],[order_id]],shipment[order_id],shipment[ship_date])</f>
        <v>45394</v>
      </c>
      <c r="Q1160" s="11">
        <f>_xlfn.XLOOKUP(order[[#This Row],[order_id]],shipment[order_id],shipment[delivery_date])</f>
        <v>45400</v>
      </c>
      <c r="R1160" s="3" t="str">
        <f>_xlfn.XLOOKUP(order[[#This Row],[order_id]],shipment[shipment_id],shipment[courier])</f>
        <v>Delhivery</v>
      </c>
      <c r="S1160" s="3">
        <f>order[[#This Row],[selling_price]]-order[[#This Row],[cost_price]]*order[[#This Row],[quantity]]-order[[#This Row],[discount]]</f>
        <v>25261</v>
      </c>
      <c r="T1160" s="3">
        <f>order[[#This Row],[quantity]]*order[[#This Row],[selling_price]]</f>
        <v>231212</v>
      </c>
    </row>
    <row r="1161" spans="1:20" x14ac:dyDescent="0.3">
      <c r="A1161">
        <v>1160</v>
      </c>
      <c r="B1161" s="11">
        <v>45523</v>
      </c>
      <c r="C1161">
        <v>254</v>
      </c>
      <c r="D1161" t="str">
        <f>_xlfn.XLOOKUP(order[[#This Row],[customer_id]],customer[customer_id],customer[customer_name])</f>
        <v>Neha Kapoor</v>
      </c>
      <c r="E1161">
        <v>203</v>
      </c>
      <c r="F1161">
        <v>3</v>
      </c>
      <c r="G1161">
        <v>27497</v>
      </c>
      <c r="H1161">
        <v>2024</v>
      </c>
      <c r="I1161" t="s">
        <v>9</v>
      </c>
      <c r="J1161" t="s">
        <v>14</v>
      </c>
      <c r="K1161" t="str">
        <f>_xlfn.XLOOKUP(order[[#This Row],[customer_id]],customer[customer_id],customer[city])</f>
        <v>Bangalore</v>
      </c>
      <c r="L1161" t="str">
        <f>_xlfn.XLOOKUP(order[[#This Row],[customer_id]],customer[customer_id],customer[state])</f>
        <v>Karnataka</v>
      </c>
      <c r="M1161" t="str">
        <f>_xlfn.XLOOKUP(order[[#This Row],[product_id]],products!$A$2:$A$11,products!$B$2:$B$11)</f>
        <v>Nike Air Max Shoes</v>
      </c>
      <c r="N1161" s="3" t="str">
        <f>_xlfn.XLOOKUP(order[[#This Row],[product_id]],products!$A$2:$A$11,products!$C$2:$C$11)</f>
        <v>Fashion</v>
      </c>
      <c r="O1161" s="3">
        <f>_xlfn.XLOOKUP(order[[#This Row],[product_id]],Table4[product_id],Table4[cost_price])</f>
        <v>4000</v>
      </c>
      <c r="P1161" s="11">
        <f>_xlfn.XLOOKUP(order[[#This Row],[order_id]],shipment[order_id],shipment[ship_date])</f>
        <v>45633</v>
      </c>
      <c r="Q1161" s="11">
        <f>_xlfn.XLOOKUP(order[[#This Row],[order_id]],shipment[order_id],shipment[delivery_date])</f>
        <v>45637</v>
      </c>
      <c r="R1161" s="3" t="str">
        <f>_xlfn.XLOOKUP(order[[#This Row],[order_id]],shipment[shipment_id],shipment[courier])</f>
        <v>BlueDart</v>
      </c>
      <c r="S1161" s="3">
        <f>order[[#This Row],[selling_price]]-order[[#This Row],[cost_price]]*order[[#This Row],[quantity]]-order[[#This Row],[discount]]</f>
        <v>13473</v>
      </c>
      <c r="T1161" s="3">
        <f>order[[#This Row],[quantity]]*order[[#This Row],[selling_price]]</f>
        <v>82491</v>
      </c>
    </row>
    <row r="1162" spans="1:20" x14ac:dyDescent="0.3">
      <c r="A1162">
        <v>1161</v>
      </c>
      <c r="B1162" s="11">
        <v>45642</v>
      </c>
      <c r="C1162">
        <v>211</v>
      </c>
      <c r="D1162" t="str">
        <f>_xlfn.XLOOKUP(order[[#This Row],[customer_id]],customer[customer_id],customer[customer_name])</f>
        <v>Aarav Sharma</v>
      </c>
      <c r="E1162">
        <v>205</v>
      </c>
      <c r="F1162">
        <v>2</v>
      </c>
      <c r="G1162">
        <v>23705</v>
      </c>
      <c r="H1162">
        <v>294</v>
      </c>
      <c r="I1162" t="s">
        <v>13</v>
      </c>
      <c r="J1162" t="s">
        <v>14</v>
      </c>
      <c r="K1162" t="str">
        <f>_xlfn.XLOOKUP(order[[#This Row],[customer_id]],customer[customer_id],customer[city])</f>
        <v>Ahmedabad</v>
      </c>
      <c r="L1162" t="str">
        <f>_xlfn.XLOOKUP(order[[#This Row],[customer_id]],customer[customer_id],customer[state])</f>
        <v>Gujarat</v>
      </c>
      <c r="M1162" t="str">
        <f>_xlfn.XLOOKUP(order[[#This Row],[product_id]],products!$A$2:$A$11,products!$B$2:$B$11)</f>
        <v>Prestige Pressure Cooker 5L</v>
      </c>
      <c r="N1162" s="3" t="str">
        <f>_xlfn.XLOOKUP(order[[#This Row],[product_id]],products!$A$2:$A$11,products!$C$2:$C$11)</f>
        <v>Home &amp; Kitchen</v>
      </c>
      <c r="O1162" s="3">
        <f>_xlfn.XLOOKUP(order[[#This Row],[product_id]],Table4[product_id],Table4[cost_price])</f>
        <v>1200</v>
      </c>
      <c r="P1162" s="11">
        <f>_xlfn.XLOOKUP(order[[#This Row],[order_id]],shipment[order_id],shipment[ship_date])</f>
        <v>45551</v>
      </c>
      <c r="Q1162" s="11">
        <f>_xlfn.XLOOKUP(order[[#This Row],[order_id]],shipment[order_id],shipment[delivery_date])</f>
        <v>45553</v>
      </c>
      <c r="R1162" s="3" t="str">
        <f>_xlfn.XLOOKUP(order[[#This Row],[order_id]],shipment[shipment_id],shipment[courier])</f>
        <v>Ekart</v>
      </c>
      <c r="S1162" s="3">
        <f>order[[#This Row],[selling_price]]-order[[#This Row],[cost_price]]*order[[#This Row],[quantity]]-order[[#This Row],[discount]]</f>
        <v>21011</v>
      </c>
      <c r="T1162" s="3">
        <f>order[[#This Row],[quantity]]*order[[#This Row],[selling_price]]</f>
        <v>47410</v>
      </c>
    </row>
    <row r="1163" spans="1:20" x14ac:dyDescent="0.3">
      <c r="A1163">
        <v>990</v>
      </c>
      <c r="B1163" s="11">
        <v>45381</v>
      </c>
      <c r="C1163">
        <v>262</v>
      </c>
      <c r="D1163" t="str">
        <f>_xlfn.XLOOKUP(order[[#This Row],[customer_id]],customer[customer_id],customer[customer_name])</f>
        <v>Karan Patel</v>
      </c>
      <c r="E1163">
        <v>204</v>
      </c>
      <c r="F1163">
        <v>1</v>
      </c>
      <c r="G1163">
        <v>4779</v>
      </c>
      <c r="H1163">
        <v>3181</v>
      </c>
      <c r="I1163" t="s">
        <v>13</v>
      </c>
      <c r="J1163" t="s">
        <v>12</v>
      </c>
      <c r="K1163" t="str">
        <f>_xlfn.XLOOKUP(order[[#This Row],[customer_id]],customer[customer_id],customer[city])</f>
        <v>Bangalore</v>
      </c>
      <c r="L1163" t="str">
        <f>_xlfn.XLOOKUP(order[[#This Row],[customer_id]],customer[customer_id],customer[state])</f>
        <v>Karnataka</v>
      </c>
      <c r="M1163" t="str">
        <f>_xlfn.XLOOKUP(order[[#This Row],[product_id]],products!$A$2:$A$11,products!$B$2:$B$11)</f>
        <v>Levi's Slim Fit Jeans</v>
      </c>
      <c r="N1163" s="3" t="str">
        <f>_xlfn.XLOOKUP(order[[#This Row],[product_id]],products!$A$2:$A$11,products!$C$2:$C$11)</f>
        <v>Fashion</v>
      </c>
      <c r="O1163" s="3">
        <f>_xlfn.XLOOKUP(order[[#This Row],[product_id]],Table4[product_id],Table4[cost_price])</f>
        <v>1800</v>
      </c>
      <c r="P1163" s="11">
        <f>_xlfn.XLOOKUP(order[[#This Row],[order_id]],shipment[order_id],shipment[ship_date])</f>
        <v>45297</v>
      </c>
      <c r="Q1163" s="11">
        <f>_xlfn.XLOOKUP(order[[#This Row],[order_id]],shipment[order_id],shipment[delivery_date])</f>
        <v>45299</v>
      </c>
      <c r="R1163" s="3" t="str">
        <f>_xlfn.XLOOKUP(order[[#This Row],[order_id]],shipment[shipment_id],shipment[courier])</f>
        <v>Ekart</v>
      </c>
      <c r="S1163" s="3">
        <f>order[[#This Row],[selling_price]]-order[[#This Row],[cost_price]]*order[[#This Row],[quantity]]-order[[#This Row],[discount]]</f>
        <v>-202</v>
      </c>
      <c r="T1163" s="3">
        <f>order[[#This Row],[quantity]]*order[[#This Row],[selling_price]]</f>
        <v>4779</v>
      </c>
    </row>
    <row r="1164" spans="1:20" x14ac:dyDescent="0.3">
      <c r="A1164">
        <v>1163</v>
      </c>
      <c r="B1164" s="11">
        <v>45394</v>
      </c>
      <c r="C1164">
        <v>242</v>
      </c>
      <c r="D1164" t="str">
        <f>_xlfn.XLOOKUP(order[[#This Row],[customer_id]],customer[customer_id],customer[customer_name])</f>
        <v>Arjun Nair</v>
      </c>
      <c r="E1164">
        <v>206</v>
      </c>
      <c r="F1164">
        <v>3</v>
      </c>
      <c r="G1164">
        <v>37359</v>
      </c>
      <c r="H1164">
        <v>2055</v>
      </c>
      <c r="I1164" t="s">
        <v>11</v>
      </c>
      <c r="J1164" t="s">
        <v>12</v>
      </c>
      <c r="K1164" t="str">
        <f>_xlfn.XLOOKUP(order[[#This Row],[customer_id]],customer[customer_id],customer[city])</f>
        <v>Bangalore</v>
      </c>
      <c r="L1164" t="str">
        <f>_xlfn.XLOOKUP(order[[#This Row],[customer_id]],customer[customer_id],customer[state])</f>
        <v>Karnataka</v>
      </c>
      <c r="M1164" t="str">
        <f>_xlfn.XLOOKUP(order[[#This Row],[product_id]],products!$A$2:$A$11,products!$B$2:$B$11)</f>
        <v>Philips Air Fryer</v>
      </c>
      <c r="N1164" s="3" t="str">
        <f>_xlfn.XLOOKUP(order[[#This Row],[product_id]],products!$A$2:$A$11,products!$C$2:$C$11)</f>
        <v>Home &amp; Kitchen</v>
      </c>
      <c r="O1164" s="3">
        <f>_xlfn.XLOOKUP(order[[#This Row],[product_id]],Table4[product_id],Table4[cost_price])</f>
        <v>7000</v>
      </c>
      <c r="P1164" s="11">
        <f>_xlfn.XLOOKUP(order[[#This Row],[order_id]],shipment[order_id],shipment[ship_date])</f>
        <v>45499</v>
      </c>
      <c r="Q1164" s="11">
        <f>_xlfn.XLOOKUP(order[[#This Row],[order_id]],shipment[order_id],shipment[delivery_date])</f>
        <v>45500</v>
      </c>
      <c r="R1164" s="3" t="str">
        <f>_xlfn.XLOOKUP(order[[#This Row],[order_id]],shipment[shipment_id],shipment[courier])</f>
        <v>DTDC</v>
      </c>
      <c r="S1164" s="3">
        <f>order[[#This Row],[selling_price]]-order[[#This Row],[cost_price]]*order[[#This Row],[quantity]]-order[[#This Row],[discount]]</f>
        <v>14304</v>
      </c>
      <c r="T1164" s="3">
        <f>order[[#This Row],[quantity]]*order[[#This Row],[selling_price]]</f>
        <v>112077</v>
      </c>
    </row>
    <row r="1165" spans="1:20" x14ac:dyDescent="0.3">
      <c r="A1165">
        <v>1018</v>
      </c>
      <c r="B1165" s="11">
        <v>45636</v>
      </c>
      <c r="C1165">
        <v>123</v>
      </c>
      <c r="D1165" t="str">
        <f>_xlfn.XLOOKUP(order[[#This Row],[customer_id]],customer[customer_id],customer[customer_name])</f>
        <v>Ananya Gupta</v>
      </c>
      <c r="E1165">
        <v>204</v>
      </c>
      <c r="F1165">
        <v>4</v>
      </c>
      <c r="G1165">
        <v>4017</v>
      </c>
      <c r="H1165">
        <v>2463</v>
      </c>
      <c r="I1165" t="s">
        <v>11</v>
      </c>
      <c r="J1165" t="s">
        <v>14</v>
      </c>
      <c r="K1165" t="str">
        <f>_xlfn.XLOOKUP(order[[#This Row],[customer_id]],customer[customer_id],customer[city])</f>
        <v>Hyderabad</v>
      </c>
      <c r="L1165" t="str">
        <f>_xlfn.XLOOKUP(order[[#This Row],[customer_id]],customer[customer_id],customer[state])</f>
        <v>Telangana</v>
      </c>
      <c r="M1165" t="str">
        <f>_xlfn.XLOOKUP(order[[#This Row],[product_id]],products!$A$2:$A$11,products!$B$2:$B$11)</f>
        <v>Levi's Slim Fit Jeans</v>
      </c>
      <c r="N1165" s="3" t="str">
        <f>_xlfn.XLOOKUP(order[[#This Row],[product_id]],products!$A$2:$A$11,products!$C$2:$C$11)</f>
        <v>Fashion</v>
      </c>
      <c r="O1165" s="3">
        <f>_xlfn.XLOOKUP(order[[#This Row],[product_id]],Table4[product_id],Table4[cost_price])</f>
        <v>1800</v>
      </c>
      <c r="P1165" s="11">
        <f>_xlfn.XLOOKUP(order[[#This Row],[order_id]],shipment[order_id],shipment[ship_date])</f>
        <v>45591</v>
      </c>
      <c r="Q1165" s="11">
        <f>_xlfn.XLOOKUP(order[[#This Row],[order_id]],shipment[order_id],shipment[delivery_date])</f>
        <v>45598</v>
      </c>
      <c r="R1165" s="3" t="str">
        <f>_xlfn.XLOOKUP(order[[#This Row],[order_id]],shipment[shipment_id],shipment[courier])</f>
        <v>BlueDart</v>
      </c>
      <c r="S1165" s="3">
        <f>order[[#This Row],[selling_price]]-order[[#This Row],[cost_price]]*order[[#This Row],[quantity]]-order[[#This Row],[discount]]</f>
        <v>-5646</v>
      </c>
      <c r="T1165" s="3">
        <f>order[[#This Row],[quantity]]*order[[#This Row],[selling_price]]</f>
        <v>16068</v>
      </c>
    </row>
    <row r="1166" spans="1:20" x14ac:dyDescent="0.3">
      <c r="A1166">
        <v>1165</v>
      </c>
      <c r="B1166" s="11">
        <v>45292</v>
      </c>
      <c r="C1166">
        <v>269</v>
      </c>
      <c r="D1166" t="str">
        <f>_xlfn.XLOOKUP(order[[#This Row],[customer_id]],customer[customer_id],customer[customer_name])</f>
        <v>Sneha Iyer</v>
      </c>
      <c r="E1166">
        <v>209</v>
      </c>
      <c r="F1166">
        <v>1</v>
      </c>
      <c r="G1166">
        <v>40294</v>
      </c>
      <c r="H1166">
        <v>2534</v>
      </c>
      <c r="I1166" t="s">
        <v>15</v>
      </c>
      <c r="J1166" t="s">
        <v>14</v>
      </c>
      <c r="K1166" t="str">
        <f>_xlfn.XLOOKUP(order[[#This Row],[customer_id]],customer[customer_id],customer[city])</f>
        <v>Pune</v>
      </c>
      <c r="L1166" t="str">
        <f>_xlfn.XLOOKUP(order[[#This Row],[customer_id]],customer[customer_id],customer[state])</f>
        <v>Maharashtra</v>
      </c>
      <c r="M1166" t="str">
        <f>_xlfn.XLOOKUP(order[[#This Row],[product_id]],products!$A$2:$A$11,products!$B$2:$B$11)</f>
        <v>Milton Thermosteel Bottle</v>
      </c>
      <c r="N1166" s="3" t="str">
        <f>_xlfn.XLOOKUP(order[[#This Row],[product_id]],products!$A$2:$A$11,products!$C$2:$C$11)</f>
        <v>Home &amp; Kitchen</v>
      </c>
      <c r="O1166" s="3">
        <f>_xlfn.XLOOKUP(order[[#This Row],[product_id]],Table4[product_id],Table4[cost_price])</f>
        <v>800</v>
      </c>
      <c r="P1166" s="11">
        <f>_xlfn.XLOOKUP(order[[#This Row],[order_id]],shipment[order_id],shipment[ship_date])</f>
        <v>45410</v>
      </c>
      <c r="Q1166" s="11">
        <f>_xlfn.XLOOKUP(order[[#This Row],[order_id]],shipment[order_id],shipment[delivery_date])</f>
        <v>45415</v>
      </c>
      <c r="R1166" s="3" t="str">
        <f>_xlfn.XLOOKUP(order[[#This Row],[order_id]],shipment[shipment_id],shipment[courier])</f>
        <v>Delhivery</v>
      </c>
      <c r="S1166" s="3">
        <f>order[[#This Row],[selling_price]]-order[[#This Row],[cost_price]]*order[[#This Row],[quantity]]-order[[#This Row],[discount]]</f>
        <v>36960</v>
      </c>
      <c r="T1166" s="3">
        <f>order[[#This Row],[quantity]]*order[[#This Row],[selling_price]]</f>
        <v>40294</v>
      </c>
    </row>
    <row r="1167" spans="1:20" x14ac:dyDescent="0.3">
      <c r="A1167">
        <v>102</v>
      </c>
      <c r="B1167" s="11">
        <v>45450</v>
      </c>
      <c r="C1167">
        <v>226</v>
      </c>
      <c r="D1167" t="str">
        <f>_xlfn.XLOOKUP(order[[#This Row],[customer_id]],customer[customer_id],customer[customer_name])</f>
        <v>Rahul Mehta</v>
      </c>
      <c r="E1167">
        <v>204</v>
      </c>
      <c r="F1167">
        <v>4</v>
      </c>
      <c r="G1167">
        <v>6703</v>
      </c>
      <c r="H1167">
        <v>2307</v>
      </c>
      <c r="I1167" t="s">
        <v>11</v>
      </c>
      <c r="J1167" t="s">
        <v>14</v>
      </c>
      <c r="K1167" t="str">
        <f>_xlfn.XLOOKUP(order[[#This Row],[customer_id]],customer[customer_id],customer[city])</f>
        <v>Bangalore</v>
      </c>
      <c r="L1167" t="str">
        <f>_xlfn.XLOOKUP(order[[#This Row],[customer_id]],customer[customer_id],customer[state])</f>
        <v>Karnataka</v>
      </c>
      <c r="M1167" t="str">
        <f>_xlfn.XLOOKUP(order[[#This Row],[product_id]],products!$A$2:$A$11,products!$B$2:$B$11)</f>
        <v>Levi's Slim Fit Jeans</v>
      </c>
      <c r="N1167" s="3" t="str">
        <f>_xlfn.XLOOKUP(order[[#This Row],[product_id]],products!$A$2:$A$11,products!$C$2:$C$11)</f>
        <v>Fashion</v>
      </c>
      <c r="O1167" s="3">
        <f>_xlfn.XLOOKUP(order[[#This Row],[product_id]],Table4[product_id],Table4[cost_price])</f>
        <v>1800</v>
      </c>
      <c r="P1167" s="11">
        <f>_xlfn.XLOOKUP(order[[#This Row],[order_id]],shipment[order_id],shipment[ship_date])</f>
        <v>45349</v>
      </c>
      <c r="Q1167" s="11">
        <f>_xlfn.XLOOKUP(order[[#This Row],[order_id]],shipment[order_id],shipment[delivery_date])</f>
        <v>45353</v>
      </c>
      <c r="R1167" s="3" t="str">
        <f>_xlfn.XLOOKUP(order[[#This Row],[order_id]],shipment[shipment_id],shipment[courier])</f>
        <v>DTDC</v>
      </c>
      <c r="S1167" s="3">
        <f>order[[#This Row],[selling_price]]-order[[#This Row],[cost_price]]*order[[#This Row],[quantity]]-order[[#This Row],[discount]]</f>
        <v>-2804</v>
      </c>
      <c r="T1167" s="3">
        <f>order[[#This Row],[quantity]]*order[[#This Row],[selling_price]]</f>
        <v>26812</v>
      </c>
    </row>
    <row r="1168" spans="1:20" x14ac:dyDescent="0.3">
      <c r="A1168">
        <v>643</v>
      </c>
      <c r="B1168" s="11">
        <v>45502</v>
      </c>
      <c r="C1168">
        <v>280</v>
      </c>
      <c r="D1168" t="str">
        <f>_xlfn.XLOOKUP(order[[#This Row],[customer_id]],customer[customer_id],customer[customer_name])</f>
        <v>Aarav Sharma</v>
      </c>
      <c r="E1168">
        <v>204</v>
      </c>
      <c r="F1168">
        <v>1</v>
      </c>
      <c r="G1168">
        <v>2505</v>
      </c>
      <c r="H1168">
        <v>1288</v>
      </c>
      <c r="I1168" t="s">
        <v>13</v>
      </c>
      <c r="J1168" t="s">
        <v>10</v>
      </c>
      <c r="K1168" t="str">
        <f>_xlfn.XLOOKUP(order[[#This Row],[customer_id]],customer[customer_id],customer[city])</f>
        <v>Hyderabad</v>
      </c>
      <c r="L1168" t="str">
        <f>_xlfn.XLOOKUP(order[[#This Row],[customer_id]],customer[customer_id],customer[state])</f>
        <v>Telangana</v>
      </c>
      <c r="M1168" t="str">
        <f>_xlfn.XLOOKUP(order[[#This Row],[product_id]],products!$A$2:$A$11,products!$B$2:$B$11)</f>
        <v>Levi's Slim Fit Jeans</v>
      </c>
      <c r="N1168" s="3" t="str">
        <f>_xlfn.XLOOKUP(order[[#This Row],[product_id]],products!$A$2:$A$11,products!$C$2:$C$11)</f>
        <v>Fashion</v>
      </c>
      <c r="O1168" s="3">
        <f>_xlfn.XLOOKUP(order[[#This Row],[product_id]],Table4[product_id],Table4[cost_price])</f>
        <v>1800</v>
      </c>
      <c r="P1168" s="11">
        <f>_xlfn.XLOOKUP(order[[#This Row],[order_id]],shipment[order_id],shipment[ship_date])</f>
        <v>45556</v>
      </c>
      <c r="Q1168" s="11">
        <f>_xlfn.XLOOKUP(order[[#This Row],[order_id]],shipment[order_id],shipment[delivery_date])</f>
        <v>45566</v>
      </c>
      <c r="R1168" s="3" t="str">
        <f>_xlfn.XLOOKUP(order[[#This Row],[order_id]],shipment[shipment_id],shipment[courier])</f>
        <v>Delhivery</v>
      </c>
      <c r="S1168" s="3">
        <f>order[[#This Row],[selling_price]]-order[[#This Row],[cost_price]]*order[[#This Row],[quantity]]-order[[#This Row],[discount]]</f>
        <v>-583</v>
      </c>
      <c r="T1168" s="3">
        <f>order[[#This Row],[quantity]]*order[[#This Row],[selling_price]]</f>
        <v>2505</v>
      </c>
    </row>
    <row r="1169" spans="1:20" x14ac:dyDescent="0.3">
      <c r="A1169">
        <v>1168</v>
      </c>
      <c r="B1169" s="11">
        <v>45417</v>
      </c>
      <c r="C1169">
        <v>222</v>
      </c>
      <c r="D1169" t="str">
        <f>_xlfn.XLOOKUP(order[[#This Row],[customer_id]],customer[customer_id],customer[customer_name])</f>
        <v>Ananya Gupta</v>
      </c>
      <c r="E1169">
        <v>208</v>
      </c>
      <c r="F1169">
        <v>1</v>
      </c>
      <c r="G1169">
        <v>11937</v>
      </c>
      <c r="H1169">
        <v>2294</v>
      </c>
      <c r="I1169" t="s">
        <v>15</v>
      </c>
      <c r="J1169" t="s">
        <v>12</v>
      </c>
      <c r="K1169" t="str">
        <f>_xlfn.XLOOKUP(order[[#This Row],[customer_id]],customer[customer_id],customer[city])</f>
        <v>Chennai</v>
      </c>
      <c r="L1169" t="str">
        <f>_xlfn.XLOOKUP(order[[#This Row],[customer_id]],customer[customer_id],customer[state])</f>
        <v>Tamil Nadu</v>
      </c>
      <c r="M1169" t="str">
        <f>_xlfn.XLOOKUP(order[[#This Row],[product_id]],products!$A$2:$A$11,products!$B$2:$B$11)</f>
        <v>Adidas Ultraboost Shoes</v>
      </c>
      <c r="N1169" s="3" t="str">
        <f>_xlfn.XLOOKUP(order[[#This Row],[product_id]],products!$A$2:$A$11,products!$C$2:$C$11)</f>
        <v>Fashion</v>
      </c>
      <c r="O1169" s="3">
        <f>_xlfn.XLOOKUP(order[[#This Row],[product_id]],Table4[product_id],Table4[cost_price])</f>
        <v>9000</v>
      </c>
      <c r="P1169" s="11">
        <f>_xlfn.XLOOKUP(order[[#This Row],[order_id]],shipment[order_id],shipment[ship_date])</f>
        <v>45633</v>
      </c>
      <c r="Q1169" s="11">
        <f>_xlfn.XLOOKUP(order[[#This Row],[order_id]],shipment[order_id],shipment[delivery_date])</f>
        <v>45640</v>
      </c>
      <c r="R1169" s="3" t="str">
        <f>_xlfn.XLOOKUP(order[[#This Row],[order_id]],shipment[shipment_id],shipment[courier])</f>
        <v>DTDC</v>
      </c>
      <c r="S1169" s="3">
        <f>order[[#This Row],[selling_price]]-order[[#This Row],[cost_price]]*order[[#This Row],[quantity]]-order[[#This Row],[discount]]</f>
        <v>643</v>
      </c>
      <c r="T1169" s="3">
        <f>order[[#This Row],[quantity]]*order[[#This Row],[selling_price]]</f>
        <v>11937</v>
      </c>
    </row>
    <row r="1170" spans="1:20" x14ac:dyDescent="0.3">
      <c r="A1170">
        <v>1169</v>
      </c>
      <c r="B1170" s="11">
        <v>45586</v>
      </c>
      <c r="C1170">
        <v>125</v>
      </c>
      <c r="D1170" t="str">
        <f>_xlfn.XLOOKUP(order[[#This Row],[customer_id]],customer[customer_id],customer[customer_name])</f>
        <v>Vikram Singh</v>
      </c>
      <c r="E1170">
        <v>206</v>
      </c>
      <c r="F1170">
        <v>2</v>
      </c>
      <c r="G1170">
        <v>20081</v>
      </c>
      <c r="H1170">
        <v>55</v>
      </c>
      <c r="I1170" t="s">
        <v>11</v>
      </c>
      <c r="J1170" t="s">
        <v>12</v>
      </c>
      <c r="K1170" t="str">
        <f>_xlfn.XLOOKUP(order[[#This Row],[customer_id]],customer[customer_id],customer[city])</f>
        <v>Chennai</v>
      </c>
      <c r="L1170" t="str">
        <f>_xlfn.XLOOKUP(order[[#This Row],[customer_id]],customer[customer_id],customer[state])</f>
        <v>Tamil Nadu</v>
      </c>
      <c r="M1170" t="str">
        <f>_xlfn.XLOOKUP(order[[#This Row],[product_id]],products!$A$2:$A$11,products!$B$2:$B$11)</f>
        <v>Philips Air Fryer</v>
      </c>
      <c r="N1170" s="3" t="str">
        <f>_xlfn.XLOOKUP(order[[#This Row],[product_id]],products!$A$2:$A$11,products!$C$2:$C$11)</f>
        <v>Home &amp; Kitchen</v>
      </c>
      <c r="O1170" s="3">
        <f>_xlfn.XLOOKUP(order[[#This Row],[product_id]],Table4[product_id],Table4[cost_price])</f>
        <v>7000</v>
      </c>
      <c r="P1170" s="11">
        <f>_xlfn.XLOOKUP(order[[#This Row],[order_id]],shipment[order_id],shipment[ship_date])</f>
        <v>45657</v>
      </c>
      <c r="Q1170" s="11">
        <f>_xlfn.XLOOKUP(order[[#This Row],[order_id]],shipment[order_id],shipment[delivery_date])</f>
        <v>45665</v>
      </c>
      <c r="R1170" s="3" t="str">
        <f>_xlfn.XLOOKUP(order[[#This Row],[order_id]],shipment[shipment_id],shipment[courier])</f>
        <v>DTDC</v>
      </c>
      <c r="S1170" s="3">
        <f>order[[#This Row],[selling_price]]-order[[#This Row],[cost_price]]*order[[#This Row],[quantity]]-order[[#This Row],[discount]]</f>
        <v>6026</v>
      </c>
      <c r="T1170" s="3">
        <f>order[[#This Row],[quantity]]*order[[#This Row],[selling_price]]</f>
        <v>40162</v>
      </c>
    </row>
    <row r="1171" spans="1:20" x14ac:dyDescent="0.3">
      <c r="A1171">
        <v>1170</v>
      </c>
      <c r="B1171" s="11">
        <v>45367</v>
      </c>
      <c r="C1171">
        <v>204</v>
      </c>
      <c r="D1171" t="str">
        <f>_xlfn.XLOOKUP(order[[#This Row],[customer_id]],customer[customer_id],customer[customer_name])</f>
        <v>Meera Joshi</v>
      </c>
      <c r="E1171">
        <v>205</v>
      </c>
      <c r="F1171">
        <v>4</v>
      </c>
      <c r="G1171">
        <v>55761</v>
      </c>
      <c r="H1171">
        <v>2797</v>
      </c>
      <c r="I1171" t="s">
        <v>15</v>
      </c>
      <c r="J1171" t="s">
        <v>10</v>
      </c>
      <c r="K1171" t="str">
        <f>_xlfn.XLOOKUP(order[[#This Row],[customer_id]],customer[customer_id],customer[city])</f>
        <v>Mumbai</v>
      </c>
      <c r="L1171" t="str">
        <f>_xlfn.XLOOKUP(order[[#This Row],[customer_id]],customer[customer_id],customer[state])</f>
        <v>Maharashtra</v>
      </c>
      <c r="M1171" t="str">
        <f>_xlfn.XLOOKUP(order[[#This Row],[product_id]],products!$A$2:$A$11,products!$B$2:$B$11)</f>
        <v>Prestige Pressure Cooker 5L</v>
      </c>
      <c r="N1171" s="3" t="str">
        <f>_xlfn.XLOOKUP(order[[#This Row],[product_id]],products!$A$2:$A$11,products!$C$2:$C$11)</f>
        <v>Home &amp; Kitchen</v>
      </c>
      <c r="O1171" s="3">
        <f>_xlfn.XLOOKUP(order[[#This Row],[product_id]],Table4[product_id],Table4[cost_price])</f>
        <v>1200</v>
      </c>
      <c r="P1171" s="11">
        <f>_xlfn.XLOOKUP(order[[#This Row],[order_id]],shipment[order_id],shipment[ship_date])</f>
        <v>45598</v>
      </c>
      <c r="Q1171" s="11">
        <f>_xlfn.XLOOKUP(order[[#This Row],[order_id]],shipment[order_id],shipment[delivery_date])</f>
        <v>45605</v>
      </c>
      <c r="R1171" s="3" t="str">
        <f>_xlfn.XLOOKUP(order[[#This Row],[order_id]],shipment[shipment_id],shipment[courier])</f>
        <v>Delhivery</v>
      </c>
      <c r="S1171" s="3">
        <f>order[[#This Row],[selling_price]]-order[[#This Row],[cost_price]]*order[[#This Row],[quantity]]-order[[#This Row],[discount]]</f>
        <v>48164</v>
      </c>
      <c r="T1171" s="3">
        <f>order[[#This Row],[quantity]]*order[[#This Row],[selling_price]]</f>
        <v>223044</v>
      </c>
    </row>
    <row r="1172" spans="1:20" x14ac:dyDescent="0.3">
      <c r="A1172">
        <v>1137</v>
      </c>
      <c r="B1172" s="11">
        <v>45301</v>
      </c>
      <c r="C1172">
        <v>162</v>
      </c>
      <c r="D1172" t="str">
        <f>_xlfn.XLOOKUP(order[[#This Row],[customer_id]],customer[customer_id],customer[customer_name])</f>
        <v>Ananya Gupta</v>
      </c>
      <c r="E1172">
        <v>204</v>
      </c>
      <c r="F1172">
        <v>4</v>
      </c>
      <c r="G1172">
        <v>3900</v>
      </c>
      <c r="H1172">
        <v>845</v>
      </c>
      <c r="I1172" t="s">
        <v>11</v>
      </c>
      <c r="J1172" t="s">
        <v>14</v>
      </c>
      <c r="K1172" t="str">
        <f>_xlfn.XLOOKUP(order[[#This Row],[customer_id]],customer[customer_id],customer[city])</f>
        <v>Ahmedabad</v>
      </c>
      <c r="L1172" t="str">
        <f>_xlfn.XLOOKUP(order[[#This Row],[customer_id]],customer[customer_id],customer[state])</f>
        <v>Gujarat</v>
      </c>
      <c r="M1172" t="str">
        <f>_xlfn.XLOOKUP(order[[#This Row],[product_id]],products!$A$2:$A$11,products!$B$2:$B$11)</f>
        <v>Levi's Slim Fit Jeans</v>
      </c>
      <c r="N1172" s="3" t="str">
        <f>_xlfn.XLOOKUP(order[[#This Row],[product_id]],products!$A$2:$A$11,products!$C$2:$C$11)</f>
        <v>Fashion</v>
      </c>
      <c r="O1172" s="3">
        <f>_xlfn.XLOOKUP(order[[#This Row],[product_id]],Table4[product_id],Table4[cost_price])</f>
        <v>1800</v>
      </c>
      <c r="P1172" s="11">
        <f>_xlfn.XLOOKUP(order[[#This Row],[order_id]],shipment[order_id],shipment[ship_date])</f>
        <v>45311</v>
      </c>
      <c r="Q1172" s="11">
        <f>_xlfn.XLOOKUP(order[[#This Row],[order_id]],shipment[order_id],shipment[delivery_date])</f>
        <v>45312</v>
      </c>
      <c r="R1172" s="3" t="str">
        <f>_xlfn.XLOOKUP(order[[#This Row],[order_id]],shipment[shipment_id],shipment[courier])</f>
        <v>DTDC</v>
      </c>
      <c r="S1172" s="3">
        <f>order[[#This Row],[selling_price]]-order[[#This Row],[cost_price]]*order[[#This Row],[quantity]]-order[[#This Row],[discount]]</f>
        <v>-4145</v>
      </c>
      <c r="T1172" s="3">
        <f>order[[#This Row],[quantity]]*order[[#This Row],[selling_price]]</f>
        <v>15600</v>
      </c>
    </row>
    <row r="1173" spans="1:20" x14ac:dyDescent="0.3">
      <c r="A1173">
        <v>1172</v>
      </c>
      <c r="B1173" s="11">
        <v>45292</v>
      </c>
      <c r="C1173">
        <v>268</v>
      </c>
      <c r="D1173" t="str">
        <f>_xlfn.XLOOKUP(order[[#This Row],[customer_id]],customer[customer_id],customer[customer_name])</f>
        <v>Rahul Mehta</v>
      </c>
      <c r="E1173">
        <v>206</v>
      </c>
      <c r="F1173">
        <v>4</v>
      </c>
      <c r="G1173">
        <v>31690</v>
      </c>
      <c r="H1173">
        <v>3444</v>
      </c>
      <c r="I1173" t="s">
        <v>11</v>
      </c>
      <c r="J1173" t="s">
        <v>14</v>
      </c>
      <c r="K1173" t="str">
        <f>_xlfn.XLOOKUP(order[[#This Row],[customer_id]],customer[customer_id],customer[city])</f>
        <v>Mumbai</v>
      </c>
      <c r="L1173" t="str">
        <f>_xlfn.XLOOKUP(order[[#This Row],[customer_id]],customer[customer_id],customer[state])</f>
        <v>Maharashtra</v>
      </c>
      <c r="M1173" t="str">
        <f>_xlfn.XLOOKUP(order[[#This Row],[product_id]],products!$A$2:$A$11,products!$B$2:$B$11)</f>
        <v>Philips Air Fryer</v>
      </c>
      <c r="N1173" s="3" t="str">
        <f>_xlfn.XLOOKUP(order[[#This Row],[product_id]],products!$A$2:$A$11,products!$C$2:$C$11)</f>
        <v>Home &amp; Kitchen</v>
      </c>
      <c r="O1173" s="3">
        <f>_xlfn.XLOOKUP(order[[#This Row],[product_id]],Table4[product_id],Table4[cost_price])</f>
        <v>7000</v>
      </c>
      <c r="P1173" s="11">
        <f>_xlfn.XLOOKUP(order[[#This Row],[order_id]],shipment[order_id],shipment[ship_date])</f>
        <v>45302</v>
      </c>
      <c r="Q1173" s="11">
        <f>_xlfn.XLOOKUP(order[[#This Row],[order_id]],shipment[order_id],shipment[delivery_date])</f>
        <v>45304</v>
      </c>
      <c r="R1173" s="3" t="str">
        <f>_xlfn.XLOOKUP(order[[#This Row],[order_id]],shipment[shipment_id],shipment[courier])</f>
        <v>DTDC</v>
      </c>
      <c r="S1173" s="3">
        <f>order[[#This Row],[selling_price]]-order[[#This Row],[cost_price]]*order[[#This Row],[quantity]]-order[[#This Row],[discount]]</f>
        <v>246</v>
      </c>
      <c r="T1173" s="3">
        <f>order[[#This Row],[quantity]]*order[[#This Row],[selling_price]]</f>
        <v>126760</v>
      </c>
    </row>
    <row r="1174" spans="1:20" x14ac:dyDescent="0.3">
      <c r="A1174">
        <v>1173</v>
      </c>
      <c r="B1174" s="11">
        <v>45541</v>
      </c>
      <c r="C1174">
        <v>184</v>
      </c>
      <c r="D1174" t="str">
        <f>_xlfn.XLOOKUP(order[[#This Row],[customer_id]],customer[customer_id],customer[customer_name])</f>
        <v>Arjun Nair</v>
      </c>
      <c r="E1174">
        <v>208</v>
      </c>
      <c r="F1174">
        <v>1</v>
      </c>
      <c r="G1174">
        <v>43770</v>
      </c>
      <c r="H1174">
        <v>1125</v>
      </c>
      <c r="I1174" t="s">
        <v>13</v>
      </c>
      <c r="J1174" t="s">
        <v>14</v>
      </c>
      <c r="K1174" t="str">
        <f>_xlfn.XLOOKUP(order[[#This Row],[customer_id]],customer[customer_id],customer[city])</f>
        <v>Delhi</v>
      </c>
      <c r="L1174" t="str">
        <f>_xlfn.XLOOKUP(order[[#This Row],[customer_id]],customer[customer_id],customer[state])</f>
        <v>Delhi</v>
      </c>
      <c r="M1174" t="str">
        <f>_xlfn.XLOOKUP(order[[#This Row],[product_id]],products!$A$2:$A$11,products!$B$2:$B$11)</f>
        <v>Adidas Ultraboost Shoes</v>
      </c>
      <c r="N1174" s="3" t="str">
        <f>_xlfn.XLOOKUP(order[[#This Row],[product_id]],products!$A$2:$A$11,products!$C$2:$C$11)</f>
        <v>Fashion</v>
      </c>
      <c r="O1174" s="3">
        <f>_xlfn.XLOOKUP(order[[#This Row],[product_id]],Table4[product_id],Table4[cost_price])</f>
        <v>9000</v>
      </c>
      <c r="P1174" s="11">
        <f>_xlfn.XLOOKUP(order[[#This Row],[order_id]],shipment[order_id],shipment[ship_date])</f>
        <v>45529</v>
      </c>
      <c r="Q1174" s="11">
        <f>_xlfn.XLOOKUP(order[[#This Row],[order_id]],shipment[order_id],shipment[delivery_date])</f>
        <v>45537</v>
      </c>
      <c r="R1174" s="3" t="str">
        <f>_xlfn.XLOOKUP(order[[#This Row],[order_id]],shipment[shipment_id],shipment[courier])</f>
        <v>BlueDart</v>
      </c>
      <c r="S1174" s="3">
        <f>order[[#This Row],[selling_price]]-order[[#This Row],[cost_price]]*order[[#This Row],[quantity]]-order[[#This Row],[discount]]</f>
        <v>33645</v>
      </c>
      <c r="T1174" s="3">
        <f>order[[#This Row],[quantity]]*order[[#This Row],[selling_price]]</f>
        <v>43770</v>
      </c>
    </row>
    <row r="1175" spans="1:20" x14ac:dyDescent="0.3">
      <c r="A1175">
        <v>1174</v>
      </c>
      <c r="B1175" s="11">
        <v>45344</v>
      </c>
      <c r="C1175">
        <v>157</v>
      </c>
      <c r="D1175" t="str">
        <f>_xlfn.XLOOKUP(order[[#This Row],[customer_id]],customer[customer_id],customer[customer_name])</f>
        <v>Rohit Verma</v>
      </c>
      <c r="E1175">
        <v>209</v>
      </c>
      <c r="F1175">
        <v>1</v>
      </c>
      <c r="G1175">
        <v>29197</v>
      </c>
      <c r="H1175">
        <v>2550</v>
      </c>
      <c r="I1175" t="s">
        <v>15</v>
      </c>
      <c r="J1175" t="s">
        <v>12</v>
      </c>
      <c r="K1175" t="str">
        <f>_xlfn.XLOOKUP(order[[#This Row],[customer_id]],customer[customer_id],customer[city])</f>
        <v>Pune</v>
      </c>
      <c r="L1175" t="str">
        <f>_xlfn.XLOOKUP(order[[#This Row],[customer_id]],customer[customer_id],customer[state])</f>
        <v>Maharashtra</v>
      </c>
      <c r="M1175" t="str">
        <f>_xlfn.XLOOKUP(order[[#This Row],[product_id]],products!$A$2:$A$11,products!$B$2:$B$11)</f>
        <v>Milton Thermosteel Bottle</v>
      </c>
      <c r="N1175" s="3" t="str">
        <f>_xlfn.XLOOKUP(order[[#This Row],[product_id]],products!$A$2:$A$11,products!$C$2:$C$11)</f>
        <v>Home &amp; Kitchen</v>
      </c>
      <c r="O1175" s="3">
        <f>_xlfn.XLOOKUP(order[[#This Row],[product_id]],Table4[product_id],Table4[cost_price])</f>
        <v>800</v>
      </c>
      <c r="P1175" s="11">
        <f>_xlfn.XLOOKUP(order[[#This Row],[order_id]],shipment[order_id],shipment[ship_date])</f>
        <v>45654</v>
      </c>
      <c r="Q1175" s="11">
        <f>_xlfn.XLOOKUP(order[[#This Row],[order_id]],shipment[order_id],shipment[delivery_date])</f>
        <v>45658</v>
      </c>
      <c r="R1175" s="3" t="str">
        <f>_xlfn.XLOOKUP(order[[#This Row],[order_id]],shipment[shipment_id],shipment[courier])</f>
        <v>BlueDart</v>
      </c>
      <c r="S1175" s="3">
        <f>order[[#This Row],[selling_price]]-order[[#This Row],[cost_price]]*order[[#This Row],[quantity]]-order[[#This Row],[discount]]</f>
        <v>25847</v>
      </c>
      <c r="T1175" s="3">
        <f>order[[#This Row],[quantity]]*order[[#This Row],[selling_price]]</f>
        <v>29197</v>
      </c>
    </row>
    <row r="1176" spans="1:20" x14ac:dyDescent="0.3">
      <c r="A1176">
        <v>1175</v>
      </c>
      <c r="B1176" s="11">
        <v>45377</v>
      </c>
      <c r="C1176">
        <v>235</v>
      </c>
      <c r="D1176" t="str">
        <f>_xlfn.XLOOKUP(order[[#This Row],[customer_id]],customer[customer_id],customer[customer_name])</f>
        <v>Neha Kapoor</v>
      </c>
      <c r="E1176">
        <v>204</v>
      </c>
      <c r="F1176">
        <v>4</v>
      </c>
      <c r="G1176">
        <v>50844</v>
      </c>
      <c r="H1176">
        <v>2532</v>
      </c>
      <c r="I1176" t="s">
        <v>11</v>
      </c>
      <c r="J1176" t="s">
        <v>10</v>
      </c>
      <c r="K1176" t="str">
        <f>_xlfn.XLOOKUP(order[[#This Row],[customer_id]],customer[customer_id],customer[city])</f>
        <v>Pune</v>
      </c>
      <c r="L1176" t="str">
        <f>_xlfn.XLOOKUP(order[[#This Row],[customer_id]],customer[customer_id],customer[state])</f>
        <v>Maharashtra</v>
      </c>
      <c r="M1176" t="str">
        <f>_xlfn.XLOOKUP(order[[#This Row],[product_id]],products!$A$2:$A$11,products!$B$2:$B$11)</f>
        <v>Levi's Slim Fit Jeans</v>
      </c>
      <c r="N1176" s="3" t="str">
        <f>_xlfn.XLOOKUP(order[[#This Row],[product_id]],products!$A$2:$A$11,products!$C$2:$C$11)</f>
        <v>Fashion</v>
      </c>
      <c r="O1176" s="3">
        <f>_xlfn.XLOOKUP(order[[#This Row],[product_id]],Table4[product_id],Table4[cost_price])</f>
        <v>1800</v>
      </c>
      <c r="P1176" s="11">
        <f>_xlfn.XLOOKUP(order[[#This Row],[order_id]],shipment[order_id],shipment[ship_date])</f>
        <v>45602</v>
      </c>
      <c r="Q1176" s="11">
        <f>_xlfn.XLOOKUP(order[[#This Row],[order_id]],shipment[order_id],shipment[delivery_date])</f>
        <v>45605</v>
      </c>
      <c r="R1176" s="3" t="str">
        <f>_xlfn.XLOOKUP(order[[#This Row],[order_id]],shipment[shipment_id],shipment[courier])</f>
        <v>Delhivery</v>
      </c>
      <c r="S1176" s="3">
        <f>order[[#This Row],[selling_price]]-order[[#This Row],[cost_price]]*order[[#This Row],[quantity]]-order[[#This Row],[discount]]</f>
        <v>41112</v>
      </c>
      <c r="T1176" s="3">
        <f>order[[#This Row],[quantity]]*order[[#This Row],[selling_price]]</f>
        <v>203376</v>
      </c>
    </row>
    <row r="1177" spans="1:20" x14ac:dyDescent="0.3">
      <c r="A1177">
        <v>993</v>
      </c>
      <c r="B1177" s="11">
        <v>45376</v>
      </c>
      <c r="C1177">
        <v>201</v>
      </c>
      <c r="D1177" t="str">
        <f>_xlfn.XLOOKUP(order[[#This Row],[customer_id]],customer[customer_id],customer[customer_name])</f>
        <v>Ishita Bose</v>
      </c>
      <c r="E1177">
        <v>204</v>
      </c>
      <c r="F1177">
        <v>3</v>
      </c>
      <c r="G1177">
        <v>4930</v>
      </c>
      <c r="H1177">
        <v>749</v>
      </c>
      <c r="I1177" t="s">
        <v>11</v>
      </c>
      <c r="J1177" t="s">
        <v>12</v>
      </c>
      <c r="K1177" t="str">
        <f>_xlfn.XLOOKUP(order[[#This Row],[customer_id]],customer[customer_id],customer[city])</f>
        <v>Hyderabad</v>
      </c>
      <c r="L1177" t="str">
        <f>_xlfn.XLOOKUP(order[[#This Row],[customer_id]],customer[customer_id],customer[state])</f>
        <v>Telangana</v>
      </c>
      <c r="M1177" t="str">
        <f>_xlfn.XLOOKUP(order[[#This Row],[product_id]],products!$A$2:$A$11,products!$B$2:$B$11)</f>
        <v>Levi's Slim Fit Jeans</v>
      </c>
      <c r="N1177" s="3" t="str">
        <f>_xlfn.XLOOKUP(order[[#This Row],[product_id]],products!$A$2:$A$11,products!$C$2:$C$11)</f>
        <v>Fashion</v>
      </c>
      <c r="O1177" s="3">
        <f>_xlfn.XLOOKUP(order[[#This Row],[product_id]],Table4[product_id],Table4[cost_price])</f>
        <v>1800</v>
      </c>
      <c r="P1177" s="11">
        <f>_xlfn.XLOOKUP(order[[#This Row],[order_id]],shipment[order_id],shipment[ship_date])</f>
        <v>45563</v>
      </c>
      <c r="Q1177" s="11">
        <f>_xlfn.XLOOKUP(order[[#This Row],[order_id]],shipment[order_id],shipment[delivery_date])</f>
        <v>45571</v>
      </c>
      <c r="R1177" s="3" t="str">
        <f>_xlfn.XLOOKUP(order[[#This Row],[order_id]],shipment[shipment_id],shipment[courier])</f>
        <v>Ekart</v>
      </c>
      <c r="S1177" s="3">
        <f>order[[#This Row],[selling_price]]-order[[#This Row],[cost_price]]*order[[#This Row],[quantity]]-order[[#This Row],[discount]]</f>
        <v>-1219</v>
      </c>
      <c r="T1177" s="3">
        <f>order[[#This Row],[quantity]]*order[[#This Row],[selling_price]]</f>
        <v>14790</v>
      </c>
    </row>
    <row r="1178" spans="1:20" x14ac:dyDescent="0.3">
      <c r="A1178">
        <v>1033</v>
      </c>
      <c r="B1178" s="11">
        <v>45505</v>
      </c>
      <c r="C1178">
        <v>292</v>
      </c>
      <c r="D1178" t="str">
        <f>_xlfn.XLOOKUP(order[[#This Row],[customer_id]],customer[customer_id],customer[customer_name])</f>
        <v>Vikram Singh</v>
      </c>
      <c r="E1178">
        <v>205</v>
      </c>
      <c r="F1178">
        <v>2</v>
      </c>
      <c r="G1178">
        <v>1864</v>
      </c>
      <c r="H1178">
        <v>4721</v>
      </c>
      <c r="I1178" t="s">
        <v>13</v>
      </c>
      <c r="J1178" t="s">
        <v>10</v>
      </c>
      <c r="K1178" t="str">
        <f>_xlfn.XLOOKUP(order[[#This Row],[customer_id]],customer[customer_id],customer[city])</f>
        <v>Ahmedabad</v>
      </c>
      <c r="L1178" t="str">
        <f>_xlfn.XLOOKUP(order[[#This Row],[customer_id]],customer[customer_id],customer[state])</f>
        <v>Gujarat</v>
      </c>
      <c r="M1178" t="str">
        <f>_xlfn.XLOOKUP(order[[#This Row],[product_id]],products!$A$2:$A$11,products!$B$2:$B$11)</f>
        <v>Prestige Pressure Cooker 5L</v>
      </c>
      <c r="N1178" s="3" t="str">
        <f>_xlfn.XLOOKUP(order[[#This Row],[product_id]],products!$A$2:$A$11,products!$C$2:$C$11)</f>
        <v>Home &amp; Kitchen</v>
      </c>
      <c r="O1178" s="3">
        <f>_xlfn.XLOOKUP(order[[#This Row],[product_id]],Table4[product_id],Table4[cost_price])</f>
        <v>1200</v>
      </c>
      <c r="P1178" s="11">
        <f>_xlfn.XLOOKUP(order[[#This Row],[order_id]],shipment[order_id],shipment[ship_date])</f>
        <v>45424</v>
      </c>
      <c r="Q1178" s="11">
        <f>_xlfn.XLOOKUP(order[[#This Row],[order_id]],shipment[order_id],shipment[delivery_date])</f>
        <v>45425</v>
      </c>
      <c r="R1178" s="3" t="str">
        <f>_xlfn.XLOOKUP(order[[#This Row],[order_id]],shipment[shipment_id],shipment[courier])</f>
        <v>Ekart</v>
      </c>
      <c r="S1178" s="3">
        <f>order[[#This Row],[selling_price]]-order[[#This Row],[cost_price]]*order[[#This Row],[quantity]]-order[[#This Row],[discount]]</f>
        <v>-5257</v>
      </c>
      <c r="T1178" s="3">
        <f>order[[#This Row],[quantity]]*order[[#This Row],[selling_price]]</f>
        <v>3728</v>
      </c>
    </row>
    <row r="1179" spans="1:20" x14ac:dyDescent="0.3">
      <c r="A1179">
        <v>1178</v>
      </c>
      <c r="B1179" s="11">
        <v>45552</v>
      </c>
      <c r="C1179">
        <v>206</v>
      </c>
      <c r="D1179" t="str">
        <f>_xlfn.XLOOKUP(order[[#This Row],[customer_id]],customer[customer_id],customer[customer_name])</f>
        <v>Ananya Gupta</v>
      </c>
      <c r="E1179">
        <v>205</v>
      </c>
      <c r="F1179">
        <v>2</v>
      </c>
      <c r="G1179">
        <v>39390</v>
      </c>
      <c r="H1179">
        <v>45</v>
      </c>
      <c r="I1179" t="s">
        <v>13</v>
      </c>
      <c r="J1179" t="s">
        <v>14</v>
      </c>
      <c r="K1179" t="str">
        <f>_xlfn.XLOOKUP(order[[#This Row],[customer_id]],customer[customer_id],customer[city])</f>
        <v>Chennai</v>
      </c>
      <c r="L1179" t="str">
        <f>_xlfn.XLOOKUP(order[[#This Row],[customer_id]],customer[customer_id],customer[state])</f>
        <v>Tamil Nadu</v>
      </c>
      <c r="M1179" t="str">
        <f>_xlfn.XLOOKUP(order[[#This Row],[product_id]],products!$A$2:$A$11,products!$B$2:$B$11)</f>
        <v>Prestige Pressure Cooker 5L</v>
      </c>
      <c r="N1179" s="3" t="str">
        <f>_xlfn.XLOOKUP(order[[#This Row],[product_id]],products!$A$2:$A$11,products!$C$2:$C$11)</f>
        <v>Home &amp; Kitchen</v>
      </c>
      <c r="O1179" s="3">
        <f>_xlfn.XLOOKUP(order[[#This Row],[product_id]],Table4[product_id],Table4[cost_price])</f>
        <v>1200</v>
      </c>
      <c r="P1179" s="11">
        <f>_xlfn.XLOOKUP(order[[#This Row],[order_id]],shipment[order_id],shipment[ship_date])</f>
        <v>45531</v>
      </c>
      <c r="Q1179" s="11">
        <f>_xlfn.XLOOKUP(order[[#This Row],[order_id]],shipment[order_id],shipment[delivery_date])</f>
        <v>45537</v>
      </c>
      <c r="R1179" s="3" t="str">
        <f>_xlfn.XLOOKUP(order[[#This Row],[order_id]],shipment[shipment_id],shipment[courier])</f>
        <v>Delhivery</v>
      </c>
      <c r="S1179" s="3">
        <f>order[[#This Row],[selling_price]]-order[[#This Row],[cost_price]]*order[[#This Row],[quantity]]-order[[#This Row],[discount]]</f>
        <v>36945</v>
      </c>
      <c r="T1179" s="3">
        <f>order[[#This Row],[quantity]]*order[[#This Row],[selling_price]]</f>
        <v>78780</v>
      </c>
    </row>
    <row r="1180" spans="1:20" x14ac:dyDescent="0.3">
      <c r="A1180">
        <v>611</v>
      </c>
      <c r="B1180" s="11">
        <v>45582</v>
      </c>
      <c r="C1180">
        <v>102</v>
      </c>
      <c r="D1180" t="str">
        <f>_xlfn.XLOOKUP(order[[#This Row],[customer_id]],customer[customer_id],customer[customer_name])</f>
        <v>Aarav Sharma</v>
      </c>
      <c r="E1180">
        <v>205</v>
      </c>
      <c r="F1180">
        <v>4</v>
      </c>
      <c r="G1180">
        <v>5205</v>
      </c>
      <c r="H1180">
        <v>3700</v>
      </c>
      <c r="I1180" t="s">
        <v>11</v>
      </c>
      <c r="J1180" t="s">
        <v>12</v>
      </c>
      <c r="K1180" t="str">
        <f>_xlfn.XLOOKUP(order[[#This Row],[customer_id]],customer[customer_id],customer[city])</f>
        <v>Delhi</v>
      </c>
      <c r="L1180" t="str">
        <f>_xlfn.XLOOKUP(order[[#This Row],[customer_id]],customer[customer_id],customer[state])</f>
        <v>Delhi</v>
      </c>
      <c r="M1180" t="str">
        <f>_xlfn.XLOOKUP(order[[#This Row],[product_id]],products!$A$2:$A$11,products!$B$2:$B$11)</f>
        <v>Prestige Pressure Cooker 5L</v>
      </c>
      <c r="N1180" s="3" t="str">
        <f>_xlfn.XLOOKUP(order[[#This Row],[product_id]],products!$A$2:$A$11,products!$C$2:$C$11)</f>
        <v>Home &amp; Kitchen</v>
      </c>
      <c r="O1180" s="3">
        <f>_xlfn.XLOOKUP(order[[#This Row],[product_id]],Table4[product_id],Table4[cost_price])</f>
        <v>1200</v>
      </c>
      <c r="P1180" s="11">
        <f>_xlfn.XLOOKUP(order[[#This Row],[order_id]],shipment[order_id],shipment[ship_date])</f>
        <v>45630</v>
      </c>
      <c r="Q1180" s="11">
        <f>_xlfn.XLOOKUP(order[[#This Row],[order_id]],shipment[order_id],shipment[delivery_date])</f>
        <v>45636</v>
      </c>
      <c r="R1180" s="3" t="str">
        <f>_xlfn.XLOOKUP(order[[#This Row],[order_id]],shipment[shipment_id],shipment[courier])</f>
        <v>DTDC</v>
      </c>
      <c r="S1180" s="3">
        <f>order[[#This Row],[selling_price]]-order[[#This Row],[cost_price]]*order[[#This Row],[quantity]]-order[[#This Row],[discount]]</f>
        <v>-3295</v>
      </c>
      <c r="T1180" s="3">
        <f>order[[#This Row],[quantity]]*order[[#This Row],[selling_price]]</f>
        <v>20820</v>
      </c>
    </row>
    <row r="1181" spans="1:20" x14ac:dyDescent="0.3">
      <c r="A1181">
        <v>651</v>
      </c>
      <c r="B1181" s="11">
        <v>45517</v>
      </c>
      <c r="C1181">
        <v>276</v>
      </c>
      <c r="D1181" t="str">
        <f>_xlfn.XLOOKUP(order[[#This Row],[customer_id]],customer[customer_id],customer[customer_name])</f>
        <v>Sneha Iyer</v>
      </c>
      <c r="E1181">
        <v>205</v>
      </c>
      <c r="F1181">
        <v>4</v>
      </c>
      <c r="G1181">
        <v>2481</v>
      </c>
      <c r="H1181">
        <v>3422</v>
      </c>
      <c r="I1181" t="s">
        <v>15</v>
      </c>
      <c r="J1181" t="s">
        <v>12</v>
      </c>
      <c r="K1181" t="str">
        <f>_xlfn.XLOOKUP(order[[#This Row],[customer_id]],customer[customer_id],customer[city])</f>
        <v>Chennai</v>
      </c>
      <c r="L1181" t="str">
        <f>_xlfn.XLOOKUP(order[[#This Row],[customer_id]],customer[customer_id],customer[state])</f>
        <v>Tamil Nadu</v>
      </c>
      <c r="M1181" t="str">
        <f>_xlfn.XLOOKUP(order[[#This Row],[product_id]],products!$A$2:$A$11,products!$B$2:$B$11)</f>
        <v>Prestige Pressure Cooker 5L</v>
      </c>
      <c r="N1181" s="3" t="str">
        <f>_xlfn.XLOOKUP(order[[#This Row],[product_id]],products!$A$2:$A$11,products!$C$2:$C$11)</f>
        <v>Home &amp; Kitchen</v>
      </c>
      <c r="O1181" s="3">
        <f>_xlfn.XLOOKUP(order[[#This Row],[product_id]],Table4[product_id],Table4[cost_price])</f>
        <v>1200</v>
      </c>
      <c r="P1181" s="11">
        <f>_xlfn.XLOOKUP(order[[#This Row],[order_id]],shipment[order_id],shipment[ship_date])</f>
        <v>45582</v>
      </c>
      <c r="Q1181" s="11">
        <f>_xlfn.XLOOKUP(order[[#This Row],[order_id]],shipment[order_id],shipment[delivery_date])</f>
        <v>45583</v>
      </c>
      <c r="R1181" s="3" t="str">
        <f>_xlfn.XLOOKUP(order[[#This Row],[order_id]],shipment[shipment_id],shipment[courier])</f>
        <v>Delhivery</v>
      </c>
      <c r="S1181" s="3">
        <f>order[[#This Row],[selling_price]]-order[[#This Row],[cost_price]]*order[[#This Row],[quantity]]-order[[#This Row],[discount]]</f>
        <v>-5741</v>
      </c>
      <c r="T1181" s="3">
        <f>order[[#This Row],[quantity]]*order[[#This Row],[selling_price]]</f>
        <v>9924</v>
      </c>
    </row>
    <row r="1182" spans="1:20" x14ac:dyDescent="0.3">
      <c r="A1182">
        <v>1181</v>
      </c>
      <c r="B1182" s="11">
        <v>45600</v>
      </c>
      <c r="C1182">
        <v>139</v>
      </c>
      <c r="D1182" t="str">
        <f>_xlfn.XLOOKUP(order[[#This Row],[customer_id]],customer[customer_id],customer[customer_name])</f>
        <v>Neha Kapoor</v>
      </c>
      <c r="E1182">
        <v>206</v>
      </c>
      <c r="F1182">
        <v>2</v>
      </c>
      <c r="G1182">
        <v>64087</v>
      </c>
      <c r="H1182">
        <v>2872</v>
      </c>
      <c r="I1182" t="s">
        <v>13</v>
      </c>
      <c r="J1182" t="s">
        <v>10</v>
      </c>
      <c r="K1182" t="str">
        <f>_xlfn.XLOOKUP(order[[#This Row],[customer_id]],customer[customer_id],customer[city])</f>
        <v>Chennai</v>
      </c>
      <c r="L1182" t="str">
        <f>_xlfn.XLOOKUP(order[[#This Row],[customer_id]],customer[customer_id],customer[state])</f>
        <v>Tamil Nadu</v>
      </c>
      <c r="M1182" t="str">
        <f>_xlfn.XLOOKUP(order[[#This Row],[product_id]],products!$A$2:$A$11,products!$B$2:$B$11)</f>
        <v>Philips Air Fryer</v>
      </c>
      <c r="N1182" s="3" t="str">
        <f>_xlfn.XLOOKUP(order[[#This Row],[product_id]],products!$A$2:$A$11,products!$C$2:$C$11)</f>
        <v>Home &amp; Kitchen</v>
      </c>
      <c r="O1182" s="3">
        <f>_xlfn.XLOOKUP(order[[#This Row],[product_id]],Table4[product_id],Table4[cost_price])</f>
        <v>7000</v>
      </c>
      <c r="P1182" s="11">
        <f>_xlfn.XLOOKUP(order[[#This Row],[order_id]],shipment[order_id],shipment[ship_date])</f>
        <v>45329</v>
      </c>
      <c r="Q1182" s="11">
        <f>_xlfn.XLOOKUP(order[[#This Row],[order_id]],shipment[order_id],shipment[delivery_date])</f>
        <v>45334</v>
      </c>
      <c r="R1182" s="3" t="str">
        <f>_xlfn.XLOOKUP(order[[#This Row],[order_id]],shipment[shipment_id],shipment[courier])</f>
        <v>BlueDart</v>
      </c>
      <c r="S1182" s="3">
        <f>order[[#This Row],[selling_price]]-order[[#This Row],[cost_price]]*order[[#This Row],[quantity]]-order[[#This Row],[discount]]</f>
        <v>47215</v>
      </c>
      <c r="T1182" s="3">
        <f>order[[#This Row],[quantity]]*order[[#This Row],[selling_price]]</f>
        <v>128174</v>
      </c>
    </row>
    <row r="1183" spans="1:20" x14ac:dyDescent="0.3">
      <c r="A1183">
        <v>950</v>
      </c>
      <c r="B1183" s="11">
        <v>45318</v>
      </c>
      <c r="C1183">
        <v>114</v>
      </c>
      <c r="D1183" t="str">
        <f>_xlfn.XLOOKUP(order[[#This Row],[customer_id]],customer[customer_id],customer[customer_name])</f>
        <v>Ananya Gupta</v>
      </c>
      <c r="E1183">
        <v>205</v>
      </c>
      <c r="F1183">
        <v>1</v>
      </c>
      <c r="G1183">
        <v>1906</v>
      </c>
      <c r="H1183">
        <v>2969</v>
      </c>
      <c r="I1183" t="s">
        <v>15</v>
      </c>
      <c r="J1183" t="s">
        <v>14</v>
      </c>
      <c r="K1183" t="str">
        <f>_xlfn.XLOOKUP(order[[#This Row],[customer_id]],customer[customer_id],customer[city])</f>
        <v>Bangalore</v>
      </c>
      <c r="L1183" t="str">
        <f>_xlfn.XLOOKUP(order[[#This Row],[customer_id]],customer[customer_id],customer[state])</f>
        <v>Karnataka</v>
      </c>
      <c r="M1183" t="str">
        <f>_xlfn.XLOOKUP(order[[#This Row],[product_id]],products!$A$2:$A$11,products!$B$2:$B$11)</f>
        <v>Prestige Pressure Cooker 5L</v>
      </c>
      <c r="N1183" s="3" t="str">
        <f>_xlfn.XLOOKUP(order[[#This Row],[product_id]],products!$A$2:$A$11,products!$C$2:$C$11)</f>
        <v>Home &amp; Kitchen</v>
      </c>
      <c r="O1183" s="3">
        <f>_xlfn.XLOOKUP(order[[#This Row],[product_id]],Table4[product_id],Table4[cost_price])</f>
        <v>1200</v>
      </c>
      <c r="P1183" s="11">
        <f>_xlfn.XLOOKUP(order[[#This Row],[order_id]],shipment[order_id],shipment[ship_date])</f>
        <v>45419</v>
      </c>
      <c r="Q1183" s="11">
        <f>_xlfn.XLOOKUP(order[[#This Row],[order_id]],shipment[order_id],shipment[delivery_date])</f>
        <v>45426</v>
      </c>
      <c r="R1183" s="3" t="str">
        <f>_xlfn.XLOOKUP(order[[#This Row],[order_id]],shipment[shipment_id],shipment[courier])</f>
        <v>BlueDart</v>
      </c>
      <c r="S1183" s="3">
        <f>order[[#This Row],[selling_price]]-order[[#This Row],[cost_price]]*order[[#This Row],[quantity]]-order[[#This Row],[discount]]</f>
        <v>-2263</v>
      </c>
      <c r="T1183" s="3">
        <f>order[[#This Row],[quantity]]*order[[#This Row],[selling_price]]</f>
        <v>1906</v>
      </c>
    </row>
    <row r="1184" spans="1:20" x14ac:dyDescent="0.3">
      <c r="A1184">
        <v>1183</v>
      </c>
      <c r="B1184" s="11">
        <v>45372</v>
      </c>
      <c r="C1184">
        <v>143</v>
      </c>
      <c r="D1184" t="str">
        <f>_xlfn.XLOOKUP(order[[#This Row],[customer_id]],customer[customer_id],customer[customer_name])</f>
        <v>Ananya Gupta</v>
      </c>
      <c r="E1184">
        <v>206</v>
      </c>
      <c r="F1184">
        <v>3</v>
      </c>
      <c r="G1184">
        <v>67921</v>
      </c>
      <c r="H1184">
        <v>295</v>
      </c>
      <c r="I1184" t="s">
        <v>9</v>
      </c>
      <c r="J1184" t="s">
        <v>12</v>
      </c>
      <c r="K1184" t="str">
        <f>_xlfn.XLOOKUP(order[[#This Row],[customer_id]],customer[customer_id],customer[city])</f>
        <v>Hyderabad</v>
      </c>
      <c r="L1184" t="str">
        <f>_xlfn.XLOOKUP(order[[#This Row],[customer_id]],customer[customer_id],customer[state])</f>
        <v>Telangana</v>
      </c>
      <c r="M1184" t="str">
        <f>_xlfn.XLOOKUP(order[[#This Row],[product_id]],products!$A$2:$A$11,products!$B$2:$B$11)</f>
        <v>Philips Air Fryer</v>
      </c>
      <c r="N1184" s="3" t="str">
        <f>_xlfn.XLOOKUP(order[[#This Row],[product_id]],products!$A$2:$A$11,products!$C$2:$C$11)</f>
        <v>Home &amp; Kitchen</v>
      </c>
      <c r="O1184" s="3">
        <f>_xlfn.XLOOKUP(order[[#This Row],[product_id]],Table4[product_id],Table4[cost_price])</f>
        <v>7000</v>
      </c>
      <c r="P1184" s="11">
        <f>_xlfn.XLOOKUP(order[[#This Row],[order_id]],shipment[order_id],shipment[ship_date])</f>
        <v>45458</v>
      </c>
      <c r="Q1184" s="11">
        <f>_xlfn.XLOOKUP(order[[#This Row],[order_id]],shipment[order_id],shipment[delivery_date])</f>
        <v>45465</v>
      </c>
      <c r="R1184" s="3" t="str">
        <f>_xlfn.XLOOKUP(order[[#This Row],[order_id]],shipment[shipment_id],shipment[courier])</f>
        <v>BlueDart</v>
      </c>
      <c r="S1184" s="3">
        <f>order[[#This Row],[selling_price]]-order[[#This Row],[cost_price]]*order[[#This Row],[quantity]]-order[[#This Row],[discount]]</f>
        <v>46626</v>
      </c>
      <c r="T1184" s="3">
        <f>order[[#This Row],[quantity]]*order[[#This Row],[selling_price]]</f>
        <v>203763</v>
      </c>
    </row>
    <row r="1185" spans="1:20" x14ac:dyDescent="0.3">
      <c r="A1185">
        <v>1184</v>
      </c>
      <c r="B1185" s="11">
        <v>45520</v>
      </c>
      <c r="C1185">
        <v>158</v>
      </c>
      <c r="D1185" t="str">
        <f>_xlfn.XLOOKUP(order[[#This Row],[customer_id]],customer[customer_id],customer[customer_name])</f>
        <v>Vikram Singh</v>
      </c>
      <c r="E1185">
        <v>207</v>
      </c>
      <c r="F1185">
        <v>1</v>
      </c>
      <c r="G1185">
        <v>41741</v>
      </c>
      <c r="H1185">
        <v>1605</v>
      </c>
      <c r="I1185" t="s">
        <v>11</v>
      </c>
      <c r="J1185" t="s">
        <v>14</v>
      </c>
      <c r="K1185" t="str">
        <f>_xlfn.XLOOKUP(order[[#This Row],[customer_id]],customer[customer_id],customer[city])</f>
        <v>Delhi</v>
      </c>
      <c r="L1185" t="str">
        <f>_xlfn.XLOOKUP(order[[#This Row],[customer_id]],customer[customer_id],customer[state])</f>
        <v>Delhi</v>
      </c>
      <c r="M1185" t="str">
        <f>_xlfn.XLOOKUP(order[[#This Row],[product_id]],products!$A$2:$A$11,products!$B$2:$B$11)</f>
        <v>Sony WH-1000XM4 Headphones</v>
      </c>
      <c r="N1185" s="3" t="str">
        <f>_xlfn.XLOOKUP(order[[#This Row],[product_id]],products!$A$2:$A$11,products!$C$2:$C$11)</f>
        <v>Electronics</v>
      </c>
      <c r="O1185" s="3">
        <f>_xlfn.XLOOKUP(order[[#This Row],[product_id]],Table4[product_id],Table4[cost_price])</f>
        <v>20000</v>
      </c>
      <c r="P1185" s="11">
        <f>_xlfn.XLOOKUP(order[[#This Row],[order_id]],shipment[order_id],shipment[ship_date])</f>
        <v>45621</v>
      </c>
      <c r="Q1185" s="11">
        <f>_xlfn.XLOOKUP(order[[#This Row],[order_id]],shipment[order_id],shipment[delivery_date])</f>
        <v>45622</v>
      </c>
      <c r="R1185" s="3" t="str">
        <f>_xlfn.XLOOKUP(order[[#This Row],[order_id]],shipment[shipment_id],shipment[courier])</f>
        <v>Delhivery</v>
      </c>
      <c r="S1185" s="3">
        <f>order[[#This Row],[selling_price]]-order[[#This Row],[cost_price]]*order[[#This Row],[quantity]]-order[[#This Row],[discount]]</f>
        <v>20136</v>
      </c>
      <c r="T1185" s="3">
        <f>order[[#This Row],[quantity]]*order[[#This Row],[selling_price]]</f>
        <v>41741</v>
      </c>
    </row>
    <row r="1186" spans="1:20" x14ac:dyDescent="0.3">
      <c r="A1186">
        <v>636</v>
      </c>
      <c r="B1186" s="11">
        <v>45506</v>
      </c>
      <c r="C1186">
        <v>191</v>
      </c>
      <c r="D1186" t="str">
        <f>_xlfn.XLOOKUP(order[[#This Row],[customer_id]],customer[customer_id],customer[customer_name])</f>
        <v>Priya Reddy</v>
      </c>
      <c r="E1186">
        <v>205</v>
      </c>
      <c r="F1186">
        <v>3</v>
      </c>
      <c r="G1186">
        <v>2080</v>
      </c>
      <c r="H1186">
        <v>2806</v>
      </c>
      <c r="I1186" t="s">
        <v>13</v>
      </c>
      <c r="J1186" t="s">
        <v>10</v>
      </c>
      <c r="K1186" t="str">
        <f>_xlfn.XLOOKUP(order[[#This Row],[customer_id]],customer[customer_id],customer[city])</f>
        <v>Pune</v>
      </c>
      <c r="L1186" t="str">
        <f>_xlfn.XLOOKUP(order[[#This Row],[customer_id]],customer[customer_id],customer[state])</f>
        <v>Maharashtra</v>
      </c>
      <c r="M1186" t="str">
        <f>_xlfn.XLOOKUP(order[[#This Row],[product_id]],products!$A$2:$A$11,products!$B$2:$B$11)</f>
        <v>Prestige Pressure Cooker 5L</v>
      </c>
      <c r="N1186" s="3" t="str">
        <f>_xlfn.XLOOKUP(order[[#This Row],[product_id]],products!$A$2:$A$11,products!$C$2:$C$11)</f>
        <v>Home &amp; Kitchen</v>
      </c>
      <c r="O1186" s="3">
        <f>_xlfn.XLOOKUP(order[[#This Row],[product_id]],Table4[product_id],Table4[cost_price])</f>
        <v>1200</v>
      </c>
      <c r="P1186" s="11">
        <f>_xlfn.XLOOKUP(order[[#This Row],[order_id]],shipment[order_id],shipment[ship_date])</f>
        <v>45315</v>
      </c>
      <c r="Q1186" s="11">
        <f>_xlfn.XLOOKUP(order[[#This Row],[order_id]],shipment[order_id],shipment[delivery_date])</f>
        <v>45323</v>
      </c>
      <c r="R1186" s="3" t="str">
        <f>_xlfn.XLOOKUP(order[[#This Row],[order_id]],shipment[shipment_id],shipment[courier])</f>
        <v>BlueDart</v>
      </c>
      <c r="S1186" s="3">
        <f>order[[#This Row],[selling_price]]-order[[#This Row],[cost_price]]*order[[#This Row],[quantity]]-order[[#This Row],[discount]]</f>
        <v>-4326</v>
      </c>
      <c r="T1186" s="3">
        <f>order[[#This Row],[quantity]]*order[[#This Row],[selling_price]]</f>
        <v>6240</v>
      </c>
    </row>
    <row r="1187" spans="1:20" x14ac:dyDescent="0.3">
      <c r="A1187">
        <v>520</v>
      </c>
      <c r="B1187" s="11">
        <v>45478</v>
      </c>
      <c r="C1187">
        <v>105</v>
      </c>
      <c r="D1187" t="str">
        <f>_xlfn.XLOOKUP(order[[#This Row],[customer_id]],customer[customer_id],customer[customer_name])</f>
        <v>Vikram Singh</v>
      </c>
      <c r="E1187">
        <v>205</v>
      </c>
      <c r="F1187">
        <v>4</v>
      </c>
      <c r="G1187">
        <v>1159</v>
      </c>
      <c r="H1187">
        <v>1505</v>
      </c>
      <c r="I1187" t="s">
        <v>9</v>
      </c>
      <c r="J1187" t="s">
        <v>14</v>
      </c>
      <c r="K1187" t="str">
        <f>_xlfn.XLOOKUP(order[[#This Row],[customer_id]],customer[customer_id],customer[city])</f>
        <v>Pune</v>
      </c>
      <c r="L1187" t="str">
        <f>_xlfn.XLOOKUP(order[[#This Row],[customer_id]],customer[customer_id],customer[state])</f>
        <v>Maharashtra</v>
      </c>
      <c r="M1187" t="str">
        <f>_xlfn.XLOOKUP(order[[#This Row],[product_id]],products!$A$2:$A$11,products!$B$2:$B$11)</f>
        <v>Prestige Pressure Cooker 5L</v>
      </c>
      <c r="N1187" s="3" t="str">
        <f>_xlfn.XLOOKUP(order[[#This Row],[product_id]],products!$A$2:$A$11,products!$C$2:$C$11)</f>
        <v>Home &amp; Kitchen</v>
      </c>
      <c r="O1187" s="3">
        <f>_xlfn.XLOOKUP(order[[#This Row],[product_id]],Table4[product_id],Table4[cost_price])</f>
        <v>1200</v>
      </c>
      <c r="P1187" s="11">
        <f>_xlfn.XLOOKUP(order[[#This Row],[order_id]],shipment[order_id],shipment[ship_date])</f>
        <v>45391</v>
      </c>
      <c r="Q1187" s="11">
        <f>_xlfn.XLOOKUP(order[[#This Row],[order_id]],shipment[order_id],shipment[delivery_date])</f>
        <v>45395</v>
      </c>
      <c r="R1187" s="3" t="str">
        <f>_xlfn.XLOOKUP(order[[#This Row],[order_id]],shipment[shipment_id],shipment[courier])</f>
        <v>Delhivery</v>
      </c>
      <c r="S1187" s="3">
        <f>order[[#This Row],[selling_price]]-order[[#This Row],[cost_price]]*order[[#This Row],[quantity]]-order[[#This Row],[discount]]</f>
        <v>-5146</v>
      </c>
      <c r="T1187" s="3">
        <f>order[[#This Row],[quantity]]*order[[#This Row],[selling_price]]</f>
        <v>4636</v>
      </c>
    </row>
    <row r="1188" spans="1:20" x14ac:dyDescent="0.3">
      <c r="A1188">
        <v>1187</v>
      </c>
      <c r="B1188" s="11">
        <v>45592</v>
      </c>
      <c r="C1188">
        <v>169</v>
      </c>
      <c r="D1188" t="str">
        <f>_xlfn.XLOOKUP(order[[#This Row],[customer_id]],customer[customer_id],customer[customer_name])</f>
        <v>Vikram Singh</v>
      </c>
      <c r="E1188">
        <v>204</v>
      </c>
      <c r="F1188">
        <v>3</v>
      </c>
      <c r="G1188">
        <v>31839</v>
      </c>
      <c r="H1188">
        <v>421</v>
      </c>
      <c r="I1188" t="s">
        <v>15</v>
      </c>
      <c r="J1188" t="s">
        <v>12</v>
      </c>
      <c r="K1188" t="str">
        <f>_xlfn.XLOOKUP(order[[#This Row],[customer_id]],customer[customer_id],customer[city])</f>
        <v>Ahmedabad</v>
      </c>
      <c r="L1188" t="str">
        <f>_xlfn.XLOOKUP(order[[#This Row],[customer_id]],customer[customer_id],customer[state])</f>
        <v>Gujarat</v>
      </c>
      <c r="M1188" t="str">
        <f>_xlfn.XLOOKUP(order[[#This Row],[product_id]],products!$A$2:$A$11,products!$B$2:$B$11)</f>
        <v>Levi's Slim Fit Jeans</v>
      </c>
      <c r="N1188" s="3" t="str">
        <f>_xlfn.XLOOKUP(order[[#This Row],[product_id]],products!$A$2:$A$11,products!$C$2:$C$11)</f>
        <v>Fashion</v>
      </c>
      <c r="O1188" s="3">
        <f>_xlfn.XLOOKUP(order[[#This Row],[product_id]],Table4[product_id],Table4[cost_price])</f>
        <v>1800</v>
      </c>
      <c r="P1188" s="11">
        <f>_xlfn.XLOOKUP(order[[#This Row],[order_id]],shipment[order_id],shipment[ship_date])</f>
        <v>45455</v>
      </c>
      <c r="Q1188" s="11">
        <f>_xlfn.XLOOKUP(order[[#This Row],[order_id]],shipment[order_id],shipment[delivery_date])</f>
        <v>45462</v>
      </c>
      <c r="R1188" s="3" t="str">
        <f>_xlfn.XLOOKUP(order[[#This Row],[order_id]],shipment[shipment_id],shipment[courier])</f>
        <v>DTDC</v>
      </c>
      <c r="S1188" s="3">
        <f>order[[#This Row],[selling_price]]-order[[#This Row],[cost_price]]*order[[#This Row],[quantity]]-order[[#This Row],[discount]]</f>
        <v>26018</v>
      </c>
      <c r="T1188" s="3">
        <f>order[[#This Row],[quantity]]*order[[#This Row],[selling_price]]</f>
        <v>95517</v>
      </c>
    </row>
    <row r="1189" spans="1:20" x14ac:dyDescent="0.3">
      <c r="A1189">
        <v>119</v>
      </c>
      <c r="B1189" s="11">
        <v>45474</v>
      </c>
      <c r="C1189">
        <v>212</v>
      </c>
      <c r="D1189" t="str">
        <f>_xlfn.XLOOKUP(order[[#This Row],[customer_id]],customer[customer_id],customer[customer_name])</f>
        <v>Vikram Singh</v>
      </c>
      <c r="E1189">
        <v>205</v>
      </c>
      <c r="F1189">
        <v>2</v>
      </c>
      <c r="G1189">
        <v>2079</v>
      </c>
      <c r="H1189">
        <v>837</v>
      </c>
      <c r="I1189" t="s">
        <v>13</v>
      </c>
      <c r="J1189" t="s">
        <v>14</v>
      </c>
      <c r="K1189" t="str">
        <f>_xlfn.XLOOKUP(order[[#This Row],[customer_id]],customer[customer_id],customer[city])</f>
        <v>Ahmedabad</v>
      </c>
      <c r="L1189" t="str">
        <f>_xlfn.XLOOKUP(order[[#This Row],[customer_id]],customer[customer_id],customer[state])</f>
        <v>Gujarat</v>
      </c>
      <c r="M1189" t="str">
        <f>_xlfn.XLOOKUP(order[[#This Row],[product_id]],products!$A$2:$A$11,products!$B$2:$B$11)</f>
        <v>Prestige Pressure Cooker 5L</v>
      </c>
      <c r="N1189" s="3" t="str">
        <f>_xlfn.XLOOKUP(order[[#This Row],[product_id]],products!$A$2:$A$11,products!$C$2:$C$11)</f>
        <v>Home &amp; Kitchen</v>
      </c>
      <c r="O1189" s="3">
        <f>_xlfn.XLOOKUP(order[[#This Row],[product_id]],Table4[product_id],Table4[cost_price])</f>
        <v>1200</v>
      </c>
      <c r="P1189" s="11">
        <f>_xlfn.XLOOKUP(order[[#This Row],[order_id]],shipment[order_id],shipment[ship_date])</f>
        <v>45568</v>
      </c>
      <c r="Q1189" s="11">
        <f>_xlfn.XLOOKUP(order[[#This Row],[order_id]],shipment[order_id],shipment[delivery_date])</f>
        <v>45569</v>
      </c>
      <c r="R1189" s="3" t="str">
        <f>_xlfn.XLOOKUP(order[[#This Row],[order_id]],shipment[shipment_id],shipment[courier])</f>
        <v>Delhivery</v>
      </c>
      <c r="S1189" s="3">
        <f>order[[#This Row],[selling_price]]-order[[#This Row],[cost_price]]*order[[#This Row],[quantity]]-order[[#This Row],[discount]]</f>
        <v>-1158</v>
      </c>
      <c r="T1189" s="3">
        <f>order[[#This Row],[quantity]]*order[[#This Row],[selling_price]]</f>
        <v>4158</v>
      </c>
    </row>
    <row r="1190" spans="1:20" x14ac:dyDescent="0.3">
      <c r="A1190">
        <v>359</v>
      </c>
      <c r="B1190" s="11">
        <v>45311</v>
      </c>
      <c r="C1190">
        <v>188</v>
      </c>
      <c r="D1190" t="str">
        <f>_xlfn.XLOOKUP(order[[#This Row],[customer_id]],customer[customer_id],customer[customer_name])</f>
        <v>Sneha Iyer</v>
      </c>
      <c r="E1190">
        <v>205</v>
      </c>
      <c r="F1190">
        <v>4</v>
      </c>
      <c r="G1190">
        <v>3811</v>
      </c>
      <c r="H1190">
        <v>252</v>
      </c>
      <c r="I1190" t="s">
        <v>11</v>
      </c>
      <c r="J1190" t="s">
        <v>14</v>
      </c>
      <c r="K1190" t="str">
        <f>_xlfn.XLOOKUP(order[[#This Row],[customer_id]],customer[customer_id],customer[city])</f>
        <v>Pune</v>
      </c>
      <c r="L1190" t="str">
        <f>_xlfn.XLOOKUP(order[[#This Row],[customer_id]],customer[customer_id],customer[state])</f>
        <v>Maharashtra</v>
      </c>
      <c r="M1190" t="str">
        <f>_xlfn.XLOOKUP(order[[#This Row],[product_id]],products!$A$2:$A$11,products!$B$2:$B$11)</f>
        <v>Prestige Pressure Cooker 5L</v>
      </c>
      <c r="N1190" s="3" t="str">
        <f>_xlfn.XLOOKUP(order[[#This Row],[product_id]],products!$A$2:$A$11,products!$C$2:$C$11)</f>
        <v>Home &amp; Kitchen</v>
      </c>
      <c r="O1190" s="3">
        <f>_xlfn.XLOOKUP(order[[#This Row],[product_id]],Table4[product_id],Table4[cost_price])</f>
        <v>1200</v>
      </c>
      <c r="P1190" s="11">
        <f>_xlfn.XLOOKUP(order[[#This Row],[order_id]],shipment[order_id],shipment[ship_date])</f>
        <v>45297</v>
      </c>
      <c r="Q1190" s="11">
        <f>_xlfn.XLOOKUP(order[[#This Row],[order_id]],shipment[order_id],shipment[delivery_date])</f>
        <v>45305</v>
      </c>
      <c r="R1190" s="3" t="str">
        <f>_xlfn.XLOOKUP(order[[#This Row],[order_id]],shipment[shipment_id],shipment[courier])</f>
        <v>Delhivery</v>
      </c>
      <c r="S1190" s="3">
        <f>order[[#This Row],[selling_price]]-order[[#This Row],[cost_price]]*order[[#This Row],[quantity]]-order[[#This Row],[discount]]</f>
        <v>-1241</v>
      </c>
      <c r="T1190" s="3">
        <f>order[[#This Row],[quantity]]*order[[#This Row],[selling_price]]</f>
        <v>15244</v>
      </c>
    </row>
    <row r="1191" spans="1:20" x14ac:dyDescent="0.3">
      <c r="A1191">
        <v>1190</v>
      </c>
      <c r="B1191" s="11">
        <v>45546</v>
      </c>
      <c r="C1191">
        <v>240</v>
      </c>
      <c r="D1191" t="str">
        <f>_xlfn.XLOOKUP(order[[#This Row],[customer_id]],customer[customer_id],customer[customer_name])</f>
        <v>Ananya Gupta</v>
      </c>
      <c r="E1191">
        <v>206</v>
      </c>
      <c r="F1191">
        <v>4</v>
      </c>
      <c r="G1191">
        <v>39620</v>
      </c>
      <c r="H1191">
        <v>4530</v>
      </c>
      <c r="I1191" t="s">
        <v>11</v>
      </c>
      <c r="J1191" t="s">
        <v>14</v>
      </c>
      <c r="K1191" t="str">
        <f>_xlfn.XLOOKUP(order[[#This Row],[customer_id]],customer[customer_id],customer[city])</f>
        <v>Ahmedabad</v>
      </c>
      <c r="L1191" t="str">
        <f>_xlfn.XLOOKUP(order[[#This Row],[customer_id]],customer[customer_id],customer[state])</f>
        <v>Gujarat</v>
      </c>
      <c r="M1191" t="str">
        <f>_xlfn.XLOOKUP(order[[#This Row],[product_id]],products!$A$2:$A$11,products!$B$2:$B$11)</f>
        <v>Philips Air Fryer</v>
      </c>
      <c r="N1191" s="3" t="str">
        <f>_xlfn.XLOOKUP(order[[#This Row],[product_id]],products!$A$2:$A$11,products!$C$2:$C$11)</f>
        <v>Home &amp; Kitchen</v>
      </c>
      <c r="O1191" s="3">
        <f>_xlfn.XLOOKUP(order[[#This Row],[product_id]],Table4[product_id],Table4[cost_price])</f>
        <v>7000</v>
      </c>
      <c r="P1191" s="11">
        <f>_xlfn.XLOOKUP(order[[#This Row],[order_id]],shipment[order_id],shipment[ship_date])</f>
        <v>45440</v>
      </c>
      <c r="Q1191" s="11">
        <f>_xlfn.XLOOKUP(order[[#This Row],[order_id]],shipment[order_id],shipment[delivery_date])</f>
        <v>45450</v>
      </c>
      <c r="R1191" s="3" t="str">
        <f>_xlfn.XLOOKUP(order[[#This Row],[order_id]],shipment[shipment_id],shipment[courier])</f>
        <v>Ekart</v>
      </c>
      <c r="S1191" s="3">
        <f>order[[#This Row],[selling_price]]-order[[#This Row],[cost_price]]*order[[#This Row],[quantity]]-order[[#This Row],[discount]]</f>
        <v>7090</v>
      </c>
      <c r="T1191" s="3">
        <f>order[[#This Row],[quantity]]*order[[#This Row],[selling_price]]</f>
        <v>158480</v>
      </c>
    </row>
    <row r="1192" spans="1:20" x14ac:dyDescent="0.3">
      <c r="A1192">
        <v>1191</v>
      </c>
      <c r="B1192" s="11">
        <v>45647</v>
      </c>
      <c r="C1192">
        <v>208</v>
      </c>
      <c r="D1192" t="str">
        <f>_xlfn.XLOOKUP(order[[#This Row],[customer_id]],customer[customer_id],customer[customer_name])</f>
        <v>Arjun Nair</v>
      </c>
      <c r="E1192">
        <v>209</v>
      </c>
      <c r="F1192">
        <v>2</v>
      </c>
      <c r="G1192">
        <v>40048</v>
      </c>
      <c r="H1192">
        <v>3574</v>
      </c>
      <c r="I1192" t="s">
        <v>15</v>
      </c>
      <c r="J1192" t="s">
        <v>10</v>
      </c>
      <c r="K1192" t="str">
        <f>_xlfn.XLOOKUP(order[[#This Row],[customer_id]],customer[customer_id],customer[city])</f>
        <v>Mumbai</v>
      </c>
      <c r="L1192" t="str">
        <f>_xlfn.XLOOKUP(order[[#This Row],[customer_id]],customer[customer_id],customer[state])</f>
        <v>Maharashtra</v>
      </c>
      <c r="M1192" t="str">
        <f>_xlfn.XLOOKUP(order[[#This Row],[product_id]],products!$A$2:$A$11,products!$B$2:$B$11)</f>
        <v>Milton Thermosteel Bottle</v>
      </c>
      <c r="N1192" s="3" t="str">
        <f>_xlfn.XLOOKUP(order[[#This Row],[product_id]],products!$A$2:$A$11,products!$C$2:$C$11)</f>
        <v>Home &amp; Kitchen</v>
      </c>
      <c r="O1192" s="3">
        <f>_xlfn.XLOOKUP(order[[#This Row],[product_id]],Table4[product_id],Table4[cost_price])</f>
        <v>800</v>
      </c>
      <c r="P1192" s="11">
        <f>_xlfn.XLOOKUP(order[[#This Row],[order_id]],shipment[order_id],shipment[ship_date])</f>
        <v>45649</v>
      </c>
      <c r="Q1192" s="11">
        <f>_xlfn.XLOOKUP(order[[#This Row],[order_id]],shipment[order_id],shipment[delivery_date])</f>
        <v>45659</v>
      </c>
      <c r="R1192" s="3" t="str">
        <f>_xlfn.XLOOKUP(order[[#This Row],[order_id]],shipment[shipment_id],shipment[courier])</f>
        <v>DTDC</v>
      </c>
      <c r="S1192" s="3">
        <f>order[[#This Row],[selling_price]]-order[[#This Row],[cost_price]]*order[[#This Row],[quantity]]-order[[#This Row],[discount]]</f>
        <v>34874</v>
      </c>
      <c r="T1192" s="3">
        <f>order[[#This Row],[quantity]]*order[[#This Row],[selling_price]]</f>
        <v>80096</v>
      </c>
    </row>
    <row r="1193" spans="1:20" x14ac:dyDescent="0.3">
      <c r="A1193">
        <v>919</v>
      </c>
      <c r="B1193" s="11">
        <v>45502</v>
      </c>
      <c r="C1193">
        <v>276</v>
      </c>
      <c r="D1193" t="str">
        <f>_xlfn.XLOOKUP(order[[#This Row],[customer_id]],customer[customer_id],customer[customer_name])</f>
        <v>Sneha Iyer</v>
      </c>
      <c r="E1193">
        <v>209</v>
      </c>
      <c r="F1193">
        <v>2</v>
      </c>
      <c r="G1193">
        <v>3932</v>
      </c>
      <c r="H1193">
        <v>3156</v>
      </c>
      <c r="I1193" t="s">
        <v>9</v>
      </c>
      <c r="J1193" t="s">
        <v>14</v>
      </c>
      <c r="K1193" t="str">
        <f>_xlfn.XLOOKUP(order[[#This Row],[customer_id]],customer[customer_id],customer[city])</f>
        <v>Chennai</v>
      </c>
      <c r="L1193" t="str">
        <f>_xlfn.XLOOKUP(order[[#This Row],[customer_id]],customer[customer_id],customer[state])</f>
        <v>Tamil Nadu</v>
      </c>
      <c r="M1193" t="str">
        <f>_xlfn.XLOOKUP(order[[#This Row],[product_id]],products!$A$2:$A$11,products!$B$2:$B$11)</f>
        <v>Milton Thermosteel Bottle</v>
      </c>
      <c r="N1193" s="3" t="str">
        <f>_xlfn.XLOOKUP(order[[#This Row],[product_id]],products!$A$2:$A$11,products!$C$2:$C$11)</f>
        <v>Home &amp; Kitchen</v>
      </c>
      <c r="O1193" s="3">
        <f>_xlfn.XLOOKUP(order[[#This Row],[product_id]],Table4[product_id],Table4[cost_price])</f>
        <v>800</v>
      </c>
      <c r="P1193" s="11">
        <f>_xlfn.XLOOKUP(order[[#This Row],[order_id]],shipment[order_id],shipment[ship_date])</f>
        <v>45489</v>
      </c>
      <c r="Q1193" s="11">
        <f>_xlfn.XLOOKUP(order[[#This Row],[order_id]],shipment[order_id],shipment[delivery_date])</f>
        <v>45499</v>
      </c>
      <c r="R1193" s="3" t="str">
        <f>_xlfn.XLOOKUP(order[[#This Row],[order_id]],shipment[shipment_id],shipment[courier])</f>
        <v>Ekart</v>
      </c>
      <c r="S1193" s="3">
        <f>order[[#This Row],[selling_price]]-order[[#This Row],[cost_price]]*order[[#This Row],[quantity]]-order[[#This Row],[discount]]</f>
        <v>-824</v>
      </c>
      <c r="T1193" s="3">
        <f>order[[#This Row],[quantity]]*order[[#This Row],[selling_price]]</f>
        <v>7864</v>
      </c>
    </row>
    <row r="1194" spans="1:20" x14ac:dyDescent="0.3">
      <c r="A1194">
        <v>1193</v>
      </c>
      <c r="B1194" s="11">
        <v>45341</v>
      </c>
      <c r="C1194">
        <v>156</v>
      </c>
      <c r="D1194" t="str">
        <f>_xlfn.XLOOKUP(order[[#This Row],[customer_id]],customer[customer_id],customer[customer_name])</f>
        <v>Arjun Nair</v>
      </c>
      <c r="E1194">
        <v>202</v>
      </c>
      <c r="F1194">
        <v>1</v>
      </c>
      <c r="G1194">
        <v>54430</v>
      </c>
      <c r="H1194">
        <v>462</v>
      </c>
      <c r="I1194" t="s">
        <v>9</v>
      </c>
      <c r="J1194" t="s">
        <v>14</v>
      </c>
      <c r="K1194" t="str">
        <f>_xlfn.XLOOKUP(order[[#This Row],[customer_id]],customer[customer_id],customer[city])</f>
        <v>Bangalore</v>
      </c>
      <c r="L1194" t="str">
        <f>_xlfn.XLOOKUP(order[[#This Row],[customer_id]],customer[customer_id],customer[state])</f>
        <v>Karnataka</v>
      </c>
      <c r="M1194" t="str">
        <f>_xlfn.XLOOKUP(order[[#This Row],[product_id]],products!$A$2:$A$11,products!$B$2:$B$11)</f>
        <v>Samsung Galaxy S21</v>
      </c>
      <c r="N1194" s="3" t="str">
        <f>_xlfn.XLOOKUP(order[[#This Row],[product_id]],products!$A$2:$A$11,products!$C$2:$C$11)</f>
        <v>Electronics</v>
      </c>
      <c r="O1194" s="3">
        <f>_xlfn.XLOOKUP(order[[#This Row],[product_id]],Table4[product_id],Table4[cost_price])</f>
        <v>45000</v>
      </c>
      <c r="P1194" s="11">
        <f>_xlfn.XLOOKUP(order[[#This Row],[order_id]],shipment[order_id],shipment[ship_date])</f>
        <v>45337</v>
      </c>
      <c r="Q1194" s="11">
        <f>_xlfn.XLOOKUP(order[[#This Row],[order_id]],shipment[order_id],shipment[delivery_date])</f>
        <v>45339</v>
      </c>
      <c r="R1194" s="3" t="str">
        <f>_xlfn.XLOOKUP(order[[#This Row],[order_id]],shipment[shipment_id],shipment[courier])</f>
        <v>Delhivery</v>
      </c>
      <c r="S1194" s="3">
        <f>order[[#This Row],[selling_price]]-order[[#This Row],[cost_price]]*order[[#This Row],[quantity]]-order[[#This Row],[discount]]</f>
        <v>8968</v>
      </c>
      <c r="T1194" s="3">
        <f>order[[#This Row],[quantity]]*order[[#This Row],[selling_price]]</f>
        <v>54430</v>
      </c>
    </row>
    <row r="1195" spans="1:20" x14ac:dyDescent="0.3">
      <c r="A1195">
        <v>1194</v>
      </c>
      <c r="B1195" s="11">
        <v>45636</v>
      </c>
      <c r="C1195">
        <v>215</v>
      </c>
      <c r="D1195" t="str">
        <f>_xlfn.XLOOKUP(order[[#This Row],[customer_id]],customer[customer_id],customer[customer_name])</f>
        <v>Priya Reddy</v>
      </c>
      <c r="E1195">
        <v>210</v>
      </c>
      <c r="F1195">
        <v>1</v>
      </c>
      <c r="G1195">
        <v>45862</v>
      </c>
      <c r="H1195">
        <v>3083</v>
      </c>
      <c r="I1195" t="s">
        <v>11</v>
      </c>
      <c r="J1195" t="s">
        <v>10</v>
      </c>
      <c r="K1195" t="str">
        <f>_xlfn.XLOOKUP(order[[#This Row],[customer_id]],customer[customer_id],customer[city])</f>
        <v>Chennai</v>
      </c>
      <c r="L1195" t="str">
        <f>_xlfn.XLOOKUP(order[[#This Row],[customer_id]],customer[customer_id],customer[state])</f>
        <v>Tamil Nadu</v>
      </c>
      <c r="M1195" t="str">
        <f>_xlfn.XLOOKUP(order[[#This Row],[product_id]],products!$A$2:$A$11,products!$B$2:$B$11)</f>
        <v>LG 43 Inch Smart TV</v>
      </c>
      <c r="N1195" s="3" t="str">
        <f>_xlfn.XLOOKUP(order[[#This Row],[product_id]],products!$A$2:$A$11,products!$C$2:$C$11)</f>
        <v>Electronics</v>
      </c>
      <c r="O1195" s="3">
        <f>_xlfn.XLOOKUP(order[[#This Row],[product_id]],Table4[product_id],Table4[cost_price])</f>
        <v>30000</v>
      </c>
      <c r="P1195" s="11">
        <f>_xlfn.XLOOKUP(order[[#This Row],[order_id]],shipment[order_id],shipment[ship_date])</f>
        <v>45487</v>
      </c>
      <c r="Q1195" s="11">
        <f>_xlfn.XLOOKUP(order[[#This Row],[order_id]],shipment[order_id],shipment[delivery_date])</f>
        <v>45494</v>
      </c>
      <c r="R1195" s="3" t="str">
        <f>_xlfn.XLOOKUP(order[[#This Row],[order_id]],shipment[shipment_id],shipment[courier])</f>
        <v>Delhivery</v>
      </c>
      <c r="S1195" s="3">
        <f>order[[#This Row],[selling_price]]-order[[#This Row],[cost_price]]*order[[#This Row],[quantity]]-order[[#This Row],[discount]]</f>
        <v>12779</v>
      </c>
      <c r="T1195" s="3">
        <f>order[[#This Row],[quantity]]*order[[#This Row],[selling_price]]</f>
        <v>45862</v>
      </c>
    </row>
    <row r="1196" spans="1:20" x14ac:dyDescent="0.3">
      <c r="A1196">
        <v>398</v>
      </c>
      <c r="B1196" s="11">
        <v>45615</v>
      </c>
      <c r="C1196">
        <v>271</v>
      </c>
      <c r="D1196" t="str">
        <f>_xlfn.XLOOKUP(order[[#This Row],[customer_id]],customer[customer_id],customer[customer_name])</f>
        <v>Neha Kapoor</v>
      </c>
      <c r="E1196">
        <v>209</v>
      </c>
      <c r="F1196">
        <v>1</v>
      </c>
      <c r="G1196">
        <v>1721</v>
      </c>
      <c r="H1196">
        <v>2383</v>
      </c>
      <c r="I1196" t="s">
        <v>13</v>
      </c>
      <c r="J1196" t="s">
        <v>14</v>
      </c>
      <c r="K1196" t="str">
        <f>_xlfn.XLOOKUP(order[[#This Row],[customer_id]],customer[customer_id],customer[city])</f>
        <v>Ahmedabad</v>
      </c>
      <c r="L1196" t="str">
        <f>_xlfn.XLOOKUP(order[[#This Row],[customer_id]],customer[customer_id],customer[state])</f>
        <v>Gujarat</v>
      </c>
      <c r="M1196" t="str">
        <f>_xlfn.XLOOKUP(order[[#This Row],[product_id]],products!$A$2:$A$11,products!$B$2:$B$11)</f>
        <v>Milton Thermosteel Bottle</v>
      </c>
      <c r="N1196" s="3" t="str">
        <f>_xlfn.XLOOKUP(order[[#This Row],[product_id]],products!$A$2:$A$11,products!$C$2:$C$11)</f>
        <v>Home &amp; Kitchen</v>
      </c>
      <c r="O1196" s="3">
        <f>_xlfn.XLOOKUP(order[[#This Row],[product_id]],Table4[product_id],Table4[cost_price])</f>
        <v>800</v>
      </c>
      <c r="P1196" s="11">
        <f>_xlfn.XLOOKUP(order[[#This Row],[order_id]],shipment[order_id],shipment[ship_date])</f>
        <v>45497</v>
      </c>
      <c r="Q1196" s="11">
        <f>_xlfn.XLOOKUP(order[[#This Row],[order_id]],shipment[order_id],shipment[delivery_date])</f>
        <v>45505</v>
      </c>
      <c r="R1196" s="3" t="str">
        <f>_xlfn.XLOOKUP(order[[#This Row],[order_id]],shipment[shipment_id],shipment[courier])</f>
        <v>Ekart</v>
      </c>
      <c r="S1196" s="3">
        <f>order[[#This Row],[selling_price]]-order[[#This Row],[cost_price]]*order[[#This Row],[quantity]]-order[[#This Row],[discount]]</f>
        <v>-1462</v>
      </c>
      <c r="T1196" s="3">
        <f>order[[#This Row],[quantity]]*order[[#This Row],[selling_price]]</f>
        <v>1721</v>
      </c>
    </row>
    <row r="1197" spans="1:20" x14ac:dyDescent="0.3">
      <c r="A1197">
        <v>502</v>
      </c>
      <c r="B1197" s="11">
        <v>45456</v>
      </c>
      <c r="C1197">
        <v>145</v>
      </c>
      <c r="D1197" t="str">
        <f>_xlfn.XLOOKUP(order[[#This Row],[customer_id]],customer[customer_id],customer[customer_name])</f>
        <v>Meera Joshi</v>
      </c>
      <c r="E1197">
        <v>209</v>
      </c>
      <c r="F1197">
        <v>1</v>
      </c>
      <c r="G1197">
        <v>2032</v>
      </c>
      <c r="H1197">
        <v>2144</v>
      </c>
      <c r="I1197" t="s">
        <v>11</v>
      </c>
      <c r="J1197" t="s">
        <v>14</v>
      </c>
      <c r="K1197" t="str">
        <f>_xlfn.XLOOKUP(order[[#This Row],[customer_id]],customer[customer_id],customer[city])</f>
        <v>Ahmedabad</v>
      </c>
      <c r="L1197" t="str">
        <f>_xlfn.XLOOKUP(order[[#This Row],[customer_id]],customer[customer_id],customer[state])</f>
        <v>Gujarat</v>
      </c>
      <c r="M1197" t="str">
        <f>_xlfn.XLOOKUP(order[[#This Row],[product_id]],products!$A$2:$A$11,products!$B$2:$B$11)</f>
        <v>Milton Thermosteel Bottle</v>
      </c>
      <c r="N1197" s="3" t="str">
        <f>_xlfn.XLOOKUP(order[[#This Row],[product_id]],products!$A$2:$A$11,products!$C$2:$C$11)</f>
        <v>Home &amp; Kitchen</v>
      </c>
      <c r="O1197" s="3">
        <f>_xlfn.XLOOKUP(order[[#This Row],[product_id]],Table4[product_id],Table4[cost_price])</f>
        <v>800</v>
      </c>
      <c r="P1197" s="11">
        <f>_xlfn.XLOOKUP(order[[#This Row],[order_id]],shipment[order_id],shipment[ship_date])</f>
        <v>45577</v>
      </c>
      <c r="Q1197" s="11">
        <f>_xlfn.XLOOKUP(order[[#This Row],[order_id]],shipment[order_id],shipment[delivery_date])</f>
        <v>45578</v>
      </c>
      <c r="R1197" s="3" t="str">
        <f>_xlfn.XLOOKUP(order[[#This Row],[order_id]],shipment[shipment_id],shipment[courier])</f>
        <v>Delhivery</v>
      </c>
      <c r="S1197" s="3">
        <f>order[[#This Row],[selling_price]]-order[[#This Row],[cost_price]]*order[[#This Row],[quantity]]-order[[#This Row],[discount]]</f>
        <v>-912</v>
      </c>
      <c r="T1197" s="3">
        <f>order[[#This Row],[quantity]]*order[[#This Row],[selling_price]]</f>
        <v>2032</v>
      </c>
    </row>
    <row r="1198" spans="1:20" x14ac:dyDescent="0.3">
      <c r="A1198">
        <v>1197</v>
      </c>
      <c r="B1198" s="11">
        <v>45505</v>
      </c>
      <c r="C1198">
        <v>108</v>
      </c>
      <c r="D1198" t="str">
        <f>_xlfn.XLOOKUP(order[[#This Row],[customer_id]],customer[customer_id],customer[customer_name])</f>
        <v>Arjun Nair</v>
      </c>
      <c r="E1198">
        <v>208</v>
      </c>
      <c r="F1198">
        <v>1</v>
      </c>
      <c r="G1198">
        <v>52921</v>
      </c>
      <c r="H1198">
        <v>4570</v>
      </c>
      <c r="I1198" t="s">
        <v>11</v>
      </c>
      <c r="J1198" t="s">
        <v>10</v>
      </c>
      <c r="K1198" t="str">
        <f>_xlfn.XLOOKUP(order[[#This Row],[customer_id]],customer[customer_id],customer[city])</f>
        <v>Ahmedabad</v>
      </c>
      <c r="L1198" t="str">
        <f>_xlfn.XLOOKUP(order[[#This Row],[customer_id]],customer[customer_id],customer[state])</f>
        <v>Gujarat</v>
      </c>
      <c r="M1198" t="str">
        <f>_xlfn.XLOOKUP(order[[#This Row],[product_id]],products!$A$2:$A$11,products!$B$2:$B$11)</f>
        <v>Adidas Ultraboost Shoes</v>
      </c>
      <c r="N1198" s="3" t="str">
        <f>_xlfn.XLOOKUP(order[[#This Row],[product_id]],products!$A$2:$A$11,products!$C$2:$C$11)</f>
        <v>Fashion</v>
      </c>
      <c r="O1198" s="3">
        <f>_xlfn.XLOOKUP(order[[#This Row],[product_id]],Table4[product_id],Table4[cost_price])</f>
        <v>9000</v>
      </c>
      <c r="P1198" s="11">
        <f>_xlfn.XLOOKUP(order[[#This Row],[order_id]],shipment[order_id],shipment[ship_date])</f>
        <v>45610</v>
      </c>
      <c r="Q1198" s="11">
        <f>_xlfn.XLOOKUP(order[[#This Row],[order_id]],shipment[order_id],shipment[delivery_date])</f>
        <v>45617</v>
      </c>
      <c r="R1198" s="3" t="str">
        <f>_xlfn.XLOOKUP(order[[#This Row],[order_id]],shipment[shipment_id],shipment[courier])</f>
        <v>BlueDart</v>
      </c>
      <c r="S1198" s="3">
        <f>order[[#This Row],[selling_price]]-order[[#This Row],[cost_price]]*order[[#This Row],[quantity]]-order[[#This Row],[discount]]</f>
        <v>39351</v>
      </c>
      <c r="T1198" s="3">
        <f>order[[#This Row],[quantity]]*order[[#This Row],[selling_price]]</f>
        <v>52921</v>
      </c>
    </row>
    <row r="1199" spans="1:20" x14ac:dyDescent="0.3">
      <c r="A1199">
        <v>1198</v>
      </c>
      <c r="B1199" s="11">
        <v>45404</v>
      </c>
      <c r="C1199">
        <v>298</v>
      </c>
      <c r="D1199" t="str">
        <f>_xlfn.XLOOKUP(order[[#This Row],[customer_id]],customer[customer_id],customer[customer_name])</f>
        <v>Karan Patel</v>
      </c>
      <c r="E1199">
        <v>209</v>
      </c>
      <c r="F1199">
        <v>2</v>
      </c>
      <c r="G1199">
        <v>15272</v>
      </c>
      <c r="H1199">
        <v>3603</v>
      </c>
      <c r="I1199" t="s">
        <v>13</v>
      </c>
      <c r="J1199" t="s">
        <v>10</v>
      </c>
      <c r="K1199" t="str">
        <f>_xlfn.XLOOKUP(order[[#This Row],[customer_id]],customer[customer_id],customer[city])</f>
        <v>Bangalore</v>
      </c>
      <c r="L1199" t="str">
        <f>_xlfn.XLOOKUP(order[[#This Row],[customer_id]],customer[customer_id],customer[state])</f>
        <v>Karnataka</v>
      </c>
      <c r="M1199" t="str">
        <f>_xlfn.XLOOKUP(order[[#This Row],[product_id]],products!$A$2:$A$11,products!$B$2:$B$11)</f>
        <v>Milton Thermosteel Bottle</v>
      </c>
      <c r="N1199" s="3" t="str">
        <f>_xlfn.XLOOKUP(order[[#This Row],[product_id]],products!$A$2:$A$11,products!$C$2:$C$11)</f>
        <v>Home &amp; Kitchen</v>
      </c>
      <c r="O1199" s="3">
        <f>_xlfn.XLOOKUP(order[[#This Row],[product_id]],Table4[product_id],Table4[cost_price])</f>
        <v>800</v>
      </c>
      <c r="P1199" s="11">
        <f>_xlfn.XLOOKUP(order[[#This Row],[order_id]],shipment[order_id],shipment[ship_date])</f>
        <v>45495</v>
      </c>
      <c r="Q1199" s="11">
        <f>_xlfn.XLOOKUP(order[[#This Row],[order_id]],shipment[order_id],shipment[delivery_date])</f>
        <v>45504</v>
      </c>
      <c r="R1199" s="3" t="str">
        <f>_xlfn.XLOOKUP(order[[#This Row],[order_id]],shipment[shipment_id],shipment[courier])</f>
        <v>Ekart</v>
      </c>
      <c r="S1199" s="3">
        <f>order[[#This Row],[selling_price]]-order[[#This Row],[cost_price]]*order[[#This Row],[quantity]]-order[[#This Row],[discount]]</f>
        <v>10069</v>
      </c>
      <c r="T1199" s="3">
        <f>order[[#This Row],[quantity]]*order[[#This Row],[selling_price]]</f>
        <v>30544</v>
      </c>
    </row>
    <row r="1200" spans="1:20" x14ac:dyDescent="0.3">
      <c r="A1200">
        <v>1199</v>
      </c>
      <c r="B1200" s="11">
        <v>45404</v>
      </c>
      <c r="C1200">
        <v>179</v>
      </c>
      <c r="D1200" t="str">
        <f>_xlfn.XLOOKUP(order[[#This Row],[customer_id]],customer[customer_id],customer[customer_name])</f>
        <v>Ananya Gupta</v>
      </c>
      <c r="E1200">
        <v>204</v>
      </c>
      <c r="F1200">
        <v>2</v>
      </c>
      <c r="G1200">
        <v>8352</v>
      </c>
      <c r="H1200">
        <v>3085</v>
      </c>
      <c r="I1200" t="s">
        <v>13</v>
      </c>
      <c r="J1200" t="s">
        <v>10</v>
      </c>
      <c r="K1200" t="str">
        <f>_xlfn.XLOOKUP(order[[#This Row],[customer_id]],customer[customer_id],customer[city])</f>
        <v>Hyderabad</v>
      </c>
      <c r="L1200" t="str">
        <f>_xlfn.XLOOKUP(order[[#This Row],[customer_id]],customer[customer_id],customer[state])</f>
        <v>Telangana</v>
      </c>
      <c r="M1200" t="str">
        <f>_xlfn.XLOOKUP(order[[#This Row],[product_id]],products!$A$2:$A$11,products!$B$2:$B$11)</f>
        <v>Levi's Slim Fit Jeans</v>
      </c>
      <c r="N1200" s="3" t="str">
        <f>_xlfn.XLOOKUP(order[[#This Row],[product_id]],products!$A$2:$A$11,products!$C$2:$C$11)</f>
        <v>Fashion</v>
      </c>
      <c r="O1200" s="3">
        <f>_xlfn.XLOOKUP(order[[#This Row],[product_id]],Table4[product_id],Table4[cost_price])</f>
        <v>1800</v>
      </c>
      <c r="P1200" s="11">
        <f>_xlfn.XLOOKUP(order[[#This Row],[order_id]],shipment[order_id],shipment[ship_date])</f>
        <v>45374</v>
      </c>
      <c r="Q1200" s="11">
        <f>_xlfn.XLOOKUP(order[[#This Row],[order_id]],shipment[order_id],shipment[delivery_date])</f>
        <v>45382</v>
      </c>
      <c r="R1200" s="3" t="str">
        <f>_xlfn.XLOOKUP(order[[#This Row],[order_id]],shipment[shipment_id],shipment[courier])</f>
        <v>BlueDart</v>
      </c>
      <c r="S1200" s="3">
        <f>order[[#This Row],[selling_price]]-order[[#This Row],[cost_price]]*order[[#This Row],[quantity]]-order[[#This Row],[discount]]</f>
        <v>1667</v>
      </c>
      <c r="T1200" s="3">
        <f>order[[#This Row],[quantity]]*order[[#This Row],[selling_price]]</f>
        <v>16704</v>
      </c>
    </row>
    <row r="1201" spans="1:20" x14ac:dyDescent="0.3">
      <c r="A1201">
        <v>1053</v>
      </c>
      <c r="B1201" s="11">
        <v>45605</v>
      </c>
      <c r="C1201">
        <v>273</v>
      </c>
      <c r="D1201" t="str">
        <f>_xlfn.XLOOKUP(order[[#This Row],[customer_id]],customer[customer_id],customer[customer_name])</f>
        <v>Pooja Nair</v>
      </c>
      <c r="E1201">
        <v>209</v>
      </c>
      <c r="F1201">
        <v>2</v>
      </c>
      <c r="G1201">
        <v>1931</v>
      </c>
      <c r="H1201">
        <v>1951</v>
      </c>
      <c r="I1201" t="s">
        <v>15</v>
      </c>
      <c r="J1201" t="s">
        <v>12</v>
      </c>
      <c r="K1201" t="str">
        <f>_xlfn.XLOOKUP(order[[#This Row],[customer_id]],customer[customer_id],customer[city])</f>
        <v>Bangalore</v>
      </c>
      <c r="L1201" t="str">
        <f>_xlfn.XLOOKUP(order[[#This Row],[customer_id]],customer[customer_id],customer[state])</f>
        <v>Karnataka</v>
      </c>
      <c r="M1201" t="str">
        <f>_xlfn.XLOOKUP(order[[#This Row],[product_id]],products!$A$2:$A$11,products!$B$2:$B$11)</f>
        <v>Milton Thermosteel Bottle</v>
      </c>
      <c r="N1201" s="3" t="str">
        <f>_xlfn.XLOOKUP(order[[#This Row],[product_id]],products!$A$2:$A$11,products!$C$2:$C$11)</f>
        <v>Home &amp; Kitchen</v>
      </c>
      <c r="O1201" s="3">
        <f>_xlfn.XLOOKUP(order[[#This Row],[product_id]],Table4[product_id],Table4[cost_price])</f>
        <v>800</v>
      </c>
      <c r="P1201" s="11">
        <f>_xlfn.XLOOKUP(order[[#This Row],[order_id]],shipment[order_id],shipment[ship_date])</f>
        <v>45414</v>
      </c>
      <c r="Q1201" s="11">
        <f>_xlfn.XLOOKUP(order[[#This Row],[order_id]],shipment[order_id],shipment[delivery_date])</f>
        <v>45415</v>
      </c>
      <c r="R1201" s="3" t="str">
        <f>_xlfn.XLOOKUP(order[[#This Row],[order_id]],shipment[shipment_id],shipment[courier])</f>
        <v>Ekart</v>
      </c>
      <c r="S1201" s="3">
        <f>order[[#This Row],[selling_price]]-order[[#This Row],[cost_price]]*order[[#This Row],[quantity]]-order[[#This Row],[discount]]</f>
        <v>-1620</v>
      </c>
      <c r="T1201" s="3">
        <f>order[[#This Row],[quantity]]*order[[#This Row],[selling_price]]</f>
        <v>3862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>
      <selection activeCell="I15" sqref="I15"/>
    </sheetView>
  </sheetViews>
  <sheetFormatPr defaultRowHeight="14.4" x14ac:dyDescent="0.3"/>
  <cols>
    <col min="1" max="1" width="13.33203125" customWidth="1"/>
    <col min="2" max="2" width="16.5546875" customWidth="1"/>
    <col min="3" max="3" width="10.6640625" bestFit="1" customWidth="1"/>
    <col min="4" max="4" width="11.44140625" bestFit="1" customWidth="1"/>
    <col min="5" max="5" width="17" bestFit="1" customWidth="1"/>
  </cols>
  <sheetData>
    <row r="1" spans="1:5" x14ac:dyDescent="0.3">
      <c r="A1" t="s">
        <v>2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101</v>
      </c>
      <c r="B2" t="s">
        <v>20</v>
      </c>
      <c r="C2" t="s">
        <v>21</v>
      </c>
      <c r="D2" t="s">
        <v>22</v>
      </c>
      <c r="E2" s="1">
        <v>45347</v>
      </c>
    </row>
    <row r="3" spans="1:5" x14ac:dyDescent="0.3">
      <c r="A3">
        <v>102</v>
      </c>
      <c r="B3" t="s">
        <v>23</v>
      </c>
      <c r="C3" t="s">
        <v>24</v>
      </c>
      <c r="D3" t="s">
        <v>24</v>
      </c>
      <c r="E3" s="1">
        <v>44624</v>
      </c>
    </row>
    <row r="4" spans="1:5" x14ac:dyDescent="0.3">
      <c r="A4">
        <v>103</v>
      </c>
      <c r="B4" t="s">
        <v>25</v>
      </c>
      <c r="C4" t="s">
        <v>24</v>
      </c>
      <c r="D4" t="s">
        <v>24</v>
      </c>
      <c r="E4" s="1">
        <v>44673</v>
      </c>
    </row>
    <row r="5" spans="1:5" x14ac:dyDescent="0.3">
      <c r="A5">
        <v>104</v>
      </c>
      <c r="B5" t="s">
        <v>23</v>
      </c>
      <c r="C5" t="s">
        <v>26</v>
      </c>
      <c r="D5" t="s">
        <v>27</v>
      </c>
      <c r="E5" s="1">
        <v>45142</v>
      </c>
    </row>
    <row r="6" spans="1:5" x14ac:dyDescent="0.3">
      <c r="A6">
        <v>105</v>
      </c>
      <c r="B6" t="s">
        <v>25</v>
      </c>
      <c r="C6" t="s">
        <v>28</v>
      </c>
      <c r="D6" t="s">
        <v>29</v>
      </c>
      <c r="E6" s="1">
        <v>45253</v>
      </c>
    </row>
    <row r="7" spans="1:5" x14ac:dyDescent="0.3">
      <c r="A7">
        <v>106</v>
      </c>
      <c r="B7" t="s">
        <v>30</v>
      </c>
      <c r="C7" t="s">
        <v>28</v>
      </c>
      <c r="D7" t="s">
        <v>29</v>
      </c>
      <c r="E7" s="1">
        <v>45353</v>
      </c>
    </row>
    <row r="8" spans="1:5" x14ac:dyDescent="0.3">
      <c r="A8">
        <v>107</v>
      </c>
      <c r="B8" t="s">
        <v>30</v>
      </c>
      <c r="C8" t="s">
        <v>28</v>
      </c>
      <c r="D8" t="s">
        <v>29</v>
      </c>
      <c r="E8" s="1">
        <v>44652</v>
      </c>
    </row>
    <row r="9" spans="1:5" x14ac:dyDescent="0.3">
      <c r="A9">
        <v>108</v>
      </c>
      <c r="B9" t="s">
        <v>31</v>
      </c>
      <c r="C9" t="s">
        <v>32</v>
      </c>
      <c r="D9" t="s">
        <v>33</v>
      </c>
      <c r="E9" s="1">
        <v>44835</v>
      </c>
    </row>
    <row r="10" spans="1:5" x14ac:dyDescent="0.3">
      <c r="A10">
        <v>109</v>
      </c>
      <c r="B10" t="s">
        <v>34</v>
      </c>
      <c r="C10" t="s">
        <v>35</v>
      </c>
      <c r="D10" t="s">
        <v>36</v>
      </c>
      <c r="E10" s="1">
        <v>45003</v>
      </c>
    </row>
    <row r="11" spans="1:5" x14ac:dyDescent="0.3">
      <c r="A11">
        <v>110</v>
      </c>
      <c r="B11" t="s">
        <v>37</v>
      </c>
      <c r="C11" t="s">
        <v>24</v>
      </c>
      <c r="D11" t="s">
        <v>24</v>
      </c>
      <c r="E11" s="1">
        <v>45129</v>
      </c>
    </row>
    <row r="12" spans="1:5" x14ac:dyDescent="0.3">
      <c r="A12">
        <v>111</v>
      </c>
      <c r="B12" t="s">
        <v>38</v>
      </c>
      <c r="C12" t="s">
        <v>32</v>
      </c>
      <c r="D12" t="s">
        <v>33</v>
      </c>
      <c r="E12" s="1">
        <v>45167</v>
      </c>
    </row>
    <row r="13" spans="1:5" x14ac:dyDescent="0.3">
      <c r="A13">
        <v>112</v>
      </c>
      <c r="B13" t="s">
        <v>39</v>
      </c>
      <c r="C13" t="s">
        <v>40</v>
      </c>
      <c r="D13" t="s">
        <v>29</v>
      </c>
      <c r="E13" s="1">
        <v>45032</v>
      </c>
    </row>
    <row r="14" spans="1:5" x14ac:dyDescent="0.3">
      <c r="A14">
        <v>113</v>
      </c>
      <c r="B14" t="s">
        <v>41</v>
      </c>
      <c r="C14" t="s">
        <v>35</v>
      </c>
      <c r="D14" t="s">
        <v>36</v>
      </c>
      <c r="E14" s="1">
        <v>45069</v>
      </c>
    </row>
    <row r="15" spans="1:5" x14ac:dyDescent="0.3">
      <c r="A15">
        <v>114</v>
      </c>
      <c r="B15" t="s">
        <v>42</v>
      </c>
      <c r="C15" t="s">
        <v>26</v>
      </c>
      <c r="D15" t="s">
        <v>27</v>
      </c>
      <c r="E15" s="1">
        <v>45309</v>
      </c>
    </row>
    <row r="16" spans="1:5" x14ac:dyDescent="0.3">
      <c r="A16">
        <v>115</v>
      </c>
      <c r="B16" t="s">
        <v>39</v>
      </c>
      <c r="C16" t="s">
        <v>24</v>
      </c>
      <c r="D16" t="s">
        <v>24</v>
      </c>
      <c r="E16" s="1">
        <v>44598</v>
      </c>
    </row>
    <row r="17" spans="1:5" x14ac:dyDescent="0.3">
      <c r="A17">
        <v>116</v>
      </c>
      <c r="B17" t="s">
        <v>31</v>
      </c>
      <c r="C17" t="s">
        <v>35</v>
      </c>
      <c r="D17" t="s">
        <v>36</v>
      </c>
      <c r="E17" s="1">
        <v>44955</v>
      </c>
    </row>
    <row r="18" spans="1:5" x14ac:dyDescent="0.3">
      <c r="A18">
        <v>117</v>
      </c>
      <c r="B18" t="s">
        <v>43</v>
      </c>
      <c r="C18" t="s">
        <v>26</v>
      </c>
      <c r="D18" t="s">
        <v>27</v>
      </c>
      <c r="E18" s="1">
        <v>45278</v>
      </c>
    </row>
    <row r="19" spans="1:5" x14ac:dyDescent="0.3">
      <c r="A19">
        <v>118</v>
      </c>
      <c r="B19" t="s">
        <v>42</v>
      </c>
      <c r="C19" t="s">
        <v>28</v>
      </c>
      <c r="D19" t="s">
        <v>29</v>
      </c>
      <c r="E19" s="1">
        <v>45253</v>
      </c>
    </row>
    <row r="20" spans="1:5" x14ac:dyDescent="0.3">
      <c r="A20">
        <v>119</v>
      </c>
      <c r="B20" t="s">
        <v>30</v>
      </c>
      <c r="C20" t="s">
        <v>26</v>
      </c>
      <c r="D20" t="s">
        <v>27</v>
      </c>
      <c r="E20" s="1">
        <v>44689</v>
      </c>
    </row>
    <row r="21" spans="1:5" x14ac:dyDescent="0.3">
      <c r="A21">
        <v>120</v>
      </c>
      <c r="B21" t="s">
        <v>23</v>
      </c>
      <c r="C21" t="s">
        <v>32</v>
      </c>
      <c r="D21" t="s">
        <v>33</v>
      </c>
      <c r="E21" s="1">
        <v>45454</v>
      </c>
    </row>
    <row r="22" spans="1:5" x14ac:dyDescent="0.3">
      <c r="A22">
        <v>121</v>
      </c>
      <c r="B22" t="s">
        <v>43</v>
      </c>
      <c r="C22" t="s">
        <v>26</v>
      </c>
      <c r="D22" t="s">
        <v>27</v>
      </c>
      <c r="E22" s="1">
        <v>44740</v>
      </c>
    </row>
    <row r="23" spans="1:5" x14ac:dyDescent="0.3">
      <c r="A23">
        <v>122</v>
      </c>
      <c r="B23" t="s">
        <v>44</v>
      </c>
      <c r="C23" t="s">
        <v>35</v>
      </c>
      <c r="D23" t="s">
        <v>36</v>
      </c>
      <c r="E23" s="1">
        <v>44923</v>
      </c>
    </row>
    <row r="24" spans="1:5" x14ac:dyDescent="0.3">
      <c r="A24">
        <v>123</v>
      </c>
      <c r="B24" t="s">
        <v>42</v>
      </c>
      <c r="C24" t="s">
        <v>35</v>
      </c>
      <c r="D24" t="s">
        <v>36</v>
      </c>
      <c r="E24" s="1">
        <v>44774</v>
      </c>
    </row>
    <row r="25" spans="1:5" x14ac:dyDescent="0.3">
      <c r="A25">
        <v>124</v>
      </c>
      <c r="B25" t="s">
        <v>45</v>
      </c>
      <c r="C25" t="s">
        <v>40</v>
      </c>
      <c r="D25" t="s">
        <v>29</v>
      </c>
      <c r="E25" s="1">
        <v>44930</v>
      </c>
    </row>
    <row r="26" spans="1:5" x14ac:dyDescent="0.3">
      <c r="A26">
        <v>125</v>
      </c>
      <c r="B26" t="s">
        <v>25</v>
      </c>
      <c r="C26" t="s">
        <v>21</v>
      </c>
      <c r="D26" t="s">
        <v>22</v>
      </c>
      <c r="E26" s="1">
        <v>45149</v>
      </c>
    </row>
    <row r="27" spans="1:5" x14ac:dyDescent="0.3">
      <c r="A27">
        <v>126</v>
      </c>
      <c r="B27" t="s">
        <v>41</v>
      </c>
      <c r="C27" t="s">
        <v>40</v>
      </c>
      <c r="D27" t="s">
        <v>29</v>
      </c>
      <c r="E27" s="1">
        <v>45050</v>
      </c>
    </row>
    <row r="28" spans="1:5" x14ac:dyDescent="0.3">
      <c r="A28">
        <v>127</v>
      </c>
      <c r="B28" t="s">
        <v>45</v>
      </c>
      <c r="C28" t="s">
        <v>35</v>
      </c>
      <c r="D28" t="s">
        <v>36</v>
      </c>
      <c r="E28" s="1">
        <v>44756</v>
      </c>
    </row>
    <row r="29" spans="1:5" x14ac:dyDescent="0.3">
      <c r="A29">
        <v>128</v>
      </c>
      <c r="B29" t="s">
        <v>39</v>
      </c>
      <c r="C29" t="s">
        <v>40</v>
      </c>
      <c r="D29" t="s">
        <v>29</v>
      </c>
      <c r="E29" s="1">
        <v>44710</v>
      </c>
    </row>
    <row r="30" spans="1:5" x14ac:dyDescent="0.3">
      <c r="A30">
        <v>129</v>
      </c>
      <c r="B30" t="s">
        <v>37</v>
      </c>
      <c r="C30" t="s">
        <v>35</v>
      </c>
      <c r="D30" t="s">
        <v>36</v>
      </c>
      <c r="E30" s="1">
        <v>44886</v>
      </c>
    </row>
    <row r="31" spans="1:5" x14ac:dyDescent="0.3">
      <c r="A31">
        <v>130</v>
      </c>
      <c r="B31" t="s">
        <v>39</v>
      </c>
      <c r="C31" t="s">
        <v>40</v>
      </c>
      <c r="D31" t="s">
        <v>29</v>
      </c>
      <c r="E31" s="1">
        <v>45259</v>
      </c>
    </row>
    <row r="32" spans="1:5" x14ac:dyDescent="0.3">
      <c r="A32">
        <v>131</v>
      </c>
      <c r="B32" t="s">
        <v>39</v>
      </c>
      <c r="C32" t="s">
        <v>40</v>
      </c>
      <c r="D32" t="s">
        <v>29</v>
      </c>
      <c r="E32" s="1">
        <v>44596</v>
      </c>
    </row>
    <row r="33" spans="1:5" x14ac:dyDescent="0.3">
      <c r="A33">
        <v>132</v>
      </c>
      <c r="B33" t="s">
        <v>34</v>
      </c>
      <c r="C33" t="s">
        <v>35</v>
      </c>
      <c r="D33" t="s">
        <v>36</v>
      </c>
      <c r="E33" s="1">
        <v>44693</v>
      </c>
    </row>
    <row r="34" spans="1:5" x14ac:dyDescent="0.3">
      <c r="A34">
        <v>133</v>
      </c>
      <c r="B34" t="s">
        <v>20</v>
      </c>
      <c r="C34" t="s">
        <v>35</v>
      </c>
      <c r="D34" t="s">
        <v>36</v>
      </c>
      <c r="E34" s="1">
        <v>44719</v>
      </c>
    </row>
    <row r="35" spans="1:5" x14ac:dyDescent="0.3">
      <c r="A35">
        <v>134</v>
      </c>
      <c r="B35" t="s">
        <v>43</v>
      </c>
      <c r="C35" t="s">
        <v>35</v>
      </c>
      <c r="D35" t="s">
        <v>36</v>
      </c>
      <c r="E35" s="1">
        <v>45144</v>
      </c>
    </row>
    <row r="36" spans="1:5" x14ac:dyDescent="0.3">
      <c r="A36">
        <v>135</v>
      </c>
      <c r="B36" t="s">
        <v>20</v>
      </c>
      <c r="C36" t="s">
        <v>26</v>
      </c>
      <c r="D36" t="s">
        <v>27</v>
      </c>
      <c r="E36" s="1">
        <v>45050</v>
      </c>
    </row>
    <row r="37" spans="1:5" x14ac:dyDescent="0.3">
      <c r="A37">
        <v>136</v>
      </c>
      <c r="B37" t="s">
        <v>41</v>
      </c>
      <c r="C37" t="s">
        <v>35</v>
      </c>
      <c r="D37" t="s">
        <v>36</v>
      </c>
      <c r="E37" s="1">
        <v>44661</v>
      </c>
    </row>
    <row r="38" spans="1:5" x14ac:dyDescent="0.3">
      <c r="A38">
        <v>137</v>
      </c>
      <c r="B38" t="s">
        <v>42</v>
      </c>
      <c r="C38" t="s">
        <v>24</v>
      </c>
      <c r="D38" t="s">
        <v>24</v>
      </c>
      <c r="E38" s="1">
        <v>45168</v>
      </c>
    </row>
    <row r="39" spans="1:5" x14ac:dyDescent="0.3">
      <c r="A39">
        <v>138</v>
      </c>
      <c r="B39" t="s">
        <v>34</v>
      </c>
      <c r="C39" t="s">
        <v>21</v>
      </c>
      <c r="D39" t="s">
        <v>22</v>
      </c>
      <c r="E39" s="1">
        <v>45419</v>
      </c>
    </row>
    <row r="40" spans="1:5" x14ac:dyDescent="0.3">
      <c r="A40">
        <v>139</v>
      </c>
      <c r="B40" t="s">
        <v>45</v>
      </c>
      <c r="C40" t="s">
        <v>21</v>
      </c>
      <c r="D40" t="s">
        <v>22</v>
      </c>
      <c r="E40" s="1">
        <v>45347</v>
      </c>
    </row>
    <row r="41" spans="1:5" x14ac:dyDescent="0.3">
      <c r="A41">
        <v>140</v>
      </c>
      <c r="B41" t="s">
        <v>45</v>
      </c>
      <c r="C41" t="s">
        <v>21</v>
      </c>
      <c r="D41" t="s">
        <v>22</v>
      </c>
      <c r="E41" s="1">
        <v>44595</v>
      </c>
    </row>
    <row r="42" spans="1:5" x14ac:dyDescent="0.3">
      <c r="A42">
        <v>141</v>
      </c>
      <c r="B42" t="s">
        <v>45</v>
      </c>
      <c r="C42" t="s">
        <v>32</v>
      </c>
      <c r="D42" t="s">
        <v>33</v>
      </c>
      <c r="E42" s="1">
        <v>45325</v>
      </c>
    </row>
    <row r="43" spans="1:5" x14ac:dyDescent="0.3">
      <c r="A43">
        <v>142</v>
      </c>
      <c r="B43" t="s">
        <v>37</v>
      </c>
      <c r="C43" t="s">
        <v>28</v>
      </c>
      <c r="D43" t="s">
        <v>29</v>
      </c>
      <c r="E43" s="1">
        <v>44878</v>
      </c>
    </row>
    <row r="44" spans="1:5" x14ac:dyDescent="0.3">
      <c r="A44">
        <v>143</v>
      </c>
      <c r="B44" t="s">
        <v>42</v>
      </c>
      <c r="C44" t="s">
        <v>35</v>
      </c>
      <c r="D44" t="s">
        <v>36</v>
      </c>
      <c r="E44" s="1">
        <v>45319</v>
      </c>
    </row>
    <row r="45" spans="1:5" x14ac:dyDescent="0.3">
      <c r="A45">
        <v>144</v>
      </c>
      <c r="B45" t="s">
        <v>44</v>
      </c>
      <c r="C45" t="s">
        <v>26</v>
      </c>
      <c r="D45" t="s">
        <v>27</v>
      </c>
      <c r="E45" s="1">
        <v>45219</v>
      </c>
    </row>
    <row r="46" spans="1:5" x14ac:dyDescent="0.3">
      <c r="A46">
        <v>145</v>
      </c>
      <c r="B46" t="s">
        <v>41</v>
      </c>
      <c r="C46" t="s">
        <v>32</v>
      </c>
      <c r="D46" t="s">
        <v>33</v>
      </c>
      <c r="E46" s="1">
        <v>45386</v>
      </c>
    </row>
    <row r="47" spans="1:5" x14ac:dyDescent="0.3">
      <c r="A47">
        <v>146</v>
      </c>
      <c r="B47" t="s">
        <v>39</v>
      </c>
      <c r="C47" t="s">
        <v>35</v>
      </c>
      <c r="D47" t="s">
        <v>36</v>
      </c>
      <c r="E47" s="1">
        <v>44612</v>
      </c>
    </row>
    <row r="48" spans="1:5" x14ac:dyDescent="0.3">
      <c r="A48">
        <v>147</v>
      </c>
      <c r="B48" t="s">
        <v>44</v>
      </c>
      <c r="C48" t="s">
        <v>24</v>
      </c>
      <c r="D48" t="s">
        <v>24</v>
      </c>
      <c r="E48" s="1">
        <v>44615</v>
      </c>
    </row>
    <row r="49" spans="1:5" x14ac:dyDescent="0.3">
      <c r="A49">
        <v>148</v>
      </c>
      <c r="B49" t="s">
        <v>46</v>
      </c>
      <c r="C49" t="s">
        <v>21</v>
      </c>
      <c r="D49" t="s">
        <v>22</v>
      </c>
      <c r="E49" s="1">
        <v>44590</v>
      </c>
    </row>
    <row r="50" spans="1:5" x14ac:dyDescent="0.3">
      <c r="A50">
        <v>149</v>
      </c>
      <c r="B50" t="s">
        <v>46</v>
      </c>
      <c r="C50" t="s">
        <v>24</v>
      </c>
      <c r="D50" t="s">
        <v>24</v>
      </c>
      <c r="E50" s="1">
        <v>45318</v>
      </c>
    </row>
    <row r="51" spans="1:5" x14ac:dyDescent="0.3">
      <c r="A51">
        <v>150</v>
      </c>
      <c r="B51" t="s">
        <v>25</v>
      </c>
      <c r="C51" t="s">
        <v>40</v>
      </c>
      <c r="D51" t="s">
        <v>29</v>
      </c>
      <c r="E51" s="1">
        <v>45355</v>
      </c>
    </row>
    <row r="52" spans="1:5" x14ac:dyDescent="0.3">
      <c r="A52">
        <v>151</v>
      </c>
      <c r="B52" t="s">
        <v>45</v>
      </c>
      <c r="C52" t="s">
        <v>28</v>
      </c>
      <c r="D52" t="s">
        <v>29</v>
      </c>
      <c r="E52" s="1">
        <v>45355</v>
      </c>
    </row>
    <row r="53" spans="1:5" x14ac:dyDescent="0.3">
      <c r="A53">
        <v>152</v>
      </c>
      <c r="B53" t="s">
        <v>20</v>
      </c>
      <c r="C53" t="s">
        <v>26</v>
      </c>
      <c r="D53" t="s">
        <v>27</v>
      </c>
      <c r="E53" s="1">
        <v>45369</v>
      </c>
    </row>
    <row r="54" spans="1:5" x14ac:dyDescent="0.3">
      <c r="A54">
        <v>153</v>
      </c>
      <c r="B54" t="s">
        <v>41</v>
      </c>
      <c r="C54" t="s">
        <v>32</v>
      </c>
      <c r="D54" t="s">
        <v>33</v>
      </c>
      <c r="E54" s="1">
        <v>45395</v>
      </c>
    </row>
    <row r="55" spans="1:5" x14ac:dyDescent="0.3">
      <c r="A55">
        <v>154</v>
      </c>
      <c r="B55" t="s">
        <v>20</v>
      </c>
      <c r="C55" t="s">
        <v>35</v>
      </c>
      <c r="D55" t="s">
        <v>36</v>
      </c>
      <c r="E55" s="1">
        <v>45206</v>
      </c>
    </row>
    <row r="56" spans="1:5" x14ac:dyDescent="0.3">
      <c r="A56">
        <v>155</v>
      </c>
      <c r="B56" t="s">
        <v>39</v>
      </c>
      <c r="C56" t="s">
        <v>28</v>
      </c>
      <c r="D56" t="s">
        <v>29</v>
      </c>
      <c r="E56" s="1">
        <v>44632</v>
      </c>
    </row>
    <row r="57" spans="1:5" x14ac:dyDescent="0.3">
      <c r="A57">
        <v>156</v>
      </c>
      <c r="B57" t="s">
        <v>31</v>
      </c>
      <c r="C57" t="s">
        <v>26</v>
      </c>
      <c r="D57" t="s">
        <v>27</v>
      </c>
      <c r="E57" s="1">
        <v>44915</v>
      </c>
    </row>
    <row r="58" spans="1:5" x14ac:dyDescent="0.3">
      <c r="A58">
        <v>157</v>
      </c>
      <c r="B58" t="s">
        <v>43</v>
      </c>
      <c r="C58" t="s">
        <v>28</v>
      </c>
      <c r="D58" t="s">
        <v>29</v>
      </c>
      <c r="E58" s="1">
        <v>45135</v>
      </c>
    </row>
    <row r="59" spans="1:5" x14ac:dyDescent="0.3">
      <c r="A59">
        <v>158</v>
      </c>
      <c r="B59" t="s">
        <v>25</v>
      </c>
      <c r="C59" t="s">
        <v>24</v>
      </c>
      <c r="D59" t="s">
        <v>24</v>
      </c>
      <c r="E59" s="1">
        <v>44924</v>
      </c>
    </row>
    <row r="60" spans="1:5" x14ac:dyDescent="0.3">
      <c r="A60">
        <v>159</v>
      </c>
      <c r="B60" t="s">
        <v>45</v>
      </c>
      <c r="C60" t="s">
        <v>32</v>
      </c>
      <c r="D60" t="s">
        <v>33</v>
      </c>
      <c r="E60" s="1">
        <v>45352</v>
      </c>
    </row>
    <row r="61" spans="1:5" x14ac:dyDescent="0.3">
      <c r="A61">
        <v>160</v>
      </c>
      <c r="B61" t="s">
        <v>31</v>
      </c>
      <c r="C61" t="s">
        <v>24</v>
      </c>
      <c r="D61" t="s">
        <v>24</v>
      </c>
      <c r="E61" s="1">
        <v>45322</v>
      </c>
    </row>
    <row r="62" spans="1:5" x14ac:dyDescent="0.3">
      <c r="A62">
        <v>161</v>
      </c>
      <c r="B62" t="s">
        <v>31</v>
      </c>
      <c r="C62" t="s">
        <v>35</v>
      </c>
      <c r="D62" t="s">
        <v>36</v>
      </c>
      <c r="E62" s="1">
        <v>44776</v>
      </c>
    </row>
    <row r="63" spans="1:5" x14ac:dyDescent="0.3">
      <c r="A63">
        <v>162</v>
      </c>
      <c r="B63" t="s">
        <v>42</v>
      </c>
      <c r="C63" t="s">
        <v>32</v>
      </c>
      <c r="D63" t="s">
        <v>33</v>
      </c>
      <c r="E63" s="1">
        <v>44744</v>
      </c>
    </row>
    <row r="64" spans="1:5" x14ac:dyDescent="0.3">
      <c r="A64">
        <v>163</v>
      </c>
      <c r="B64" t="s">
        <v>42</v>
      </c>
      <c r="C64" t="s">
        <v>21</v>
      </c>
      <c r="D64" t="s">
        <v>22</v>
      </c>
      <c r="E64" s="1">
        <v>44762</v>
      </c>
    </row>
    <row r="65" spans="1:5" x14ac:dyDescent="0.3">
      <c r="A65">
        <v>164</v>
      </c>
      <c r="B65" t="s">
        <v>30</v>
      </c>
      <c r="C65" t="s">
        <v>32</v>
      </c>
      <c r="D65" t="s">
        <v>33</v>
      </c>
      <c r="E65" s="1">
        <v>45261</v>
      </c>
    </row>
    <row r="66" spans="1:5" x14ac:dyDescent="0.3">
      <c r="A66">
        <v>165</v>
      </c>
      <c r="B66" t="s">
        <v>38</v>
      </c>
      <c r="C66" t="s">
        <v>28</v>
      </c>
      <c r="D66" t="s">
        <v>29</v>
      </c>
      <c r="E66" s="1">
        <v>44960</v>
      </c>
    </row>
    <row r="67" spans="1:5" x14ac:dyDescent="0.3">
      <c r="A67">
        <v>166</v>
      </c>
      <c r="B67" t="s">
        <v>41</v>
      </c>
      <c r="C67" t="s">
        <v>28</v>
      </c>
      <c r="D67" t="s">
        <v>29</v>
      </c>
      <c r="E67" s="1">
        <v>45411</v>
      </c>
    </row>
    <row r="68" spans="1:5" x14ac:dyDescent="0.3">
      <c r="A68">
        <v>167</v>
      </c>
      <c r="B68" t="s">
        <v>39</v>
      </c>
      <c r="C68" t="s">
        <v>32</v>
      </c>
      <c r="D68" t="s">
        <v>33</v>
      </c>
      <c r="E68" s="1">
        <v>45457</v>
      </c>
    </row>
    <row r="69" spans="1:5" x14ac:dyDescent="0.3">
      <c r="A69">
        <v>168</v>
      </c>
      <c r="B69" t="s">
        <v>31</v>
      </c>
      <c r="C69" t="s">
        <v>40</v>
      </c>
      <c r="D69" t="s">
        <v>29</v>
      </c>
      <c r="E69" s="1">
        <v>45425</v>
      </c>
    </row>
    <row r="70" spans="1:5" x14ac:dyDescent="0.3">
      <c r="A70">
        <v>169</v>
      </c>
      <c r="B70" t="s">
        <v>25</v>
      </c>
      <c r="C70" t="s">
        <v>32</v>
      </c>
      <c r="D70" t="s">
        <v>33</v>
      </c>
      <c r="E70" s="1">
        <v>45102</v>
      </c>
    </row>
    <row r="71" spans="1:5" x14ac:dyDescent="0.3">
      <c r="A71">
        <v>170</v>
      </c>
      <c r="B71" t="s">
        <v>39</v>
      </c>
      <c r="C71" t="s">
        <v>28</v>
      </c>
      <c r="D71" t="s">
        <v>29</v>
      </c>
      <c r="E71" s="1">
        <v>45167</v>
      </c>
    </row>
    <row r="72" spans="1:5" x14ac:dyDescent="0.3">
      <c r="A72">
        <v>171</v>
      </c>
      <c r="B72" t="s">
        <v>25</v>
      </c>
      <c r="C72" t="s">
        <v>28</v>
      </c>
      <c r="D72" t="s">
        <v>29</v>
      </c>
      <c r="E72" s="1">
        <v>45254</v>
      </c>
    </row>
    <row r="73" spans="1:5" x14ac:dyDescent="0.3">
      <c r="A73">
        <v>172</v>
      </c>
      <c r="B73" t="s">
        <v>30</v>
      </c>
      <c r="C73" t="s">
        <v>40</v>
      </c>
      <c r="D73" t="s">
        <v>29</v>
      </c>
      <c r="E73" s="1">
        <v>44745</v>
      </c>
    </row>
    <row r="74" spans="1:5" x14ac:dyDescent="0.3">
      <c r="A74">
        <v>173</v>
      </c>
      <c r="B74" t="s">
        <v>38</v>
      </c>
      <c r="C74" t="s">
        <v>32</v>
      </c>
      <c r="D74" t="s">
        <v>33</v>
      </c>
      <c r="E74" s="1">
        <v>45198</v>
      </c>
    </row>
    <row r="75" spans="1:5" x14ac:dyDescent="0.3">
      <c r="A75">
        <v>174</v>
      </c>
      <c r="B75" t="s">
        <v>43</v>
      </c>
      <c r="C75" t="s">
        <v>24</v>
      </c>
      <c r="D75" t="s">
        <v>24</v>
      </c>
      <c r="E75" s="1">
        <v>45278</v>
      </c>
    </row>
    <row r="76" spans="1:5" x14ac:dyDescent="0.3">
      <c r="A76">
        <v>175</v>
      </c>
      <c r="B76" t="s">
        <v>23</v>
      </c>
      <c r="C76" t="s">
        <v>32</v>
      </c>
      <c r="D76" t="s">
        <v>33</v>
      </c>
      <c r="E76" s="1">
        <v>44923</v>
      </c>
    </row>
    <row r="77" spans="1:5" x14ac:dyDescent="0.3">
      <c r="A77">
        <v>176</v>
      </c>
      <c r="B77" t="s">
        <v>20</v>
      </c>
      <c r="C77" t="s">
        <v>28</v>
      </c>
      <c r="D77" t="s">
        <v>29</v>
      </c>
      <c r="E77" s="1">
        <v>44923</v>
      </c>
    </row>
    <row r="78" spans="1:5" x14ac:dyDescent="0.3">
      <c r="A78">
        <v>177</v>
      </c>
      <c r="B78" t="s">
        <v>44</v>
      </c>
      <c r="C78" t="s">
        <v>32</v>
      </c>
      <c r="D78" t="s">
        <v>33</v>
      </c>
      <c r="E78" s="1">
        <v>45428</v>
      </c>
    </row>
    <row r="79" spans="1:5" x14ac:dyDescent="0.3">
      <c r="A79">
        <v>178</v>
      </c>
      <c r="B79" t="s">
        <v>41</v>
      </c>
      <c r="C79" t="s">
        <v>35</v>
      </c>
      <c r="D79" t="s">
        <v>36</v>
      </c>
      <c r="E79" s="1">
        <v>44681</v>
      </c>
    </row>
    <row r="80" spans="1:5" x14ac:dyDescent="0.3">
      <c r="A80">
        <v>179</v>
      </c>
      <c r="B80" t="s">
        <v>42</v>
      </c>
      <c r="C80" t="s">
        <v>35</v>
      </c>
      <c r="D80" t="s">
        <v>36</v>
      </c>
      <c r="E80" s="1">
        <v>45367</v>
      </c>
    </row>
    <row r="81" spans="1:5" x14ac:dyDescent="0.3">
      <c r="A81">
        <v>180</v>
      </c>
      <c r="B81" t="s">
        <v>39</v>
      </c>
      <c r="C81" t="s">
        <v>35</v>
      </c>
      <c r="D81" t="s">
        <v>36</v>
      </c>
      <c r="E81" s="1">
        <v>45293</v>
      </c>
    </row>
    <row r="82" spans="1:5" x14ac:dyDescent="0.3">
      <c r="A82">
        <v>181</v>
      </c>
      <c r="B82" t="s">
        <v>20</v>
      </c>
      <c r="C82" t="s">
        <v>24</v>
      </c>
      <c r="D82" t="s">
        <v>24</v>
      </c>
      <c r="E82" s="1">
        <v>45076</v>
      </c>
    </row>
    <row r="83" spans="1:5" x14ac:dyDescent="0.3">
      <c r="A83">
        <v>182</v>
      </c>
      <c r="B83" t="s">
        <v>41</v>
      </c>
      <c r="C83" t="s">
        <v>24</v>
      </c>
      <c r="D83" t="s">
        <v>24</v>
      </c>
      <c r="E83" s="1">
        <v>45460</v>
      </c>
    </row>
    <row r="84" spans="1:5" x14ac:dyDescent="0.3">
      <c r="A84">
        <v>183</v>
      </c>
      <c r="B84" t="s">
        <v>43</v>
      </c>
      <c r="C84" t="s">
        <v>26</v>
      </c>
      <c r="D84" t="s">
        <v>27</v>
      </c>
      <c r="E84" s="1">
        <v>44888</v>
      </c>
    </row>
    <row r="85" spans="1:5" x14ac:dyDescent="0.3">
      <c r="A85">
        <v>184</v>
      </c>
      <c r="B85" t="s">
        <v>31</v>
      </c>
      <c r="C85" t="s">
        <v>24</v>
      </c>
      <c r="D85" t="s">
        <v>24</v>
      </c>
      <c r="E85" s="1">
        <v>44806</v>
      </c>
    </row>
    <row r="86" spans="1:5" x14ac:dyDescent="0.3">
      <c r="A86">
        <v>185</v>
      </c>
      <c r="B86" t="s">
        <v>46</v>
      </c>
      <c r="C86" t="s">
        <v>28</v>
      </c>
      <c r="D86" t="s">
        <v>29</v>
      </c>
      <c r="E86" s="1">
        <v>45031</v>
      </c>
    </row>
    <row r="87" spans="1:5" x14ac:dyDescent="0.3">
      <c r="A87">
        <v>186</v>
      </c>
      <c r="B87" t="s">
        <v>41</v>
      </c>
      <c r="C87" t="s">
        <v>40</v>
      </c>
      <c r="D87" t="s">
        <v>29</v>
      </c>
      <c r="E87" s="1">
        <v>44597</v>
      </c>
    </row>
    <row r="88" spans="1:5" x14ac:dyDescent="0.3">
      <c r="A88">
        <v>187</v>
      </c>
      <c r="B88" t="s">
        <v>30</v>
      </c>
      <c r="C88" t="s">
        <v>32</v>
      </c>
      <c r="D88" t="s">
        <v>33</v>
      </c>
      <c r="E88" s="1">
        <v>44905</v>
      </c>
    </row>
    <row r="89" spans="1:5" x14ac:dyDescent="0.3">
      <c r="A89">
        <v>188</v>
      </c>
      <c r="B89" t="s">
        <v>34</v>
      </c>
      <c r="C89" t="s">
        <v>28</v>
      </c>
      <c r="D89" t="s">
        <v>29</v>
      </c>
      <c r="E89" s="1">
        <v>45378</v>
      </c>
    </row>
    <row r="90" spans="1:5" x14ac:dyDescent="0.3">
      <c r="A90">
        <v>189</v>
      </c>
      <c r="B90" t="s">
        <v>46</v>
      </c>
      <c r="C90" t="s">
        <v>26</v>
      </c>
      <c r="D90" t="s">
        <v>27</v>
      </c>
      <c r="E90" s="1">
        <v>44896</v>
      </c>
    </row>
    <row r="91" spans="1:5" x14ac:dyDescent="0.3">
      <c r="A91">
        <v>190</v>
      </c>
      <c r="B91" t="s">
        <v>38</v>
      </c>
      <c r="C91" t="s">
        <v>35</v>
      </c>
      <c r="D91" t="s">
        <v>36</v>
      </c>
      <c r="E91" s="1">
        <v>44599</v>
      </c>
    </row>
    <row r="92" spans="1:5" x14ac:dyDescent="0.3">
      <c r="A92">
        <v>191</v>
      </c>
      <c r="B92" t="s">
        <v>44</v>
      </c>
      <c r="C92" t="s">
        <v>28</v>
      </c>
      <c r="D92" t="s">
        <v>29</v>
      </c>
      <c r="E92" s="1">
        <v>44588</v>
      </c>
    </row>
    <row r="93" spans="1:5" x14ac:dyDescent="0.3">
      <c r="A93">
        <v>192</v>
      </c>
      <c r="B93" t="s">
        <v>34</v>
      </c>
      <c r="C93" t="s">
        <v>24</v>
      </c>
      <c r="D93" t="s">
        <v>24</v>
      </c>
      <c r="E93" s="1">
        <v>44808</v>
      </c>
    </row>
    <row r="94" spans="1:5" x14ac:dyDescent="0.3">
      <c r="A94">
        <v>193</v>
      </c>
      <c r="B94" t="s">
        <v>25</v>
      </c>
      <c r="C94" t="s">
        <v>40</v>
      </c>
      <c r="D94" t="s">
        <v>29</v>
      </c>
      <c r="E94" s="1">
        <v>44673</v>
      </c>
    </row>
    <row r="95" spans="1:5" x14ac:dyDescent="0.3">
      <c r="A95">
        <v>194</v>
      </c>
      <c r="B95" t="s">
        <v>45</v>
      </c>
      <c r="C95" t="s">
        <v>24</v>
      </c>
      <c r="D95" t="s">
        <v>24</v>
      </c>
      <c r="E95" s="1">
        <v>45432</v>
      </c>
    </row>
    <row r="96" spans="1:5" x14ac:dyDescent="0.3">
      <c r="A96">
        <v>195</v>
      </c>
      <c r="B96" t="s">
        <v>37</v>
      </c>
      <c r="C96" t="s">
        <v>26</v>
      </c>
      <c r="D96" t="s">
        <v>27</v>
      </c>
      <c r="E96" s="1">
        <v>45326</v>
      </c>
    </row>
    <row r="97" spans="1:5" x14ac:dyDescent="0.3">
      <c r="A97">
        <v>196</v>
      </c>
      <c r="B97" t="s">
        <v>30</v>
      </c>
      <c r="C97" t="s">
        <v>28</v>
      </c>
      <c r="D97" t="s">
        <v>29</v>
      </c>
      <c r="E97" s="1">
        <v>44639</v>
      </c>
    </row>
    <row r="98" spans="1:5" x14ac:dyDescent="0.3">
      <c r="A98">
        <v>197</v>
      </c>
      <c r="B98" t="s">
        <v>45</v>
      </c>
      <c r="C98" t="s">
        <v>24</v>
      </c>
      <c r="D98" t="s">
        <v>24</v>
      </c>
      <c r="E98" s="1">
        <v>44967</v>
      </c>
    </row>
    <row r="99" spans="1:5" x14ac:dyDescent="0.3">
      <c r="A99">
        <v>198</v>
      </c>
      <c r="B99" t="s">
        <v>42</v>
      </c>
      <c r="C99" t="s">
        <v>26</v>
      </c>
      <c r="D99" t="s">
        <v>27</v>
      </c>
      <c r="E99" s="1">
        <v>44735</v>
      </c>
    </row>
    <row r="100" spans="1:5" x14ac:dyDescent="0.3">
      <c r="A100">
        <v>199</v>
      </c>
      <c r="B100" t="s">
        <v>23</v>
      </c>
      <c r="C100" t="s">
        <v>32</v>
      </c>
      <c r="D100" t="s">
        <v>33</v>
      </c>
      <c r="E100" s="1">
        <v>45263</v>
      </c>
    </row>
    <row r="101" spans="1:5" x14ac:dyDescent="0.3">
      <c r="A101">
        <v>200</v>
      </c>
      <c r="B101" t="s">
        <v>34</v>
      </c>
      <c r="C101" t="s">
        <v>35</v>
      </c>
      <c r="D101" t="s">
        <v>36</v>
      </c>
      <c r="E101" s="1">
        <v>45080</v>
      </c>
    </row>
    <row r="102" spans="1:5" x14ac:dyDescent="0.3">
      <c r="A102">
        <v>201</v>
      </c>
      <c r="B102" t="s">
        <v>38</v>
      </c>
      <c r="C102" t="s">
        <v>35</v>
      </c>
      <c r="D102" t="s">
        <v>36</v>
      </c>
      <c r="E102" s="1">
        <v>44791</v>
      </c>
    </row>
    <row r="103" spans="1:5" x14ac:dyDescent="0.3">
      <c r="A103">
        <v>202</v>
      </c>
      <c r="B103" t="s">
        <v>41</v>
      </c>
      <c r="C103" t="s">
        <v>21</v>
      </c>
      <c r="D103" t="s">
        <v>22</v>
      </c>
      <c r="E103" s="1">
        <v>45347</v>
      </c>
    </row>
    <row r="104" spans="1:5" x14ac:dyDescent="0.3">
      <c r="A104">
        <v>203</v>
      </c>
      <c r="B104" t="s">
        <v>25</v>
      </c>
      <c r="C104" t="s">
        <v>24</v>
      </c>
      <c r="D104" t="s">
        <v>24</v>
      </c>
      <c r="E104" s="1">
        <v>45069</v>
      </c>
    </row>
    <row r="105" spans="1:5" x14ac:dyDescent="0.3">
      <c r="A105">
        <v>204</v>
      </c>
      <c r="B105" t="s">
        <v>41</v>
      </c>
      <c r="C105" t="s">
        <v>40</v>
      </c>
      <c r="D105" t="s">
        <v>29</v>
      </c>
      <c r="E105" s="1">
        <v>44706</v>
      </c>
    </row>
    <row r="106" spans="1:5" x14ac:dyDescent="0.3">
      <c r="A106">
        <v>205</v>
      </c>
      <c r="B106" t="s">
        <v>39</v>
      </c>
      <c r="C106" t="s">
        <v>35</v>
      </c>
      <c r="D106" t="s">
        <v>36</v>
      </c>
      <c r="E106" s="1">
        <v>45415</v>
      </c>
    </row>
    <row r="107" spans="1:5" x14ac:dyDescent="0.3">
      <c r="A107">
        <v>206</v>
      </c>
      <c r="B107" t="s">
        <v>42</v>
      </c>
      <c r="C107" t="s">
        <v>21</v>
      </c>
      <c r="D107" t="s">
        <v>22</v>
      </c>
      <c r="E107" s="1">
        <v>44935</v>
      </c>
    </row>
    <row r="108" spans="1:5" x14ac:dyDescent="0.3">
      <c r="A108">
        <v>207</v>
      </c>
      <c r="B108" t="s">
        <v>45</v>
      </c>
      <c r="C108" t="s">
        <v>40</v>
      </c>
      <c r="D108" t="s">
        <v>29</v>
      </c>
      <c r="E108" s="1">
        <v>45395</v>
      </c>
    </row>
    <row r="109" spans="1:5" x14ac:dyDescent="0.3">
      <c r="A109">
        <v>208</v>
      </c>
      <c r="B109" t="s">
        <v>31</v>
      </c>
      <c r="C109" t="s">
        <v>40</v>
      </c>
      <c r="D109" t="s">
        <v>29</v>
      </c>
      <c r="E109" s="1">
        <v>45132</v>
      </c>
    </row>
    <row r="110" spans="1:5" x14ac:dyDescent="0.3">
      <c r="A110">
        <v>209</v>
      </c>
      <c r="B110" t="s">
        <v>45</v>
      </c>
      <c r="C110" t="s">
        <v>40</v>
      </c>
      <c r="D110" t="s">
        <v>29</v>
      </c>
      <c r="E110" s="1">
        <v>45190</v>
      </c>
    </row>
    <row r="111" spans="1:5" x14ac:dyDescent="0.3">
      <c r="A111">
        <v>210</v>
      </c>
      <c r="B111" t="s">
        <v>45</v>
      </c>
      <c r="C111" t="s">
        <v>26</v>
      </c>
      <c r="D111" t="s">
        <v>27</v>
      </c>
      <c r="E111" s="1">
        <v>45220</v>
      </c>
    </row>
    <row r="112" spans="1:5" x14ac:dyDescent="0.3">
      <c r="A112">
        <v>211</v>
      </c>
      <c r="B112" t="s">
        <v>23</v>
      </c>
      <c r="C112" t="s">
        <v>32</v>
      </c>
      <c r="D112" t="s">
        <v>33</v>
      </c>
      <c r="E112" s="1">
        <v>45222</v>
      </c>
    </row>
    <row r="113" spans="1:5" x14ac:dyDescent="0.3">
      <c r="A113">
        <v>212</v>
      </c>
      <c r="B113" t="s">
        <v>25</v>
      </c>
      <c r="C113" t="s">
        <v>32</v>
      </c>
      <c r="D113" t="s">
        <v>33</v>
      </c>
      <c r="E113" s="1">
        <v>45235</v>
      </c>
    </row>
    <row r="114" spans="1:5" x14ac:dyDescent="0.3">
      <c r="A114">
        <v>213</v>
      </c>
      <c r="B114" t="s">
        <v>31</v>
      </c>
      <c r="C114" t="s">
        <v>32</v>
      </c>
      <c r="D114" t="s">
        <v>33</v>
      </c>
      <c r="E114" s="1">
        <v>44785</v>
      </c>
    </row>
    <row r="115" spans="1:5" x14ac:dyDescent="0.3">
      <c r="A115">
        <v>214</v>
      </c>
      <c r="B115" t="s">
        <v>38</v>
      </c>
      <c r="C115" t="s">
        <v>40</v>
      </c>
      <c r="D115" t="s">
        <v>29</v>
      </c>
      <c r="E115" s="1">
        <v>45266</v>
      </c>
    </row>
    <row r="116" spans="1:5" x14ac:dyDescent="0.3">
      <c r="A116">
        <v>215</v>
      </c>
      <c r="B116" t="s">
        <v>44</v>
      </c>
      <c r="C116" t="s">
        <v>21</v>
      </c>
      <c r="D116" t="s">
        <v>22</v>
      </c>
      <c r="E116" s="1">
        <v>44906</v>
      </c>
    </row>
    <row r="117" spans="1:5" x14ac:dyDescent="0.3">
      <c r="A117">
        <v>216</v>
      </c>
      <c r="B117" t="s">
        <v>46</v>
      </c>
      <c r="C117" t="s">
        <v>28</v>
      </c>
      <c r="D117" t="s">
        <v>29</v>
      </c>
      <c r="E117" s="1">
        <v>45178</v>
      </c>
    </row>
    <row r="118" spans="1:5" x14ac:dyDescent="0.3">
      <c r="A118">
        <v>217</v>
      </c>
      <c r="B118" t="s">
        <v>37</v>
      </c>
      <c r="C118" t="s">
        <v>24</v>
      </c>
      <c r="D118" t="s">
        <v>24</v>
      </c>
      <c r="E118" s="1">
        <v>45340</v>
      </c>
    </row>
    <row r="119" spans="1:5" x14ac:dyDescent="0.3">
      <c r="A119">
        <v>218</v>
      </c>
      <c r="B119" t="s">
        <v>20</v>
      </c>
      <c r="C119" t="s">
        <v>24</v>
      </c>
      <c r="D119" t="s">
        <v>24</v>
      </c>
      <c r="E119" s="1">
        <v>44793</v>
      </c>
    </row>
    <row r="120" spans="1:5" x14ac:dyDescent="0.3">
      <c r="A120">
        <v>219</v>
      </c>
      <c r="B120" t="s">
        <v>41</v>
      </c>
      <c r="C120" t="s">
        <v>26</v>
      </c>
      <c r="D120" t="s">
        <v>27</v>
      </c>
      <c r="E120" s="1">
        <v>44630</v>
      </c>
    </row>
    <row r="121" spans="1:5" x14ac:dyDescent="0.3">
      <c r="A121">
        <v>220</v>
      </c>
      <c r="B121" t="s">
        <v>37</v>
      </c>
      <c r="C121" t="s">
        <v>21</v>
      </c>
      <c r="D121" t="s">
        <v>22</v>
      </c>
      <c r="E121" s="1">
        <v>44836</v>
      </c>
    </row>
    <row r="122" spans="1:5" x14ac:dyDescent="0.3">
      <c r="A122">
        <v>221</v>
      </c>
      <c r="B122" t="s">
        <v>20</v>
      </c>
      <c r="C122" t="s">
        <v>26</v>
      </c>
      <c r="D122" t="s">
        <v>27</v>
      </c>
      <c r="E122" s="1">
        <v>44855</v>
      </c>
    </row>
    <row r="123" spans="1:5" x14ac:dyDescent="0.3">
      <c r="A123">
        <v>222</v>
      </c>
      <c r="B123" t="s">
        <v>42</v>
      </c>
      <c r="C123" t="s">
        <v>21</v>
      </c>
      <c r="D123" t="s">
        <v>22</v>
      </c>
      <c r="E123" s="1">
        <v>45342</v>
      </c>
    </row>
    <row r="124" spans="1:5" x14ac:dyDescent="0.3">
      <c r="A124">
        <v>223</v>
      </c>
      <c r="B124" t="s">
        <v>20</v>
      </c>
      <c r="C124" t="s">
        <v>24</v>
      </c>
      <c r="D124" t="s">
        <v>24</v>
      </c>
      <c r="E124" s="1">
        <v>44741</v>
      </c>
    </row>
    <row r="125" spans="1:5" x14ac:dyDescent="0.3">
      <c r="A125">
        <v>224</v>
      </c>
      <c r="B125" t="s">
        <v>42</v>
      </c>
      <c r="C125" t="s">
        <v>24</v>
      </c>
      <c r="D125" t="s">
        <v>24</v>
      </c>
      <c r="E125" s="1">
        <v>44748</v>
      </c>
    </row>
    <row r="126" spans="1:5" x14ac:dyDescent="0.3">
      <c r="A126">
        <v>225</v>
      </c>
      <c r="B126" t="s">
        <v>23</v>
      </c>
      <c r="C126" t="s">
        <v>26</v>
      </c>
      <c r="D126" t="s">
        <v>27</v>
      </c>
      <c r="E126" s="1">
        <v>44935</v>
      </c>
    </row>
    <row r="127" spans="1:5" x14ac:dyDescent="0.3">
      <c r="A127">
        <v>226</v>
      </c>
      <c r="B127" t="s">
        <v>37</v>
      </c>
      <c r="C127" t="s">
        <v>26</v>
      </c>
      <c r="D127" t="s">
        <v>27</v>
      </c>
      <c r="E127" s="1">
        <v>44630</v>
      </c>
    </row>
    <row r="128" spans="1:5" x14ac:dyDescent="0.3">
      <c r="A128">
        <v>227</v>
      </c>
      <c r="B128" t="s">
        <v>43</v>
      </c>
      <c r="C128" t="s">
        <v>40</v>
      </c>
      <c r="D128" t="s">
        <v>29</v>
      </c>
      <c r="E128" s="1">
        <v>45067</v>
      </c>
    </row>
    <row r="129" spans="1:5" x14ac:dyDescent="0.3">
      <c r="A129">
        <v>228</v>
      </c>
      <c r="B129" t="s">
        <v>44</v>
      </c>
      <c r="C129" t="s">
        <v>21</v>
      </c>
      <c r="D129" t="s">
        <v>22</v>
      </c>
      <c r="E129" s="1">
        <v>45029</v>
      </c>
    </row>
    <row r="130" spans="1:5" x14ac:dyDescent="0.3">
      <c r="A130">
        <v>229</v>
      </c>
      <c r="B130" t="s">
        <v>23</v>
      </c>
      <c r="C130" t="s">
        <v>35</v>
      </c>
      <c r="D130" t="s">
        <v>36</v>
      </c>
      <c r="E130" s="1">
        <v>44672</v>
      </c>
    </row>
    <row r="131" spans="1:5" x14ac:dyDescent="0.3">
      <c r="A131">
        <v>230</v>
      </c>
      <c r="B131" t="s">
        <v>43</v>
      </c>
      <c r="C131" t="s">
        <v>40</v>
      </c>
      <c r="D131" t="s">
        <v>29</v>
      </c>
      <c r="E131" s="1">
        <v>45266</v>
      </c>
    </row>
    <row r="132" spans="1:5" x14ac:dyDescent="0.3">
      <c r="A132">
        <v>231</v>
      </c>
      <c r="B132" t="s">
        <v>45</v>
      </c>
      <c r="C132" t="s">
        <v>35</v>
      </c>
      <c r="D132" t="s">
        <v>36</v>
      </c>
      <c r="E132" s="1">
        <v>44580</v>
      </c>
    </row>
    <row r="133" spans="1:5" x14ac:dyDescent="0.3">
      <c r="A133">
        <v>232</v>
      </c>
      <c r="B133" t="s">
        <v>25</v>
      </c>
      <c r="C133" t="s">
        <v>21</v>
      </c>
      <c r="D133" t="s">
        <v>22</v>
      </c>
      <c r="E133" s="1">
        <v>45028</v>
      </c>
    </row>
    <row r="134" spans="1:5" x14ac:dyDescent="0.3">
      <c r="A134">
        <v>233</v>
      </c>
      <c r="B134" t="s">
        <v>31</v>
      </c>
      <c r="C134" t="s">
        <v>35</v>
      </c>
      <c r="D134" t="s">
        <v>36</v>
      </c>
      <c r="E134" s="1">
        <v>44886</v>
      </c>
    </row>
    <row r="135" spans="1:5" x14ac:dyDescent="0.3">
      <c r="A135">
        <v>234</v>
      </c>
      <c r="B135" t="s">
        <v>46</v>
      </c>
      <c r="C135" t="s">
        <v>26</v>
      </c>
      <c r="D135" t="s">
        <v>27</v>
      </c>
      <c r="E135" s="1">
        <v>44735</v>
      </c>
    </row>
    <row r="136" spans="1:5" x14ac:dyDescent="0.3">
      <c r="A136">
        <v>235</v>
      </c>
      <c r="B136" t="s">
        <v>45</v>
      </c>
      <c r="C136" t="s">
        <v>28</v>
      </c>
      <c r="D136" t="s">
        <v>29</v>
      </c>
      <c r="E136" s="1">
        <v>44925</v>
      </c>
    </row>
    <row r="137" spans="1:5" x14ac:dyDescent="0.3">
      <c r="A137">
        <v>236</v>
      </c>
      <c r="B137" t="s">
        <v>44</v>
      </c>
      <c r="C137" t="s">
        <v>32</v>
      </c>
      <c r="D137" t="s">
        <v>33</v>
      </c>
      <c r="E137" s="1">
        <v>44787</v>
      </c>
    </row>
    <row r="138" spans="1:5" x14ac:dyDescent="0.3">
      <c r="A138">
        <v>237</v>
      </c>
      <c r="B138" t="s">
        <v>42</v>
      </c>
      <c r="C138" t="s">
        <v>35</v>
      </c>
      <c r="D138" t="s">
        <v>36</v>
      </c>
      <c r="E138" s="1">
        <v>44805</v>
      </c>
    </row>
    <row r="139" spans="1:5" x14ac:dyDescent="0.3">
      <c r="A139">
        <v>238</v>
      </c>
      <c r="B139" t="s">
        <v>46</v>
      </c>
      <c r="C139" t="s">
        <v>21</v>
      </c>
      <c r="D139" t="s">
        <v>22</v>
      </c>
      <c r="E139" s="1">
        <v>44568</v>
      </c>
    </row>
    <row r="140" spans="1:5" x14ac:dyDescent="0.3">
      <c r="A140">
        <v>239</v>
      </c>
      <c r="B140" t="s">
        <v>46</v>
      </c>
      <c r="C140" t="s">
        <v>24</v>
      </c>
      <c r="D140" t="s">
        <v>24</v>
      </c>
      <c r="E140" s="1">
        <v>45108</v>
      </c>
    </row>
    <row r="141" spans="1:5" x14ac:dyDescent="0.3">
      <c r="A141">
        <v>240</v>
      </c>
      <c r="B141" t="s">
        <v>42</v>
      </c>
      <c r="C141" t="s">
        <v>32</v>
      </c>
      <c r="D141" t="s">
        <v>33</v>
      </c>
      <c r="E141" s="1">
        <v>44918</v>
      </c>
    </row>
    <row r="142" spans="1:5" x14ac:dyDescent="0.3">
      <c r="A142">
        <v>241</v>
      </c>
      <c r="B142" t="s">
        <v>43</v>
      </c>
      <c r="C142" t="s">
        <v>21</v>
      </c>
      <c r="D142" t="s">
        <v>22</v>
      </c>
      <c r="E142" s="1">
        <v>45132</v>
      </c>
    </row>
    <row r="143" spans="1:5" x14ac:dyDescent="0.3">
      <c r="A143">
        <v>242</v>
      </c>
      <c r="B143" t="s">
        <v>31</v>
      </c>
      <c r="C143" t="s">
        <v>26</v>
      </c>
      <c r="D143" t="s">
        <v>27</v>
      </c>
      <c r="E143" s="1">
        <v>44726</v>
      </c>
    </row>
    <row r="144" spans="1:5" x14ac:dyDescent="0.3">
      <c r="A144">
        <v>243</v>
      </c>
      <c r="B144" t="s">
        <v>42</v>
      </c>
      <c r="C144" t="s">
        <v>32</v>
      </c>
      <c r="D144" t="s">
        <v>33</v>
      </c>
      <c r="E144" s="1">
        <v>45451</v>
      </c>
    </row>
    <row r="145" spans="1:5" x14ac:dyDescent="0.3">
      <c r="A145">
        <v>244</v>
      </c>
      <c r="B145" t="s">
        <v>42</v>
      </c>
      <c r="C145" t="s">
        <v>21</v>
      </c>
      <c r="D145" t="s">
        <v>22</v>
      </c>
      <c r="E145" s="1">
        <v>45342</v>
      </c>
    </row>
    <row r="146" spans="1:5" x14ac:dyDescent="0.3">
      <c r="A146">
        <v>245</v>
      </c>
      <c r="B146" t="s">
        <v>37</v>
      </c>
      <c r="C146" t="s">
        <v>21</v>
      </c>
      <c r="D146" t="s">
        <v>22</v>
      </c>
      <c r="E146" s="1">
        <v>45032</v>
      </c>
    </row>
    <row r="147" spans="1:5" x14ac:dyDescent="0.3">
      <c r="A147">
        <v>246</v>
      </c>
      <c r="B147" t="s">
        <v>44</v>
      </c>
      <c r="C147" t="s">
        <v>28</v>
      </c>
      <c r="D147" t="s">
        <v>29</v>
      </c>
      <c r="E147" s="1">
        <v>44587</v>
      </c>
    </row>
    <row r="148" spans="1:5" x14ac:dyDescent="0.3">
      <c r="A148">
        <v>247</v>
      </c>
      <c r="B148" t="s">
        <v>30</v>
      </c>
      <c r="C148" t="s">
        <v>28</v>
      </c>
      <c r="D148" t="s">
        <v>29</v>
      </c>
      <c r="E148" s="1">
        <v>45054</v>
      </c>
    </row>
    <row r="149" spans="1:5" x14ac:dyDescent="0.3">
      <c r="A149">
        <v>248</v>
      </c>
      <c r="B149" t="s">
        <v>39</v>
      </c>
      <c r="C149" t="s">
        <v>32</v>
      </c>
      <c r="D149" t="s">
        <v>33</v>
      </c>
      <c r="E149" s="1">
        <v>45179</v>
      </c>
    </row>
    <row r="150" spans="1:5" x14ac:dyDescent="0.3">
      <c r="A150">
        <v>249</v>
      </c>
      <c r="B150" t="s">
        <v>37</v>
      </c>
      <c r="C150" t="s">
        <v>24</v>
      </c>
      <c r="D150" t="s">
        <v>24</v>
      </c>
      <c r="E150" s="1">
        <v>44742</v>
      </c>
    </row>
    <row r="151" spans="1:5" x14ac:dyDescent="0.3">
      <c r="A151">
        <v>250</v>
      </c>
      <c r="B151" t="s">
        <v>25</v>
      </c>
      <c r="C151" t="s">
        <v>26</v>
      </c>
      <c r="D151" t="s">
        <v>27</v>
      </c>
      <c r="E151" s="1">
        <v>45116</v>
      </c>
    </row>
    <row r="152" spans="1:5" x14ac:dyDescent="0.3">
      <c r="A152">
        <v>251</v>
      </c>
      <c r="B152" t="s">
        <v>20</v>
      </c>
      <c r="C152" t="s">
        <v>26</v>
      </c>
      <c r="D152" t="s">
        <v>27</v>
      </c>
      <c r="E152" s="1">
        <v>45234</v>
      </c>
    </row>
    <row r="153" spans="1:5" x14ac:dyDescent="0.3">
      <c r="A153">
        <v>252</v>
      </c>
      <c r="B153" t="s">
        <v>42</v>
      </c>
      <c r="C153" t="s">
        <v>28</v>
      </c>
      <c r="D153" t="s">
        <v>29</v>
      </c>
      <c r="E153" s="1">
        <v>45237</v>
      </c>
    </row>
    <row r="154" spans="1:5" x14ac:dyDescent="0.3">
      <c r="A154">
        <v>253</v>
      </c>
      <c r="B154" t="s">
        <v>45</v>
      </c>
      <c r="C154" t="s">
        <v>40</v>
      </c>
      <c r="D154" t="s">
        <v>29</v>
      </c>
      <c r="E154" s="1">
        <v>45398</v>
      </c>
    </row>
    <row r="155" spans="1:5" x14ac:dyDescent="0.3">
      <c r="A155">
        <v>254</v>
      </c>
      <c r="B155" t="s">
        <v>45</v>
      </c>
      <c r="C155" t="s">
        <v>26</v>
      </c>
      <c r="D155" t="s">
        <v>27</v>
      </c>
      <c r="E155" s="1">
        <v>44631</v>
      </c>
    </row>
    <row r="156" spans="1:5" x14ac:dyDescent="0.3">
      <c r="A156">
        <v>255</v>
      </c>
      <c r="B156" t="s">
        <v>41</v>
      </c>
      <c r="C156" t="s">
        <v>32</v>
      </c>
      <c r="D156" t="s">
        <v>33</v>
      </c>
      <c r="E156" s="1">
        <v>44918</v>
      </c>
    </row>
    <row r="157" spans="1:5" x14ac:dyDescent="0.3">
      <c r="A157">
        <v>256</v>
      </c>
      <c r="B157" t="s">
        <v>44</v>
      </c>
      <c r="C157" t="s">
        <v>35</v>
      </c>
      <c r="D157" t="s">
        <v>36</v>
      </c>
      <c r="E157" s="1">
        <v>45231</v>
      </c>
    </row>
    <row r="158" spans="1:5" x14ac:dyDescent="0.3">
      <c r="A158">
        <v>257</v>
      </c>
      <c r="B158" t="s">
        <v>39</v>
      </c>
      <c r="C158" t="s">
        <v>28</v>
      </c>
      <c r="D158" t="s">
        <v>29</v>
      </c>
      <c r="E158" s="1">
        <v>44565</v>
      </c>
    </row>
    <row r="159" spans="1:5" x14ac:dyDescent="0.3">
      <c r="A159">
        <v>258</v>
      </c>
      <c r="B159" t="s">
        <v>20</v>
      </c>
      <c r="C159" t="s">
        <v>24</v>
      </c>
      <c r="D159" t="s">
        <v>24</v>
      </c>
      <c r="E159" s="1">
        <v>44738</v>
      </c>
    </row>
    <row r="160" spans="1:5" x14ac:dyDescent="0.3">
      <c r="A160">
        <v>259</v>
      </c>
      <c r="B160" t="s">
        <v>39</v>
      </c>
      <c r="C160" t="s">
        <v>35</v>
      </c>
      <c r="D160" t="s">
        <v>36</v>
      </c>
      <c r="E160" s="1">
        <v>44659</v>
      </c>
    </row>
    <row r="161" spans="1:5" x14ac:dyDescent="0.3">
      <c r="A161">
        <v>260</v>
      </c>
      <c r="B161" t="s">
        <v>45</v>
      </c>
      <c r="C161" t="s">
        <v>26</v>
      </c>
      <c r="D161" t="s">
        <v>27</v>
      </c>
      <c r="E161" s="1">
        <v>45059</v>
      </c>
    </row>
    <row r="162" spans="1:5" x14ac:dyDescent="0.3">
      <c r="A162">
        <v>261</v>
      </c>
      <c r="B162" t="s">
        <v>39</v>
      </c>
      <c r="C162" t="s">
        <v>35</v>
      </c>
      <c r="D162" t="s">
        <v>36</v>
      </c>
      <c r="E162" s="1">
        <v>45386</v>
      </c>
    </row>
    <row r="163" spans="1:5" x14ac:dyDescent="0.3">
      <c r="A163">
        <v>262</v>
      </c>
      <c r="B163" t="s">
        <v>46</v>
      </c>
      <c r="C163" t="s">
        <v>26</v>
      </c>
      <c r="D163" t="s">
        <v>27</v>
      </c>
      <c r="E163" s="1">
        <v>45194</v>
      </c>
    </row>
    <row r="164" spans="1:5" x14ac:dyDescent="0.3">
      <c r="A164">
        <v>263</v>
      </c>
      <c r="B164" t="s">
        <v>43</v>
      </c>
      <c r="C164" t="s">
        <v>21</v>
      </c>
      <c r="D164" t="s">
        <v>22</v>
      </c>
      <c r="E164" s="1">
        <v>45334</v>
      </c>
    </row>
    <row r="165" spans="1:5" x14ac:dyDescent="0.3">
      <c r="A165">
        <v>264</v>
      </c>
      <c r="B165" t="s">
        <v>38</v>
      </c>
      <c r="C165" t="s">
        <v>24</v>
      </c>
      <c r="D165" t="s">
        <v>24</v>
      </c>
      <c r="E165" s="1">
        <v>45044</v>
      </c>
    </row>
    <row r="166" spans="1:5" x14ac:dyDescent="0.3">
      <c r="A166">
        <v>265</v>
      </c>
      <c r="B166" t="s">
        <v>31</v>
      </c>
      <c r="C166" t="s">
        <v>26</v>
      </c>
      <c r="D166" t="s">
        <v>27</v>
      </c>
      <c r="E166" s="1">
        <v>44786</v>
      </c>
    </row>
    <row r="167" spans="1:5" x14ac:dyDescent="0.3">
      <c r="A167">
        <v>266</v>
      </c>
      <c r="B167" t="s">
        <v>46</v>
      </c>
      <c r="C167" t="s">
        <v>21</v>
      </c>
      <c r="D167" t="s">
        <v>22</v>
      </c>
      <c r="E167" s="1">
        <v>44843</v>
      </c>
    </row>
    <row r="168" spans="1:5" x14ac:dyDescent="0.3">
      <c r="A168">
        <v>267</v>
      </c>
      <c r="B168" t="s">
        <v>45</v>
      </c>
      <c r="C168" t="s">
        <v>35</v>
      </c>
      <c r="D168" t="s">
        <v>36</v>
      </c>
      <c r="E168" s="1">
        <v>45385</v>
      </c>
    </row>
    <row r="169" spans="1:5" x14ac:dyDescent="0.3">
      <c r="A169">
        <v>268</v>
      </c>
      <c r="B169" t="s">
        <v>37</v>
      </c>
      <c r="C169" t="s">
        <v>40</v>
      </c>
      <c r="D169" t="s">
        <v>29</v>
      </c>
      <c r="E169" s="1">
        <v>44922</v>
      </c>
    </row>
    <row r="170" spans="1:5" x14ac:dyDescent="0.3">
      <c r="A170">
        <v>269</v>
      </c>
      <c r="B170" t="s">
        <v>34</v>
      </c>
      <c r="C170" t="s">
        <v>28</v>
      </c>
      <c r="D170" t="s">
        <v>29</v>
      </c>
      <c r="E170" s="1">
        <v>44583</v>
      </c>
    </row>
    <row r="171" spans="1:5" x14ac:dyDescent="0.3">
      <c r="A171">
        <v>270</v>
      </c>
      <c r="B171" t="s">
        <v>46</v>
      </c>
      <c r="C171" t="s">
        <v>40</v>
      </c>
      <c r="D171" t="s">
        <v>29</v>
      </c>
      <c r="E171" s="1">
        <v>44593</v>
      </c>
    </row>
    <row r="172" spans="1:5" x14ac:dyDescent="0.3">
      <c r="A172">
        <v>271</v>
      </c>
      <c r="B172" t="s">
        <v>45</v>
      </c>
      <c r="C172" t="s">
        <v>32</v>
      </c>
      <c r="D172" t="s">
        <v>33</v>
      </c>
      <c r="E172" s="1">
        <v>45365</v>
      </c>
    </row>
    <row r="173" spans="1:5" x14ac:dyDescent="0.3">
      <c r="A173">
        <v>272</v>
      </c>
      <c r="B173" t="s">
        <v>20</v>
      </c>
      <c r="C173" t="s">
        <v>35</v>
      </c>
      <c r="D173" t="s">
        <v>36</v>
      </c>
      <c r="E173" s="1">
        <v>44682</v>
      </c>
    </row>
    <row r="174" spans="1:5" x14ac:dyDescent="0.3">
      <c r="A174">
        <v>273</v>
      </c>
      <c r="B174" t="s">
        <v>30</v>
      </c>
      <c r="C174" t="s">
        <v>26</v>
      </c>
      <c r="D174" t="s">
        <v>27</v>
      </c>
      <c r="E174" s="1">
        <v>44658</v>
      </c>
    </row>
    <row r="175" spans="1:5" x14ac:dyDescent="0.3">
      <c r="A175">
        <v>274</v>
      </c>
      <c r="B175" t="s">
        <v>34</v>
      </c>
      <c r="C175" t="s">
        <v>26</v>
      </c>
      <c r="D175" t="s">
        <v>27</v>
      </c>
      <c r="E175" s="1">
        <v>44564</v>
      </c>
    </row>
    <row r="176" spans="1:5" x14ac:dyDescent="0.3">
      <c r="A176">
        <v>275</v>
      </c>
      <c r="B176" t="s">
        <v>43</v>
      </c>
      <c r="C176" t="s">
        <v>40</v>
      </c>
      <c r="D176" t="s">
        <v>29</v>
      </c>
      <c r="E176" s="1">
        <v>45122</v>
      </c>
    </row>
    <row r="177" spans="1:5" x14ac:dyDescent="0.3">
      <c r="A177">
        <v>276</v>
      </c>
      <c r="B177" t="s">
        <v>34</v>
      </c>
      <c r="C177" t="s">
        <v>21</v>
      </c>
      <c r="D177" t="s">
        <v>22</v>
      </c>
      <c r="E177" s="1">
        <v>44686</v>
      </c>
    </row>
    <row r="178" spans="1:5" x14ac:dyDescent="0.3">
      <c r="A178">
        <v>277</v>
      </c>
      <c r="B178" t="s">
        <v>42</v>
      </c>
      <c r="C178" t="s">
        <v>26</v>
      </c>
      <c r="D178" t="s">
        <v>27</v>
      </c>
      <c r="E178" s="1">
        <v>45313</v>
      </c>
    </row>
    <row r="179" spans="1:5" x14ac:dyDescent="0.3">
      <c r="A179">
        <v>278</v>
      </c>
      <c r="B179" t="s">
        <v>45</v>
      </c>
      <c r="C179" t="s">
        <v>35</v>
      </c>
      <c r="D179" t="s">
        <v>36</v>
      </c>
      <c r="E179" s="1">
        <v>45071</v>
      </c>
    </row>
    <row r="180" spans="1:5" x14ac:dyDescent="0.3">
      <c r="A180">
        <v>279</v>
      </c>
      <c r="B180" t="s">
        <v>43</v>
      </c>
      <c r="C180" t="s">
        <v>28</v>
      </c>
      <c r="D180" t="s">
        <v>29</v>
      </c>
      <c r="E180" s="1">
        <v>45248</v>
      </c>
    </row>
    <row r="181" spans="1:5" x14ac:dyDescent="0.3">
      <c r="A181">
        <v>280</v>
      </c>
      <c r="B181" t="s">
        <v>23</v>
      </c>
      <c r="C181" t="s">
        <v>35</v>
      </c>
      <c r="D181" t="s">
        <v>36</v>
      </c>
      <c r="E181" s="1">
        <v>44716</v>
      </c>
    </row>
    <row r="182" spans="1:5" x14ac:dyDescent="0.3">
      <c r="A182">
        <v>281</v>
      </c>
      <c r="B182" t="s">
        <v>41</v>
      </c>
      <c r="C182" t="s">
        <v>24</v>
      </c>
      <c r="D182" t="s">
        <v>24</v>
      </c>
      <c r="E182" s="1">
        <v>44774</v>
      </c>
    </row>
    <row r="183" spans="1:5" x14ac:dyDescent="0.3">
      <c r="A183">
        <v>282</v>
      </c>
      <c r="B183" t="s">
        <v>39</v>
      </c>
      <c r="C183" t="s">
        <v>24</v>
      </c>
      <c r="D183" t="s">
        <v>24</v>
      </c>
      <c r="E183" s="1">
        <v>45336</v>
      </c>
    </row>
    <row r="184" spans="1:5" x14ac:dyDescent="0.3">
      <c r="A184">
        <v>283</v>
      </c>
      <c r="B184" t="s">
        <v>45</v>
      </c>
      <c r="C184" t="s">
        <v>32</v>
      </c>
      <c r="D184" t="s">
        <v>33</v>
      </c>
      <c r="E184" s="1">
        <v>45315</v>
      </c>
    </row>
    <row r="185" spans="1:5" x14ac:dyDescent="0.3">
      <c r="A185">
        <v>284</v>
      </c>
      <c r="B185" t="s">
        <v>39</v>
      </c>
      <c r="C185" t="s">
        <v>24</v>
      </c>
      <c r="D185" t="s">
        <v>24</v>
      </c>
      <c r="E185" s="1">
        <v>45073</v>
      </c>
    </row>
    <row r="186" spans="1:5" x14ac:dyDescent="0.3">
      <c r="A186">
        <v>285</v>
      </c>
      <c r="B186" t="s">
        <v>44</v>
      </c>
      <c r="C186" t="s">
        <v>24</v>
      </c>
      <c r="D186" t="s">
        <v>24</v>
      </c>
      <c r="E186" s="1">
        <v>44741</v>
      </c>
    </row>
    <row r="187" spans="1:5" x14ac:dyDescent="0.3">
      <c r="A187">
        <v>286</v>
      </c>
      <c r="B187" t="s">
        <v>31</v>
      </c>
      <c r="C187" t="s">
        <v>35</v>
      </c>
      <c r="D187" t="s">
        <v>36</v>
      </c>
      <c r="E187" s="1">
        <v>44900</v>
      </c>
    </row>
    <row r="188" spans="1:5" x14ac:dyDescent="0.3">
      <c r="A188">
        <v>287</v>
      </c>
      <c r="B188" t="s">
        <v>46</v>
      </c>
      <c r="C188" t="s">
        <v>21</v>
      </c>
      <c r="D188" t="s">
        <v>22</v>
      </c>
      <c r="E188" s="1">
        <v>45361</v>
      </c>
    </row>
    <row r="189" spans="1:5" x14ac:dyDescent="0.3">
      <c r="A189">
        <v>288</v>
      </c>
      <c r="B189" t="s">
        <v>30</v>
      </c>
      <c r="C189" t="s">
        <v>28</v>
      </c>
      <c r="D189" t="s">
        <v>29</v>
      </c>
      <c r="E189" s="1">
        <v>44643</v>
      </c>
    </row>
    <row r="190" spans="1:5" x14ac:dyDescent="0.3">
      <c r="A190">
        <v>289</v>
      </c>
      <c r="B190" t="s">
        <v>38</v>
      </c>
      <c r="C190" t="s">
        <v>28</v>
      </c>
      <c r="D190" t="s">
        <v>29</v>
      </c>
      <c r="E190" s="1">
        <v>44935</v>
      </c>
    </row>
    <row r="191" spans="1:5" x14ac:dyDescent="0.3">
      <c r="A191">
        <v>290</v>
      </c>
      <c r="B191" t="s">
        <v>46</v>
      </c>
      <c r="C191" t="s">
        <v>28</v>
      </c>
      <c r="D191" t="s">
        <v>29</v>
      </c>
      <c r="E191" s="1">
        <v>44649</v>
      </c>
    </row>
    <row r="192" spans="1:5" x14ac:dyDescent="0.3">
      <c r="A192">
        <v>291</v>
      </c>
      <c r="B192" t="s">
        <v>31</v>
      </c>
      <c r="C192" t="s">
        <v>40</v>
      </c>
      <c r="D192" t="s">
        <v>29</v>
      </c>
      <c r="E192" s="1">
        <v>45413</v>
      </c>
    </row>
    <row r="193" spans="1:5" x14ac:dyDescent="0.3">
      <c r="A193">
        <v>292</v>
      </c>
      <c r="B193" t="s">
        <v>25</v>
      </c>
      <c r="C193" t="s">
        <v>32</v>
      </c>
      <c r="D193" t="s">
        <v>33</v>
      </c>
      <c r="E193" s="1">
        <v>44663</v>
      </c>
    </row>
    <row r="194" spans="1:5" x14ac:dyDescent="0.3">
      <c r="A194">
        <v>293</v>
      </c>
      <c r="B194" t="s">
        <v>34</v>
      </c>
      <c r="C194" t="s">
        <v>28</v>
      </c>
      <c r="D194" t="s">
        <v>29</v>
      </c>
      <c r="E194" s="1">
        <v>44991</v>
      </c>
    </row>
    <row r="195" spans="1:5" x14ac:dyDescent="0.3">
      <c r="A195">
        <v>294</v>
      </c>
      <c r="B195" t="s">
        <v>34</v>
      </c>
      <c r="C195" t="s">
        <v>35</v>
      </c>
      <c r="D195" t="s">
        <v>36</v>
      </c>
      <c r="E195" s="1">
        <v>44634</v>
      </c>
    </row>
    <row r="196" spans="1:5" x14ac:dyDescent="0.3">
      <c r="A196">
        <v>295</v>
      </c>
      <c r="B196" t="s">
        <v>23</v>
      </c>
      <c r="C196" t="s">
        <v>21</v>
      </c>
      <c r="D196" t="s">
        <v>22</v>
      </c>
      <c r="E196" s="1">
        <v>45328</v>
      </c>
    </row>
    <row r="197" spans="1:5" x14ac:dyDescent="0.3">
      <c r="A197">
        <v>296</v>
      </c>
      <c r="B197" t="s">
        <v>43</v>
      </c>
      <c r="C197" t="s">
        <v>28</v>
      </c>
      <c r="D197" t="s">
        <v>29</v>
      </c>
      <c r="E197" s="1">
        <v>45086</v>
      </c>
    </row>
    <row r="198" spans="1:5" x14ac:dyDescent="0.3">
      <c r="A198">
        <v>297</v>
      </c>
      <c r="B198" t="s">
        <v>41</v>
      </c>
      <c r="C198" t="s">
        <v>26</v>
      </c>
      <c r="D198" t="s">
        <v>27</v>
      </c>
      <c r="E198" s="1">
        <v>45150</v>
      </c>
    </row>
    <row r="199" spans="1:5" x14ac:dyDescent="0.3">
      <c r="A199">
        <v>298</v>
      </c>
      <c r="B199" t="s">
        <v>46</v>
      </c>
      <c r="C199" t="s">
        <v>26</v>
      </c>
      <c r="D199" t="s">
        <v>27</v>
      </c>
      <c r="E199" s="1">
        <v>45010</v>
      </c>
    </row>
    <row r="200" spans="1:5" x14ac:dyDescent="0.3">
      <c r="A200">
        <v>299</v>
      </c>
      <c r="B200" t="s">
        <v>34</v>
      </c>
      <c r="C200" t="s">
        <v>35</v>
      </c>
      <c r="D200" t="s">
        <v>36</v>
      </c>
      <c r="E200" s="1">
        <v>45340</v>
      </c>
    </row>
    <row r="201" spans="1:5" x14ac:dyDescent="0.3">
      <c r="A201">
        <v>300</v>
      </c>
      <c r="B201" t="s">
        <v>30</v>
      </c>
      <c r="C201" t="s">
        <v>26</v>
      </c>
      <c r="D201" t="s">
        <v>27</v>
      </c>
      <c r="E201" s="1">
        <v>44914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E9" sqref="E9"/>
    </sheetView>
  </sheetViews>
  <sheetFormatPr defaultRowHeight="14.4" x14ac:dyDescent="0.3"/>
  <cols>
    <col min="1" max="1" width="12.109375" customWidth="1"/>
    <col min="2" max="2" width="27.6640625" bestFit="1" customWidth="1"/>
    <col min="3" max="3" width="14.21875" bestFit="1" customWidth="1"/>
    <col min="4" max="4" width="11.44140625" customWidth="1"/>
  </cols>
  <sheetData>
    <row r="1" spans="1:4" ht="15" thickBot="1" x14ac:dyDescent="0.35">
      <c r="A1" s="4" t="s">
        <v>3</v>
      </c>
      <c r="B1" s="5" t="s">
        <v>47</v>
      </c>
      <c r="C1" s="5" t="s">
        <v>48</v>
      </c>
      <c r="D1" s="5" t="s">
        <v>49</v>
      </c>
    </row>
    <row r="2" spans="1:4" ht="15" thickTop="1" x14ac:dyDescent="0.3">
      <c r="A2" s="6">
        <v>201</v>
      </c>
      <c r="B2" s="7" t="s">
        <v>50</v>
      </c>
      <c r="C2" s="7" t="s">
        <v>51</v>
      </c>
      <c r="D2" s="7">
        <v>52000</v>
      </c>
    </row>
    <row r="3" spans="1:4" x14ac:dyDescent="0.3">
      <c r="A3" s="8">
        <v>202</v>
      </c>
      <c r="B3" s="2" t="s">
        <v>52</v>
      </c>
      <c r="C3" s="2" t="s">
        <v>51</v>
      </c>
      <c r="D3" s="2">
        <v>45000</v>
      </c>
    </row>
    <row r="4" spans="1:4" x14ac:dyDescent="0.3">
      <c r="A4" s="9">
        <v>203</v>
      </c>
      <c r="B4" s="10" t="s">
        <v>53</v>
      </c>
      <c r="C4" s="10" t="s">
        <v>54</v>
      </c>
      <c r="D4" s="10">
        <v>4000</v>
      </c>
    </row>
    <row r="5" spans="1:4" x14ac:dyDescent="0.3">
      <c r="A5" s="8">
        <v>204</v>
      </c>
      <c r="B5" s="2" t="s">
        <v>55</v>
      </c>
      <c r="C5" s="2" t="s">
        <v>54</v>
      </c>
      <c r="D5" s="2">
        <v>1800</v>
      </c>
    </row>
    <row r="6" spans="1:4" x14ac:dyDescent="0.3">
      <c r="A6" s="9">
        <v>205</v>
      </c>
      <c r="B6" s="10" t="s">
        <v>56</v>
      </c>
      <c r="C6" s="10" t="s">
        <v>57</v>
      </c>
      <c r="D6" s="10">
        <v>1200</v>
      </c>
    </row>
    <row r="7" spans="1:4" x14ac:dyDescent="0.3">
      <c r="A7" s="8">
        <v>206</v>
      </c>
      <c r="B7" s="2" t="s">
        <v>58</v>
      </c>
      <c r="C7" s="2" t="s">
        <v>57</v>
      </c>
      <c r="D7" s="2">
        <v>7000</v>
      </c>
    </row>
    <row r="8" spans="1:4" x14ac:dyDescent="0.3">
      <c r="A8" s="9">
        <v>207</v>
      </c>
      <c r="B8" s="10" t="s">
        <v>59</v>
      </c>
      <c r="C8" s="10" t="s">
        <v>51</v>
      </c>
      <c r="D8" s="10">
        <v>20000</v>
      </c>
    </row>
    <row r="9" spans="1:4" x14ac:dyDescent="0.3">
      <c r="A9" s="8">
        <v>208</v>
      </c>
      <c r="B9" s="2" t="s">
        <v>60</v>
      </c>
      <c r="C9" s="2" t="s">
        <v>54</v>
      </c>
      <c r="D9" s="2">
        <v>9000</v>
      </c>
    </row>
    <row r="10" spans="1:4" x14ac:dyDescent="0.3">
      <c r="A10" s="9">
        <v>209</v>
      </c>
      <c r="B10" s="10" t="s">
        <v>61</v>
      </c>
      <c r="C10" s="10" t="s">
        <v>57</v>
      </c>
      <c r="D10" s="10">
        <v>800</v>
      </c>
    </row>
    <row r="11" spans="1:4" x14ac:dyDescent="0.3">
      <c r="A11" s="8">
        <v>210</v>
      </c>
      <c r="B11" s="2" t="s">
        <v>62</v>
      </c>
      <c r="C11" s="2" t="s">
        <v>51</v>
      </c>
      <c r="D11" s="2">
        <v>30000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01"/>
  <sheetViews>
    <sheetView topLeftCell="A1171" workbookViewId="0">
      <selection activeCell="E7" sqref="E7"/>
    </sheetView>
  </sheetViews>
  <sheetFormatPr defaultRowHeight="14.4" x14ac:dyDescent="0.3"/>
  <cols>
    <col min="1" max="1" width="13.33203125" customWidth="1"/>
    <col min="2" max="2" width="10" customWidth="1"/>
    <col min="3" max="4" width="17" bestFit="1" customWidth="1"/>
    <col min="6" max="6" width="15.5546875" customWidth="1"/>
  </cols>
  <sheetData>
    <row r="1" spans="1:6" x14ac:dyDescent="0.3">
      <c r="A1" t="s">
        <v>63</v>
      </c>
      <c r="B1" t="s">
        <v>0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3">
      <c r="A2">
        <v>1</v>
      </c>
      <c r="B2">
        <v>1</v>
      </c>
      <c r="C2" s="1">
        <v>45598</v>
      </c>
      <c r="D2" s="1">
        <v>45599</v>
      </c>
      <c r="E2" t="s">
        <v>68</v>
      </c>
      <c r="F2" t="s">
        <v>12</v>
      </c>
    </row>
    <row r="3" spans="1:6" x14ac:dyDescent="0.3">
      <c r="A3">
        <v>2</v>
      </c>
      <c r="B3">
        <v>2</v>
      </c>
      <c r="C3" s="1">
        <v>45557</v>
      </c>
      <c r="D3" s="1">
        <v>45560</v>
      </c>
      <c r="E3" t="s">
        <v>68</v>
      </c>
      <c r="F3" t="s">
        <v>69</v>
      </c>
    </row>
    <row r="4" spans="1:6" x14ac:dyDescent="0.3">
      <c r="A4">
        <v>3</v>
      </c>
      <c r="B4">
        <v>3</v>
      </c>
      <c r="C4" s="1">
        <v>45344</v>
      </c>
      <c r="D4" s="1">
        <v>45349</v>
      </c>
      <c r="E4" t="s">
        <v>68</v>
      </c>
      <c r="F4" t="s">
        <v>69</v>
      </c>
    </row>
    <row r="5" spans="1:6" x14ac:dyDescent="0.3">
      <c r="A5">
        <v>4</v>
      </c>
      <c r="B5">
        <v>4</v>
      </c>
      <c r="C5" s="1">
        <v>45657</v>
      </c>
      <c r="D5" s="1">
        <v>45661</v>
      </c>
      <c r="E5" t="s">
        <v>70</v>
      </c>
      <c r="F5" t="s">
        <v>12</v>
      </c>
    </row>
    <row r="6" spans="1:6" x14ac:dyDescent="0.3">
      <c r="A6">
        <v>5</v>
      </c>
      <c r="B6">
        <v>5</v>
      </c>
      <c r="C6" s="1">
        <v>45407</v>
      </c>
      <c r="D6" s="1">
        <v>45412</v>
      </c>
      <c r="E6" t="s">
        <v>71</v>
      </c>
      <c r="F6" t="s">
        <v>69</v>
      </c>
    </row>
    <row r="7" spans="1:6" x14ac:dyDescent="0.3">
      <c r="A7">
        <v>6</v>
      </c>
      <c r="B7">
        <v>6</v>
      </c>
      <c r="C7" s="1">
        <v>45609</v>
      </c>
      <c r="D7" s="1">
        <v>45613</v>
      </c>
      <c r="E7" t="s">
        <v>71</v>
      </c>
      <c r="F7" t="s">
        <v>69</v>
      </c>
    </row>
    <row r="8" spans="1:6" x14ac:dyDescent="0.3">
      <c r="A8">
        <v>7</v>
      </c>
      <c r="B8">
        <v>7</v>
      </c>
      <c r="C8" s="1">
        <v>45637</v>
      </c>
      <c r="D8" s="1">
        <v>45647</v>
      </c>
      <c r="E8" t="s">
        <v>68</v>
      </c>
      <c r="F8" t="s">
        <v>69</v>
      </c>
    </row>
    <row r="9" spans="1:6" x14ac:dyDescent="0.3">
      <c r="A9">
        <v>8</v>
      </c>
      <c r="B9">
        <v>8</v>
      </c>
      <c r="C9" s="1">
        <v>45489</v>
      </c>
      <c r="D9" s="1">
        <v>45493</v>
      </c>
      <c r="E9" t="s">
        <v>68</v>
      </c>
      <c r="F9" t="s">
        <v>69</v>
      </c>
    </row>
    <row r="10" spans="1:6" x14ac:dyDescent="0.3">
      <c r="A10">
        <v>9</v>
      </c>
      <c r="B10">
        <v>9</v>
      </c>
      <c r="C10" s="1">
        <v>45536</v>
      </c>
      <c r="D10" s="1">
        <v>45544</v>
      </c>
      <c r="E10" t="s">
        <v>68</v>
      </c>
      <c r="F10" t="s">
        <v>69</v>
      </c>
    </row>
    <row r="11" spans="1:6" x14ac:dyDescent="0.3">
      <c r="A11">
        <v>10</v>
      </c>
      <c r="B11">
        <v>10</v>
      </c>
      <c r="C11" s="1">
        <v>45389</v>
      </c>
      <c r="D11" s="1">
        <v>45394</v>
      </c>
      <c r="E11" t="s">
        <v>72</v>
      </c>
      <c r="F11" t="s">
        <v>12</v>
      </c>
    </row>
    <row r="12" spans="1:6" x14ac:dyDescent="0.3">
      <c r="A12">
        <v>11</v>
      </c>
      <c r="B12">
        <v>11</v>
      </c>
      <c r="C12" s="1">
        <v>45345</v>
      </c>
      <c r="D12" s="1">
        <v>45347</v>
      </c>
      <c r="E12" t="s">
        <v>70</v>
      </c>
      <c r="F12" t="s">
        <v>69</v>
      </c>
    </row>
    <row r="13" spans="1:6" x14ac:dyDescent="0.3">
      <c r="A13">
        <v>12</v>
      </c>
      <c r="B13">
        <v>12</v>
      </c>
      <c r="C13" s="1">
        <v>45528</v>
      </c>
      <c r="D13" s="1">
        <v>45531</v>
      </c>
      <c r="E13" t="s">
        <v>70</v>
      </c>
      <c r="F13" t="s">
        <v>69</v>
      </c>
    </row>
    <row r="14" spans="1:6" x14ac:dyDescent="0.3">
      <c r="A14">
        <v>13</v>
      </c>
      <c r="B14">
        <v>13</v>
      </c>
      <c r="C14" s="1">
        <v>45491</v>
      </c>
      <c r="D14" s="1">
        <v>45496</v>
      </c>
      <c r="E14" t="s">
        <v>71</v>
      </c>
      <c r="F14" t="s">
        <v>12</v>
      </c>
    </row>
    <row r="15" spans="1:6" x14ac:dyDescent="0.3">
      <c r="A15">
        <v>14</v>
      </c>
      <c r="B15">
        <v>14</v>
      </c>
      <c r="C15" s="1">
        <v>45555</v>
      </c>
      <c r="D15" s="1">
        <v>45556</v>
      </c>
      <c r="E15" t="s">
        <v>72</v>
      </c>
      <c r="F15" t="s">
        <v>12</v>
      </c>
    </row>
    <row r="16" spans="1:6" x14ac:dyDescent="0.3">
      <c r="A16">
        <v>15</v>
      </c>
      <c r="B16">
        <v>15</v>
      </c>
      <c r="C16" s="1">
        <v>45403</v>
      </c>
      <c r="D16" s="1">
        <v>45409</v>
      </c>
      <c r="E16" t="s">
        <v>71</v>
      </c>
      <c r="F16" t="s">
        <v>69</v>
      </c>
    </row>
    <row r="17" spans="1:6" x14ac:dyDescent="0.3">
      <c r="A17">
        <v>16</v>
      </c>
      <c r="B17">
        <v>16</v>
      </c>
      <c r="C17" s="1">
        <v>45458</v>
      </c>
      <c r="D17" s="1">
        <v>45462</v>
      </c>
      <c r="E17" t="s">
        <v>71</v>
      </c>
      <c r="F17" t="s">
        <v>69</v>
      </c>
    </row>
    <row r="18" spans="1:6" x14ac:dyDescent="0.3">
      <c r="A18">
        <v>17</v>
      </c>
      <c r="B18">
        <v>17</v>
      </c>
      <c r="C18" s="1">
        <v>45433</v>
      </c>
      <c r="D18" s="1">
        <v>45437</v>
      </c>
      <c r="E18" t="s">
        <v>72</v>
      </c>
      <c r="F18" t="s">
        <v>12</v>
      </c>
    </row>
    <row r="19" spans="1:6" x14ac:dyDescent="0.3">
      <c r="A19">
        <v>18</v>
      </c>
      <c r="B19">
        <v>18</v>
      </c>
      <c r="C19" s="1">
        <v>45557</v>
      </c>
      <c r="D19" s="1">
        <v>45560</v>
      </c>
      <c r="E19" t="s">
        <v>70</v>
      </c>
      <c r="F19" t="s">
        <v>69</v>
      </c>
    </row>
    <row r="20" spans="1:6" x14ac:dyDescent="0.3">
      <c r="A20">
        <v>19</v>
      </c>
      <c r="B20">
        <v>19</v>
      </c>
      <c r="C20" s="1">
        <v>45480</v>
      </c>
      <c r="D20" s="1">
        <v>45481</v>
      </c>
      <c r="E20" t="s">
        <v>72</v>
      </c>
      <c r="F20" t="s">
        <v>69</v>
      </c>
    </row>
    <row r="21" spans="1:6" x14ac:dyDescent="0.3">
      <c r="A21">
        <v>20</v>
      </c>
      <c r="B21">
        <v>20</v>
      </c>
      <c r="C21" s="1">
        <v>45655</v>
      </c>
      <c r="D21" s="1">
        <v>45660</v>
      </c>
      <c r="E21" t="s">
        <v>70</v>
      </c>
      <c r="F21" t="s">
        <v>69</v>
      </c>
    </row>
    <row r="22" spans="1:6" x14ac:dyDescent="0.3">
      <c r="A22">
        <v>21</v>
      </c>
      <c r="B22">
        <v>21</v>
      </c>
      <c r="C22" s="1">
        <v>45523</v>
      </c>
      <c r="D22" s="1">
        <v>45529</v>
      </c>
      <c r="E22" t="s">
        <v>68</v>
      </c>
      <c r="F22" t="s">
        <v>69</v>
      </c>
    </row>
    <row r="23" spans="1:6" x14ac:dyDescent="0.3">
      <c r="A23">
        <v>22</v>
      </c>
      <c r="B23">
        <v>22</v>
      </c>
      <c r="C23" s="1">
        <v>45508</v>
      </c>
      <c r="D23" s="1">
        <v>45513</v>
      </c>
      <c r="E23" t="s">
        <v>70</v>
      </c>
      <c r="F23" t="s">
        <v>69</v>
      </c>
    </row>
    <row r="24" spans="1:6" x14ac:dyDescent="0.3">
      <c r="A24">
        <v>23</v>
      </c>
      <c r="B24">
        <v>23</v>
      </c>
      <c r="C24" s="1">
        <v>45609</v>
      </c>
      <c r="D24" s="1">
        <v>45611</v>
      </c>
      <c r="E24" t="s">
        <v>71</v>
      </c>
      <c r="F24" t="s">
        <v>69</v>
      </c>
    </row>
    <row r="25" spans="1:6" x14ac:dyDescent="0.3">
      <c r="A25">
        <v>24</v>
      </c>
      <c r="B25">
        <v>24</v>
      </c>
      <c r="C25" s="1">
        <v>45353</v>
      </c>
      <c r="D25" s="1">
        <v>45358</v>
      </c>
      <c r="E25" t="s">
        <v>71</v>
      </c>
      <c r="F25" t="s">
        <v>69</v>
      </c>
    </row>
    <row r="26" spans="1:6" x14ac:dyDescent="0.3">
      <c r="A26">
        <v>25</v>
      </c>
      <c r="B26">
        <v>25</v>
      </c>
      <c r="C26" s="1">
        <v>45616</v>
      </c>
      <c r="D26" s="1">
        <v>45623</v>
      </c>
      <c r="E26" t="s">
        <v>70</v>
      </c>
      <c r="F26" t="s">
        <v>69</v>
      </c>
    </row>
    <row r="27" spans="1:6" x14ac:dyDescent="0.3">
      <c r="A27">
        <v>26</v>
      </c>
      <c r="B27">
        <v>26</v>
      </c>
      <c r="C27" s="1">
        <v>45624</v>
      </c>
      <c r="D27" s="1">
        <v>45627</v>
      </c>
      <c r="E27" t="s">
        <v>70</v>
      </c>
      <c r="F27" t="s">
        <v>12</v>
      </c>
    </row>
    <row r="28" spans="1:6" x14ac:dyDescent="0.3">
      <c r="A28">
        <v>27</v>
      </c>
      <c r="B28">
        <v>27</v>
      </c>
      <c r="C28" s="1">
        <v>45563</v>
      </c>
      <c r="D28" s="1">
        <v>45565</v>
      </c>
      <c r="E28" t="s">
        <v>68</v>
      </c>
      <c r="F28" t="s">
        <v>12</v>
      </c>
    </row>
    <row r="29" spans="1:6" x14ac:dyDescent="0.3">
      <c r="A29">
        <v>28</v>
      </c>
      <c r="B29">
        <v>28</v>
      </c>
      <c r="C29" s="1">
        <v>45541</v>
      </c>
      <c r="D29" s="1">
        <v>45544</v>
      </c>
      <c r="E29" t="s">
        <v>71</v>
      </c>
      <c r="F29" t="s">
        <v>12</v>
      </c>
    </row>
    <row r="30" spans="1:6" x14ac:dyDescent="0.3">
      <c r="A30">
        <v>29</v>
      </c>
      <c r="B30">
        <v>29</v>
      </c>
      <c r="C30" s="1">
        <v>45464</v>
      </c>
      <c r="D30" s="1">
        <v>45473</v>
      </c>
      <c r="E30" t="s">
        <v>72</v>
      </c>
      <c r="F30" t="s">
        <v>69</v>
      </c>
    </row>
    <row r="31" spans="1:6" x14ac:dyDescent="0.3">
      <c r="A31">
        <v>30</v>
      </c>
      <c r="B31">
        <v>30</v>
      </c>
      <c r="C31" s="1">
        <v>45450</v>
      </c>
      <c r="D31" s="1">
        <v>45455</v>
      </c>
      <c r="E31" t="s">
        <v>71</v>
      </c>
      <c r="F31" t="s">
        <v>69</v>
      </c>
    </row>
    <row r="32" spans="1:6" x14ac:dyDescent="0.3">
      <c r="A32">
        <v>31</v>
      </c>
      <c r="B32">
        <v>31</v>
      </c>
      <c r="C32" s="1">
        <v>45470</v>
      </c>
      <c r="D32" s="1">
        <v>45473</v>
      </c>
      <c r="E32" t="s">
        <v>72</v>
      </c>
      <c r="F32" t="s">
        <v>69</v>
      </c>
    </row>
    <row r="33" spans="1:6" x14ac:dyDescent="0.3">
      <c r="A33">
        <v>32</v>
      </c>
      <c r="B33">
        <v>32</v>
      </c>
      <c r="C33" s="1">
        <v>45352</v>
      </c>
      <c r="D33" s="1">
        <v>45361</v>
      </c>
      <c r="E33" t="s">
        <v>68</v>
      </c>
      <c r="F33" t="s">
        <v>69</v>
      </c>
    </row>
    <row r="34" spans="1:6" x14ac:dyDescent="0.3">
      <c r="A34">
        <v>33</v>
      </c>
      <c r="B34">
        <v>33</v>
      </c>
      <c r="C34" s="1">
        <v>45572</v>
      </c>
      <c r="D34" s="1">
        <v>45580</v>
      </c>
      <c r="E34" t="s">
        <v>72</v>
      </c>
      <c r="F34" t="s">
        <v>69</v>
      </c>
    </row>
    <row r="35" spans="1:6" x14ac:dyDescent="0.3">
      <c r="A35">
        <v>34</v>
      </c>
      <c r="B35">
        <v>34</v>
      </c>
      <c r="C35" s="1">
        <v>45625</v>
      </c>
      <c r="D35" s="1">
        <v>45632</v>
      </c>
      <c r="E35" t="s">
        <v>68</v>
      </c>
      <c r="F35" t="s">
        <v>69</v>
      </c>
    </row>
    <row r="36" spans="1:6" x14ac:dyDescent="0.3">
      <c r="A36">
        <v>35</v>
      </c>
      <c r="B36">
        <v>35</v>
      </c>
      <c r="C36" s="1">
        <v>45481</v>
      </c>
      <c r="D36" s="1">
        <v>45486</v>
      </c>
      <c r="E36" t="s">
        <v>68</v>
      </c>
      <c r="F36" t="s">
        <v>12</v>
      </c>
    </row>
    <row r="37" spans="1:6" x14ac:dyDescent="0.3">
      <c r="A37">
        <v>36</v>
      </c>
      <c r="B37">
        <v>36</v>
      </c>
      <c r="C37" s="1">
        <v>45452</v>
      </c>
      <c r="D37" s="1">
        <v>45453</v>
      </c>
      <c r="E37" t="s">
        <v>71</v>
      </c>
      <c r="F37" t="s">
        <v>12</v>
      </c>
    </row>
    <row r="38" spans="1:6" x14ac:dyDescent="0.3">
      <c r="A38">
        <v>37</v>
      </c>
      <c r="B38">
        <v>37</v>
      </c>
      <c r="C38" s="1">
        <v>45390</v>
      </c>
      <c r="D38" s="1">
        <v>45399</v>
      </c>
      <c r="E38" t="s">
        <v>71</v>
      </c>
      <c r="F38" t="s">
        <v>12</v>
      </c>
    </row>
    <row r="39" spans="1:6" x14ac:dyDescent="0.3">
      <c r="A39">
        <v>38</v>
      </c>
      <c r="B39">
        <v>38</v>
      </c>
      <c r="C39" s="1">
        <v>45455</v>
      </c>
      <c r="D39" s="1">
        <v>45456</v>
      </c>
      <c r="E39" t="s">
        <v>70</v>
      </c>
      <c r="F39" t="s">
        <v>12</v>
      </c>
    </row>
    <row r="40" spans="1:6" x14ac:dyDescent="0.3">
      <c r="A40">
        <v>39</v>
      </c>
      <c r="B40">
        <v>39</v>
      </c>
      <c r="C40" s="1">
        <v>45365</v>
      </c>
      <c r="D40" s="1">
        <v>45372</v>
      </c>
      <c r="E40" t="s">
        <v>70</v>
      </c>
      <c r="F40" t="s">
        <v>12</v>
      </c>
    </row>
    <row r="41" spans="1:6" x14ac:dyDescent="0.3">
      <c r="A41">
        <v>40</v>
      </c>
      <c r="B41">
        <v>40</v>
      </c>
      <c r="C41" s="1">
        <v>45621</v>
      </c>
      <c r="D41" s="1">
        <v>45625</v>
      </c>
      <c r="E41" t="s">
        <v>72</v>
      </c>
      <c r="F41" t="s">
        <v>12</v>
      </c>
    </row>
    <row r="42" spans="1:6" x14ac:dyDescent="0.3">
      <c r="A42">
        <v>41</v>
      </c>
      <c r="B42">
        <v>41</v>
      </c>
      <c r="C42" s="1">
        <v>45507</v>
      </c>
      <c r="D42" s="1">
        <v>45514</v>
      </c>
      <c r="E42" t="s">
        <v>70</v>
      </c>
      <c r="F42" t="s">
        <v>12</v>
      </c>
    </row>
    <row r="43" spans="1:6" x14ac:dyDescent="0.3">
      <c r="A43">
        <v>42</v>
      </c>
      <c r="B43">
        <v>42</v>
      </c>
      <c r="C43" s="1">
        <v>45510</v>
      </c>
      <c r="D43" s="1">
        <v>45515</v>
      </c>
      <c r="E43" t="s">
        <v>71</v>
      </c>
      <c r="F43" t="s">
        <v>69</v>
      </c>
    </row>
    <row r="44" spans="1:6" x14ac:dyDescent="0.3">
      <c r="A44">
        <v>43</v>
      </c>
      <c r="B44">
        <v>43</v>
      </c>
      <c r="C44" s="1">
        <v>45443</v>
      </c>
      <c r="D44" s="1">
        <v>45447</v>
      </c>
      <c r="E44" t="s">
        <v>68</v>
      </c>
      <c r="F44" t="s">
        <v>12</v>
      </c>
    </row>
    <row r="45" spans="1:6" x14ac:dyDescent="0.3">
      <c r="A45">
        <v>44</v>
      </c>
      <c r="B45">
        <v>44</v>
      </c>
      <c r="C45" s="1">
        <v>45542</v>
      </c>
      <c r="D45" s="1">
        <v>45546</v>
      </c>
      <c r="E45" t="s">
        <v>68</v>
      </c>
      <c r="F45" t="s">
        <v>69</v>
      </c>
    </row>
    <row r="46" spans="1:6" x14ac:dyDescent="0.3">
      <c r="A46">
        <v>45</v>
      </c>
      <c r="B46">
        <v>45</v>
      </c>
      <c r="C46" s="1">
        <v>45596</v>
      </c>
      <c r="D46" s="1">
        <v>45597</v>
      </c>
      <c r="E46" t="s">
        <v>68</v>
      </c>
      <c r="F46" t="s">
        <v>69</v>
      </c>
    </row>
    <row r="47" spans="1:6" x14ac:dyDescent="0.3">
      <c r="A47">
        <v>46</v>
      </c>
      <c r="B47">
        <v>46</v>
      </c>
      <c r="C47" s="1">
        <v>45399</v>
      </c>
      <c r="D47" s="1">
        <v>45403</v>
      </c>
      <c r="E47" t="s">
        <v>68</v>
      </c>
      <c r="F47" t="s">
        <v>69</v>
      </c>
    </row>
    <row r="48" spans="1:6" x14ac:dyDescent="0.3">
      <c r="A48">
        <v>47</v>
      </c>
      <c r="B48">
        <v>47</v>
      </c>
      <c r="C48" s="1">
        <v>45654</v>
      </c>
      <c r="D48" s="1">
        <v>45664</v>
      </c>
      <c r="E48" t="s">
        <v>70</v>
      </c>
      <c r="F48" t="s">
        <v>12</v>
      </c>
    </row>
    <row r="49" spans="1:6" x14ac:dyDescent="0.3">
      <c r="A49">
        <v>48</v>
      </c>
      <c r="B49">
        <v>48</v>
      </c>
      <c r="C49" s="1">
        <v>45354</v>
      </c>
      <c r="D49" s="1">
        <v>45358</v>
      </c>
      <c r="E49" t="s">
        <v>72</v>
      </c>
      <c r="F49" t="s">
        <v>69</v>
      </c>
    </row>
    <row r="50" spans="1:6" x14ac:dyDescent="0.3">
      <c r="A50">
        <v>49</v>
      </c>
      <c r="B50">
        <v>49</v>
      </c>
      <c r="C50" s="1">
        <v>45512</v>
      </c>
      <c r="D50" s="1">
        <v>45516</v>
      </c>
      <c r="E50" t="s">
        <v>71</v>
      </c>
      <c r="F50" t="s">
        <v>69</v>
      </c>
    </row>
    <row r="51" spans="1:6" x14ac:dyDescent="0.3">
      <c r="A51">
        <v>50</v>
      </c>
      <c r="B51">
        <v>50</v>
      </c>
      <c r="C51" s="1">
        <v>45447</v>
      </c>
      <c r="D51" s="1">
        <v>45453</v>
      </c>
      <c r="E51" t="s">
        <v>70</v>
      </c>
      <c r="F51" t="s">
        <v>12</v>
      </c>
    </row>
    <row r="52" spans="1:6" x14ac:dyDescent="0.3">
      <c r="A52">
        <v>51</v>
      </c>
      <c r="B52">
        <v>51</v>
      </c>
      <c r="C52" s="1">
        <v>45605</v>
      </c>
      <c r="D52" s="1">
        <v>45614</v>
      </c>
      <c r="E52" t="s">
        <v>70</v>
      </c>
      <c r="F52" t="s">
        <v>69</v>
      </c>
    </row>
    <row r="53" spans="1:6" x14ac:dyDescent="0.3">
      <c r="A53">
        <v>52</v>
      </c>
      <c r="B53">
        <v>52</v>
      </c>
      <c r="C53" s="1">
        <v>45510</v>
      </c>
      <c r="D53" s="1">
        <v>45512</v>
      </c>
      <c r="E53" t="s">
        <v>71</v>
      </c>
      <c r="F53" t="s">
        <v>69</v>
      </c>
    </row>
    <row r="54" spans="1:6" x14ac:dyDescent="0.3">
      <c r="A54">
        <v>53</v>
      </c>
      <c r="B54">
        <v>53</v>
      </c>
      <c r="C54" s="1">
        <v>45442</v>
      </c>
      <c r="D54" s="1">
        <v>45443</v>
      </c>
      <c r="E54" t="s">
        <v>68</v>
      </c>
      <c r="F54" t="s">
        <v>69</v>
      </c>
    </row>
    <row r="55" spans="1:6" x14ac:dyDescent="0.3">
      <c r="A55">
        <v>54</v>
      </c>
      <c r="B55">
        <v>54</v>
      </c>
      <c r="C55" s="1">
        <v>45607</v>
      </c>
      <c r="D55" s="1">
        <v>45611</v>
      </c>
      <c r="E55" t="s">
        <v>71</v>
      </c>
      <c r="F55" t="s">
        <v>12</v>
      </c>
    </row>
    <row r="56" spans="1:6" x14ac:dyDescent="0.3">
      <c r="A56">
        <v>55</v>
      </c>
      <c r="B56">
        <v>55</v>
      </c>
      <c r="C56" s="1">
        <v>45545</v>
      </c>
      <c r="D56" s="1">
        <v>45555</v>
      </c>
      <c r="E56" t="s">
        <v>70</v>
      </c>
      <c r="F56" t="s">
        <v>12</v>
      </c>
    </row>
    <row r="57" spans="1:6" x14ac:dyDescent="0.3">
      <c r="A57">
        <v>56</v>
      </c>
      <c r="B57">
        <v>56</v>
      </c>
      <c r="C57" s="1">
        <v>45306</v>
      </c>
      <c r="D57" s="1">
        <v>45309</v>
      </c>
      <c r="E57" t="s">
        <v>68</v>
      </c>
      <c r="F57" t="s">
        <v>12</v>
      </c>
    </row>
    <row r="58" spans="1:6" x14ac:dyDescent="0.3">
      <c r="A58">
        <v>57</v>
      </c>
      <c r="B58">
        <v>57</v>
      </c>
      <c r="C58" s="1">
        <v>45530</v>
      </c>
      <c r="D58" s="1">
        <v>45540</v>
      </c>
      <c r="E58" t="s">
        <v>70</v>
      </c>
      <c r="F58" t="s">
        <v>12</v>
      </c>
    </row>
    <row r="59" spans="1:6" x14ac:dyDescent="0.3">
      <c r="A59">
        <v>58</v>
      </c>
      <c r="B59">
        <v>58</v>
      </c>
      <c r="C59" s="1">
        <v>45303</v>
      </c>
      <c r="D59" s="1">
        <v>45307</v>
      </c>
      <c r="E59" t="s">
        <v>71</v>
      </c>
      <c r="F59" t="s">
        <v>12</v>
      </c>
    </row>
    <row r="60" spans="1:6" x14ac:dyDescent="0.3">
      <c r="A60">
        <v>59</v>
      </c>
      <c r="B60">
        <v>59</v>
      </c>
      <c r="C60" s="1">
        <v>45565</v>
      </c>
      <c r="D60" s="1">
        <v>45569</v>
      </c>
      <c r="E60" t="s">
        <v>72</v>
      </c>
      <c r="F60" t="s">
        <v>12</v>
      </c>
    </row>
    <row r="61" spans="1:6" x14ac:dyDescent="0.3">
      <c r="A61">
        <v>60</v>
      </c>
      <c r="B61">
        <v>60</v>
      </c>
      <c r="C61" s="1">
        <v>45415</v>
      </c>
      <c r="D61" s="1">
        <v>45425</v>
      </c>
      <c r="E61" t="s">
        <v>72</v>
      </c>
      <c r="F61" t="s">
        <v>69</v>
      </c>
    </row>
    <row r="62" spans="1:6" x14ac:dyDescent="0.3">
      <c r="A62">
        <v>61</v>
      </c>
      <c r="B62">
        <v>61</v>
      </c>
      <c r="C62" s="1">
        <v>45392</v>
      </c>
      <c r="D62" s="1">
        <v>45401</v>
      </c>
      <c r="E62" t="s">
        <v>71</v>
      </c>
      <c r="F62" t="s">
        <v>12</v>
      </c>
    </row>
    <row r="63" spans="1:6" x14ac:dyDescent="0.3">
      <c r="A63">
        <v>62</v>
      </c>
      <c r="B63">
        <v>62</v>
      </c>
      <c r="C63" s="1">
        <v>45641</v>
      </c>
      <c r="D63" s="1">
        <v>45651</v>
      </c>
      <c r="E63" t="s">
        <v>68</v>
      </c>
      <c r="F63" t="s">
        <v>12</v>
      </c>
    </row>
    <row r="64" spans="1:6" x14ac:dyDescent="0.3">
      <c r="A64">
        <v>63</v>
      </c>
      <c r="B64">
        <v>63</v>
      </c>
      <c r="C64" s="1">
        <v>45603</v>
      </c>
      <c r="D64" s="1">
        <v>45608</v>
      </c>
      <c r="E64" t="s">
        <v>72</v>
      </c>
      <c r="F64" t="s">
        <v>12</v>
      </c>
    </row>
    <row r="65" spans="1:6" x14ac:dyDescent="0.3">
      <c r="A65">
        <v>64</v>
      </c>
      <c r="B65">
        <v>64</v>
      </c>
      <c r="C65" s="1">
        <v>45652</v>
      </c>
      <c r="D65" s="1">
        <v>45662</v>
      </c>
      <c r="E65" t="s">
        <v>68</v>
      </c>
      <c r="F65" t="s">
        <v>69</v>
      </c>
    </row>
    <row r="66" spans="1:6" x14ac:dyDescent="0.3">
      <c r="A66">
        <v>65</v>
      </c>
      <c r="B66">
        <v>65</v>
      </c>
      <c r="C66" s="1">
        <v>45485</v>
      </c>
      <c r="D66" s="1">
        <v>45492</v>
      </c>
      <c r="E66" t="s">
        <v>72</v>
      </c>
      <c r="F66" t="s">
        <v>12</v>
      </c>
    </row>
    <row r="67" spans="1:6" x14ac:dyDescent="0.3">
      <c r="A67">
        <v>66</v>
      </c>
      <c r="B67">
        <v>66</v>
      </c>
      <c r="C67" s="1">
        <v>45656</v>
      </c>
      <c r="D67" s="1">
        <v>45658</v>
      </c>
      <c r="E67" t="s">
        <v>72</v>
      </c>
      <c r="F67" t="s">
        <v>69</v>
      </c>
    </row>
    <row r="68" spans="1:6" x14ac:dyDescent="0.3">
      <c r="A68">
        <v>67</v>
      </c>
      <c r="B68">
        <v>67</v>
      </c>
      <c r="C68" s="1">
        <v>45471</v>
      </c>
      <c r="D68" s="1">
        <v>45481</v>
      </c>
      <c r="E68" t="s">
        <v>71</v>
      </c>
      <c r="F68" t="s">
        <v>12</v>
      </c>
    </row>
    <row r="69" spans="1:6" x14ac:dyDescent="0.3">
      <c r="A69">
        <v>68</v>
      </c>
      <c r="B69">
        <v>68</v>
      </c>
      <c r="C69" s="1">
        <v>45438</v>
      </c>
      <c r="D69" s="1">
        <v>45447</v>
      </c>
      <c r="E69" t="s">
        <v>72</v>
      </c>
      <c r="F69" t="s">
        <v>69</v>
      </c>
    </row>
    <row r="70" spans="1:6" x14ac:dyDescent="0.3">
      <c r="A70">
        <v>69</v>
      </c>
      <c r="B70">
        <v>69</v>
      </c>
      <c r="C70" s="1">
        <v>45352</v>
      </c>
      <c r="D70" s="1">
        <v>45361</v>
      </c>
      <c r="E70" t="s">
        <v>70</v>
      </c>
      <c r="F70" t="s">
        <v>69</v>
      </c>
    </row>
    <row r="71" spans="1:6" x14ac:dyDescent="0.3">
      <c r="A71">
        <v>70</v>
      </c>
      <c r="B71">
        <v>70</v>
      </c>
      <c r="C71" s="1">
        <v>45656</v>
      </c>
      <c r="D71" s="1">
        <v>45660</v>
      </c>
      <c r="E71" t="s">
        <v>70</v>
      </c>
      <c r="F71" t="s">
        <v>69</v>
      </c>
    </row>
    <row r="72" spans="1:6" x14ac:dyDescent="0.3">
      <c r="A72">
        <v>71</v>
      </c>
      <c r="B72">
        <v>71</v>
      </c>
      <c r="C72" s="1">
        <v>45330</v>
      </c>
      <c r="D72" s="1">
        <v>45337</v>
      </c>
      <c r="E72" t="s">
        <v>70</v>
      </c>
      <c r="F72" t="s">
        <v>12</v>
      </c>
    </row>
    <row r="73" spans="1:6" x14ac:dyDescent="0.3">
      <c r="A73">
        <v>72</v>
      </c>
      <c r="B73">
        <v>72</v>
      </c>
      <c r="C73" s="1">
        <v>45538</v>
      </c>
      <c r="D73" s="1">
        <v>45542</v>
      </c>
      <c r="E73" t="s">
        <v>70</v>
      </c>
      <c r="F73" t="s">
        <v>12</v>
      </c>
    </row>
    <row r="74" spans="1:6" x14ac:dyDescent="0.3">
      <c r="A74">
        <v>73</v>
      </c>
      <c r="B74">
        <v>73</v>
      </c>
      <c r="C74" s="1">
        <v>45512</v>
      </c>
      <c r="D74" s="1">
        <v>45517</v>
      </c>
      <c r="E74" t="s">
        <v>70</v>
      </c>
      <c r="F74" t="s">
        <v>12</v>
      </c>
    </row>
    <row r="75" spans="1:6" x14ac:dyDescent="0.3">
      <c r="A75">
        <v>74</v>
      </c>
      <c r="B75">
        <v>74</v>
      </c>
      <c r="C75" s="1">
        <v>45635</v>
      </c>
      <c r="D75" s="1">
        <v>45636</v>
      </c>
      <c r="E75" t="s">
        <v>70</v>
      </c>
      <c r="F75" t="s">
        <v>12</v>
      </c>
    </row>
    <row r="76" spans="1:6" x14ac:dyDescent="0.3">
      <c r="A76">
        <v>75</v>
      </c>
      <c r="B76">
        <v>75</v>
      </c>
      <c r="C76" s="1">
        <v>45492</v>
      </c>
      <c r="D76" s="1">
        <v>45496</v>
      </c>
      <c r="E76" t="s">
        <v>68</v>
      </c>
      <c r="F76" t="s">
        <v>12</v>
      </c>
    </row>
    <row r="77" spans="1:6" x14ac:dyDescent="0.3">
      <c r="A77">
        <v>76</v>
      </c>
      <c r="B77">
        <v>76</v>
      </c>
      <c r="C77" s="1">
        <v>45357</v>
      </c>
      <c r="D77" s="1">
        <v>45359</v>
      </c>
      <c r="E77" t="s">
        <v>68</v>
      </c>
      <c r="F77" t="s">
        <v>12</v>
      </c>
    </row>
    <row r="78" spans="1:6" x14ac:dyDescent="0.3">
      <c r="A78">
        <v>77</v>
      </c>
      <c r="B78">
        <v>77</v>
      </c>
      <c r="C78" s="1">
        <v>45331</v>
      </c>
      <c r="D78" s="1">
        <v>45332</v>
      </c>
      <c r="E78" t="s">
        <v>70</v>
      </c>
      <c r="F78" t="s">
        <v>12</v>
      </c>
    </row>
    <row r="79" spans="1:6" x14ac:dyDescent="0.3">
      <c r="A79">
        <v>78</v>
      </c>
      <c r="B79">
        <v>78</v>
      </c>
      <c r="C79" s="1">
        <v>45590</v>
      </c>
      <c r="D79" s="1">
        <v>45593</v>
      </c>
      <c r="E79" t="s">
        <v>70</v>
      </c>
      <c r="F79" t="s">
        <v>69</v>
      </c>
    </row>
    <row r="80" spans="1:6" x14ac:dyDescent="0.3">
      <c r="A80">
        <v>79</v>
      </c>
      <c r="B80">
        <v>79</v>
      </c>
      <c r="C80" s="1">
        <v>45503</v>
      </c>
      <c r="D80" s="1">
        <v>45507</v>
      </c>
      <c r="E80" t="s">
        <v>68</v>
      </c>
      <c r="F80" t="s">
        <v>69</v>
      </c>
    </row>
    <row r="81" spans="1:6" x14ac:dyDescent="0.3">
      <c r="A81">
        <v>80</v>
      </c>
      <c r="B81">
        <v>80</v>
      </c>
      <c r="C81" s="1">
        <v>45393</v>
      </c>
      <c r="D81" s="1">
        <v>45400</v>
      </c>
      <c r="E81" t="s">
        <v>71</v>
      </c>
      <c r="F81" t="s">
        <v>12</v>
      </c>
    </row>
    <row r="82" spans="1:6" x14ac:dyDescent="0.3">
      <c r="A82">
        <v>81</v>
      </c>
      <c r="B82">
        <v>81</v>
      </c>
      <c r="C82" s="1">
        <v>45295</v>
      </c>
      <c r="D82" s="1">
        <v>45304</v>
      </c>
      <c r="E82" t="s">
        <v>72</v>
      </c>
      <c r="F82" t="s">
        <v>12</v>
      </c>
    </row>
    <row r="83" spans="1:6" x14ac:dyDescent="0.3">
      <c r="A83">
        <v>82</v>
      </c>
      <c r="B83">
        <v>82</v>
      </c>
      <c r="C83" s="1">
        <v>45327</v>
      </c>
      <c r="D83" s="1">
        <v>45329</v>
      </c>
      <c r="E83" t="s">
        <v>68</v>
      </c>
      <c r="F83" t="s">
        <v>12</v>
      </c>
    </row>
    <row r="84" spans="1:6" x14ac:dyDescent="0.3">
      <c r="A84">
        <v>83</v>
      </c>
      <c r="B84">
        <v>83</v>
      </c>
      <c r="C84" s="1">
        <v>45415</v>
      </c>
      <c r="D84" s="1">
        <v>45416</v>
      </c>
      <c r="E84" t="s">
        <v>70</v>
      </c>
      <c r="F84" t="s">
        <v>69</v>
      </c>
    </row>
    <row r="85" spans="1:6" x14ac:dyDescent="0.3">
      <c r="A85">
        <v>84</v>
      </c>
      <c r="B85">
        <v>84</v>
      </c>
      <c r="C85" s="1">
        <v>45588</v>
      </c>
      <c r="D85" s="1">
        <v>45593</v>
      </c>
      <c r="E85" t="s">
        <v>71</v>
      </c>
      <c r="F85" t="s">
        <v>69</v>
      </c>
    </row>
    <row r="86" spans="1:6" x14ac:dyDescent="0.3">
      <c r="A86">
        <v>85</v>
      </c>
      <c r="B86">
        <v>85</v>
      </c>
      <c r="C86" s="1">
        <v>45346</v>
      </c>
      <c r="D86" s="1">
        <v>45355</v>
      </c>
      <c r="E86" t="s">
        <v>70</v>
      </c>
      <c r="F86" t="s">
        <v>12</v>
      </c>
    </row>
    <row r="87" spans="1:6" x14ac:dyDescent="0.3">
      <c r="A87">
        <v>86</v>
      </c>
      <c r="B87">
        <v>86</v>
      </c>
      <c r="C87" s="1">
        <v>45655</v>
      </c>
      <c r="D87" s="1">
        <v>45659</v>
      </c>
      <c r="E87" t="s">
        <v>68</v>
      </c>
      <c r="F87" t="s">
        <v>69</v>
      </c>
    </row>
    <row r="88" spans="1:6" x14ac:dyDescent="0.3">
      <c r="A88">
        <v>87</v>
      </c>
      <c r="B88">
        <v>87</v>
      </c>
      <c r="C88" s="1">
        <v>45423</v>
      </c>
      <c r="D88" s="1">
        <v>45430</v>
      </c>
      <c r="E88" t="s">
        <v>72</v>
      </c>
      <c r="F88" t="s">
        <v>12</v>
      </c>
    </row>
    <row r="89" spans="1:6" x14ac:dyDescent="0.3">
      <c r="A89">
        <v>88</v>
      </c>
      <c r="B89">
        <v>88</v>
      </c>
      <c r="C89" s="1">
        <v>45391</v>
      </c>
      <c r="D89" s="1">
        <v>45401</v>
      </c>
      <c r="E89" t="s">
        <v>68</v>
      </c>
      <c r="F89" t="s">
        <v>69</v>
      </c>
    </row>
    <row r="90" spans="1:6" x14ac:dyDescent="0.3">
      <c r="A90">
        <v>89</v>
      </c>
      <c r="B90">
        <v>89</v>
      </c>
      <c r="C90" s="1">
        <v>45576</v>
      </c>
      <c r="D90" s="1">
        <v>45579</v>
      </c>
      <c r="E90" t="s">
        <v>71</v>
      </c>
      <c r="F90" t="s">
        <v>69</v>
      </c>
    </row>
    <row r="91" spans="1:6" x14ac:dyDescent="0.3">
      <c r="A91">
        <v>90</v>
      </c>
      <c r="B91">
        <v>90</v>
      </c>
      <c r="C91" s="1">
        <v>45576</v>
      </c>
      <c r="D91" s="1">
        <v>45577</v>
      </c>
      <c r="E91" t="s">
        <v>71</v>
      </c>
      <c r="F91" t="s">
        <v>12</v>
      </c>
    </row>
    <row r="92" spans="1:6" x14ac:dyDescent="0.3">
      <c r="A92">
        <v>91</v>
      </c>
      <c r="B92">
        <v>91</v>
      </c>
      <c r="C92" s="1">
        <v>45357</v>
      </c>
      <c r="D92" s="1">
        <v>45363</v>
      </c>
      <c r="E92" t="s">
        <v>70</v>
      </c>
      <c r="F92" t="s">
        <v>12</v>
      </c>
    </row>
    <row r="93" spans="1:6" x14ac:dyDescent="0.3">
      <c r="A93">
        <v>92</v>
      </c>
      <c r="B93">
        <v>92</v>
      </c>
      <c r="C93" s="1">
        <v>45474</v>
      </c>
      <c r="D93" s="1">
        <v>45477</v>
      </c>
      <c r="E93" t="s">
        <v>72</v>
      </c>
      <c r="F93" t="s">
        <v>12</v>
      </c>
    </row>
    <row r="94" spans="1:6" x14ac:dyDescent="0.3">
      <c r="A94">
        <v>93</v>
      </c>
      <c r="B94">
        <v>93</v>
      </c>
      <c r="C94" s="1">
        <v>45355</v>
      </c>
      <c r="D94" s="1">
        <v>45358</v>
      </c>
      <c r="E94" t="s">
        <v>71</v>
      </c>
      <c r="F94" t="s">
        <v>12</v>
      </c>
    </row>
    <row r="95" spans="1:6" x14ac:dyDescent="0.3">
      <c r="A95">
        <v>94</v>
      </c>
      <c r="B95">
        <v>94</v>
      </c>
      <c r="C95" s="1">
        <v>45369</v>
      </c>
      <c r="D95" s="1">
        <v>45374</v>
      </c>
      <c r="E95" t="s">
        <v>72</v>
      </c>
      <c r="F95" t="s">
        <v>69</v>
      </c>
    </row>
    <row r="96" spans="1:6" x14ac:dyDescent="0.3">
      <c r="A96">
        <v>95</v>
      </c>
      <c r="B96">
        <v>95</v>
      </c>
      <c r="C96" s="1">
        <v>45656</v>
      </c>
      <c r="D96" s="1">
        <v>45658</v>
      </c>
      <c r="E96" t="s">
        <v>72</v>
      </c>
      <c r="F96" t="s">
        <v>69</v>
      </c>
    </row>
    <row r="97" spans="1:6" x14ac:dyDescent="0.3">
      <c r="A97">
        <v>96</v>
      </c>
      <c r="B97">
        <v>96</v>
      </c>
      <c r="C97" s="1">
        <v>45463</v>
      </c>
      <c r="D97" s="1">
        <v>45470</v>
      </c>
      <c r="E97" t="s">
        <v>71</v>
      </c>
      <c r="F97" t="s">
        <v>69</v>
      </c>
    </row>
    <row r="98" spans="1:6" x14ac:dyDescent="0.3">
      <c r="A98">
        <v>97</v>
      </c>
      <c r="B98">
        <v>97</v>
      </c>
      <c r="C98" s="1">
        <v>45422</v>
      </c>
      <c r="D98" s="1">
        <v>45423</v>
      </c>
      <c r="E98" t="s">
        <v>70</v>
      </c>
      <c r="F98" t="s">
        <v>69</v>
      </c>
    </row>
    <row r="99" spans="1:6" x14ac:dyDescent="0.3">
      <c r="A99">
        <v>98</v>
      </c>
      <c r="B99">
        <v>98</v>
      </c>
      <c r="C99" s="1">
        <v>45595</v>
      </c>
      <c r="D99" s="1">
        <v>45596</v>
      </c>
      <c r="E99" t="s">
        <v>70</v>
      </c>
      <c r="F99" t="s">
        <v>69</v>
      </c>
    </row>
    <row r="100" spans="1:6" x14ac:dyDescent="0.3">
      <c r="A100">
        <v>99</v>
      </c>
      <c r="B100">
        <v>99</v>
      </c>
      <c r="C100" s="1">
        <v>45394</v>
      </c>
      <c r="D100" s="1">
        <v>45395</v>
      </c>
      <c r="E100" t="s">
        <v>70</v>
      </c>
      <c r="F100" t="s">
        <v>69</v>
      </c>
    </row>
    <row r="101" spans="1:6" x14ac:dyDescent="0.3">
      <c r="A101">
        <v>100</v>
      </c>
      <c r="B101">
        <v>100</v>
      </c>
      <c r="C101" s="1">
        <v>45340</v>
      </c>
      <c r="D101" s="1">
        <v>45350</v>
      </c>
      <c r="E101" t="s">
        <v>70</v>
      </c>
      <c r="F101" t="s">
        <v>12</v>
      </c>
    </row>
    <row r="102" spans="1:6" x14ac:dyDescent="0.3">
      <c r="A102">
        <v>101</v>
      </c>
      <c r="B102">
        <v>101</v>
      </c>
      <c r="C102" s="1">
        <v>45588</v>
      </c>
      <c r="D102" s="1">
        <v>45592</v>
      </c>
      <c r="E102" t="s">
        <v>68</v>
      </c>
      <c r="F102" t="s">
        <v>12</v>
      </c>
    </row>
    <row r="103" spans="1:6" x14ac:dyDescent="0.3">
      <c r="A103">
        <v>102</v>
      </c>
      <c r="B103">
        <v>102</v>
      </c>
      <c r="C103" s="1">
        <v>45349</v>
      </c>
      <c r="D103" s="1">
        <v>45353</v>
      </c>
      <c r="E103" t="s">
        <v>72</v>
      </c>
      <c r="F103" t="s">
        <v>69</v>
      </c>
    </row>
    <row r="104" spans="1:6" x14ac:dyDescent="0.3">
      <c r="A104">
        <v>103</v>
      </c>
      <c r="B104">
        <v>103</v>
      </c>
      <c r="C104" s="1">
        <v>45617</v>
      </c>
      <c r="D104" s="1">
        <v>45626</v>
      </c>
      <c r="E104" t="s">
        <v>68</v>
      </c>
      <c r="F104" t="s">
        <v>12</v>
      </c>
    </row>
    <row r="105" spans="1:6" x14ac:dyDescent="0.3">
      <c r="A105">
        <v>104</v>
      </c>
      <c r="B105">
        <v>104</v>
      </c>
      <c r="C105" s="1">
        <v>45549</v>
      </c>
      <c r="D105" s="1">
        <v>45550</v>
      </c>
      <c r="E105" t="s">
        <v>72</v>
      </c>
      <c r="F105" t="s">
        <v>12</v>
      </c>
    </row>
    <row r="106" spans="1:6" x14ac:dyDescent="0.3">
      <c r="A106">
        <v>105</v>
      </c>
      <c r="B106">
        <v>105</v>
      </c>
      <c r="C106" s="1">
        <v>45580</v>
      </c>
      <c r="D106" s="1">
        <v>45583</v>
      </c>
      <c r="E106" t="s">
        <v>72</v>
      </c>
      <c r="F106" t="s">
        <v>12</v>
      </c>
    </row>
    <row r="107" spans="1:6" x14ac:dyDescent="0.3">
      <c r="A107">
        <v>106</v>
      </c>
      <c r="B107">
        <v>106</v>
      </c>
      <c r="C107" s="1">
        <v>45413</v>
      </c>
      <c r="D107" s="1">
        <v>45415</v>
      </c>
      <c r="E107" t="s">
        <v>70</v>
      </c>
      <c r="F107" t="s">
        <v>12</v>
      </c>
    </row>
    <row r="108" spans="1:6" x14ac:dyDescent="0.3">
      <c r="A108">
        <v>107</v>
      </c>
      <c r="B108">
        <v>107</v>
      </c>
      <c r="C108" s="1">
        <v>45547</v>
      </c>
      <c r="D108" s="1">
        <v>45555</v>
      </c>
      <c r="E108" t="s">
        <v>72</v>
      </c>
      <c r="F108" t="s">
        <v>69</v>
      </c>
    </row>
    <row r="109" spans="1:6" x14ac:dyDescent="0.3">
      <c r="A109">
        <v>108</v>
      </c>
      <c r="B109">
        <v>108</v>
      </c>
      <c r="C109" s="1">
        <v>45458</v>
      </c>
      <c r="D109" s="1">
        <v>45467</v>
      </c>
      <c r="E109" t="s">
        <v>71</v>
      </c>
      <c r="F109" t="s">
        <v>12</v>
      </c>
    </row>
    <row r="110" spans="1:6" x14ac:dyDescent="0.3">
      <c r="A110">
        <v>109</v>
      </c>
      <c r="B110">
        <v>109</v>
      </c>
      <c r="C110" s="1">
        <v>45396</v>
      </c>
      <c r="D110" s="1">
        <v>45397</v>
      </c>
      <c r="E110" t="s">
        <v>70</v>
      </c>
      <c r="F110" t="s">
        <v>69</v>
      </c>
    </row>
    <row r="111" spans="1:6" x14ac:dyDescent="0.3">
      <c r="A111">
        <v>110</v>
      </c>
      <c r="B111">
        <v>110</v>
      </c>
      <c r="C111" s="1">
        <v>45366</v>
      </c>
      <c r="D111" s="1">
        <v>45367</v>
      </c>
      <c r="E111" t="s">
        <v>70</v>
      </c>
      <c r="F111" t="s">
        <v>12</v>
      </c>
    </row>
    <row r="112" spans="1:6" x14ac:dyDescent="0.3">
      <c r="A112">
        <v>111</v>
      </c>
      <c r="B112">
        <v>111</v>
      </c>
      <c r="C112" s="1">
        <v>45302</v>
      </c>
      <c r="D112" s="1">
        <v>45312</v>
      </c>
      <c r="E112" t="s">
        <v>68</v>
      </c>
      <c r="F112" t="s">
        <v>69</v>
      </c>
    </row>
    <row r="113" spans="1:6" x14ac:dyDescent="0.3">
      <c r="A113">
        <v>112</v>
      </c>
      <c r="B113">
        <v>112</v>
      </c>
      <c r="C113" s="1">
        <v>45433</v>
      </c>
      <c r="D113" s="1">
        <v>45441</v>
      </c>
      <c r="E113" t="s">
        <v>71</v>
      </c>
      <c r="F113" t="s">
        <v>69</v>
      </c>
    </row>
    <row r="114" spans="1:6" x14ac:dyDescent="0.3">
      <c r="A114">
        <v>113</v>
      </c>
      <c r="B114">
        <v>113</v>
      </c>
      <c r="C114" s="1">
        <v>45560</v>
      </c>
      <c r="D114" s="1">
        <v>45566</v>
      </c>
      <c r="E114" t="s">
        <v>72</v>
      </c>
      <c r="F114" t="s">
        <v>12</v>
      </c>
    </row>
    <row r="115" spans="1:6" x14ac:dyDescent="0.3">
      <c r="A115">
        <v>114</v>
      </c>
      <c r="B115">
        <v>114</v>
      </c>
      <c r="C115" s="1">
        <v>45565</v>
      </c>
      <c r="D115" s="1">
        <v>45573</v>
      </c>
      <c r="E115" t="s">
        <v>68</v>
      </c>
      <c r="F115" t="s">
        <v>12</v>
      </c>
    </row>
    <row r="116" spans="1:6" x14ac:dyDescent="0.3">
      <c r="A116">
        <v>115</v>
      </c>
      <c r="B116">
        <v>115</v>
      </c>
      <c r="C116" s="1">
        <v>45506</v>
      </c>
      <c r="D116" s="1">
        <v>45507</v>
      </c>
      <c r="E116" t="s">
        <v>70</v>
      </c>
      <c r="F116" t="s">
        <v>69</v>
      </c>
    </row>
    <row r="117" spans="1:6" x14ac:dyDescent="0.3">
      <c r="A117">
        <v>116</v>
      </c>
      <c r="B117">
        <v>116</v>
      </c>
      <c r="C117" s="1">
        <v>45530</v>
      </c>
      <c r="D117" s="1">
        <v>45531</v>
      </c>
      <c r="E117" t="s">
        <v>68</v>
      </c>
      <c r="F117" t="s">
        <v>12</v>
      </c>
    </row>
    <row r="118" spans="1:6" x14ac:dyDescent="0.3">
      <c r="A118">
        <v>117</v>
      </c>
      <c r="B118">
        <v>117</v>
      </c>
      <c r="C118" s="1">
        <v>45387</v>
      </c>
      <c r="D118" s="1">
        <v>45390</v>
      </c>
      <c r="E118" t="s">
        <v>72</v>
      </c>
      <c r="F118" t="s">
        <v>12</v>
      </c>
    </row>
    <row r="119" spans="1:6" x14ac:dyDescent="0.3">
      <c r="A119">
        <v>118</v>
      </c>
      <c r="B119">
        <v>118</v>
      </c>
      <c r="C119" s="1">
        <v>45539</v>
      </c>
      <c r="D119" s="1">
        <v>45542</v>
      </c>
      <c r="E119" t="s">
        <v>72</v>
      </c>
      <c r="F119" t="s">
        <v>12</v>
      </c>
    </row>
    <row r="120" spans="1:6" x14ac:dyDescent="0.3">
      <c r="A120">
        <v>119</v>
      </c>
      <c r="B120">
        <v>119</v>
      </c>
      <c r="C120" s="1">
        <v>45568</v>
      </c>
      <c r="D120" s="1">
        <v>45569</v>
      </c>
      <c r="E120" t="s">
        <v>70</v>
      </c>
      <c r="F120" t="s">
        <v>12</v>
      </c>
    </row>
    <row r="121" spans="1:6" x14ac:dyDescent="0.3">
      <c r="A121">
        <v>120</v>
      </c>
      <c r="B121">
        <v>120</v>
      </c>
      <c r="C121" s="1">
        <v>45365</v>
      </c>
      <c r="D121" s="1">
        <v>45372</v>
      </c>
      <c r="E121" t="s">
        <v>72</v>
      </c>
      <c r="F121" t="s">
        <v>12</v>
      </c>
    </row>
    <row r="122" spans="1:6" x14ac:dyDescent="0.3">
      <c r="A122">
        <v>121</v>
      </c>
      <c r="B122">
        <v>121</v>
      </c>
      <c r="C122" s="1">
        <v>45616</v>
      </c>
      <c r="D122" s="1">
        <v>45620</v>
      </c>
      <c r="E122" t="s">
        <v>70</v>
      </c>
      <c r="F122" t="s">
        <v>12</v>
      </c>
    </row>
    <row r="123" spans="1:6" x14ac:dyDescent="0.3">
      <c r="A123">
        <v>122</v>
      </c>
      <c r="B123">
        <v>122</v>
      </c>
      <c r="C123" s="1">
        <v>45650</v>
      </c>
      <c r="D123" s="1">
        <v>45655</v>
      </c>
      <c r="E123" t="s">
        <v>68</v>
      </c>
      <c r="F123" t="s">
        <v>69</v>
      </c>
    </row>
    <row r="124" spans="1:6" x14ac:dyDescent="0.3">
      <c r="A124">
        <v>123</v>
      </c>
      <c r="B124">
        <v>123</v>
      </c>
      <c r="C124" s="1">
        <v>45581</v>
      </c>
      <c r="D124" s="1">
        <v>45588</v>
      </c>
      <c r="E124" t="s">
        <v>70</v>
      </c>
      <c r="F124" t="s">
        <v>12</v>
      </c>
    </row>
    <row r="125" spans="1:6" x14ac:dyDescent="0.3">
      <c r="A125">
        <v>124</v>
      </c>
      <c r="B125">
        <v>124</v>
      </c>
      <c r="C125" s="1">
        <v>45607</v>
      </c>
      <c r="D125" s="1">
        <v>45616</v>
      </c>
      <c r="E125" t="s">
        <v>68</v>
      </c>
      <c r="F125" t="s">
        <v>12</v>
      </c>
    </row>
    <row r="126" spans="1:6" x14ac:dyDescent="0.3">
      <c r="A126">
        <v>125</v>
      </c>
      <c r="B126">
        <v>125</v>
      </c>
      <c r="C126" s="1">
        <v>45572</v>
      </c>
      <c r="D126" s="1">
        <v>45577</v>
      </c>
      <c r="E126" t="s">
        <v>68</v>
      </c>
      <c r="F126" t="s">
        <v>12</v>
      </c>
    </row>
    <row r="127" spans="1:6" x14ac:dyDescent="0.3">
      <c r="A127">
        <v>126</v>
      </c>
      <c r="B127">
        <v>126</v>
      </c>
      <c r="C127" s="1">
        <v>45309</v>
      </c>
      <c r="D127" s="1">
        <v>45313</v>
      </c>
      <c r="E127" t="s">
        <v>72</v>
      </c>
      <c r="F127" t="s">
        <v>69</v>
      </c>
    </row>
    <row r="128" spans="1:6" x14ac:dyDescent="0.3">
      <c r="A128">
        <v>127</v>
      </c>
      <c r="B128">
        <v>127</v>
      </c>
      <c r="C128" s="1">
        <v>45302</v>
      </c>
      <c r="D128" s="1">
        <v>45311</v>
      </c>
      <c r="E128" t="s">
        <v>72</v>
      </c>
      <c r="F128" t="s">
        <v>12</v>
      </c>
    </row>
    <row r="129" spans="1:6" x14ac:dyDescent="0.3">
      <c r="A129">
        <v>128</v>
      </c>
      <c r="B129">
        <v>128</v>
      </c>
      <c r="C129" s="1">
        <v>45565</v>
      </c>
      <c r="D129" s="1">
        <v>45575</v>
      </c>
      <c r="E129" t="s">
        <v>70</v>
      </c>
      <c r="F129" t="s">
        <v>69</v>
      </c>
    </row>
    <row r="130" spans="1:6" x14ac:dyDescent="0.3">
      <c r="A130">
        <v>129</v>
      </c>
      <c r="B130">
        <v>129</v>
      </c>
      <c r="C130" s="1">
        <v>45578</v>
      </c>
      <c r="D130" s="1">
        <v>45584</v>
      </c>
      <c r="E130" t="s">
        <v>68</v>
      </c>
      <c r="F130" t="s">
        <v>12</v>
      </c>
    </row>
    <row r="131" spans="1:6" x14ac:dyDescent="0.3">
      <c r="A131">
        <v>130</v>
      </c>
      <c r="B131">
        <v>130</v>
      </c>
      <c r="C131" s="1">
        <v>45543</v>
      </c>
      <c r="D131" s="1">
        <v>45544</v>
      </c>
      <c r="E131" t="s">
        <v>68</v>
      </c>
      <c r="F131" t="s">
        <v>69</v>
      </c>
    </row>
    <row r="132" spans="1:6" x14ac:dyDescent="0.3">
      <c r="A132">
        <v>131</v>
      </c>
      <c r="B132">
        <v>131</v>
      </c>
      <c r="C132" s="1">
        <v>45372</v>
      </c>
      <c r="D132" s="1">
        <v>45379</v>
      </c>
      <c r="E132" t="s">
        <v>72</v>
      </c>
      <c r="F132" t="s">
        <v>12</v>
      </c>
    </row>
    <row r="133" spans="1:6" x14ac:dyDescent="0.3">
      <c r="A133">
        <v>132</v>
      </c>
      <c r="B133">
        <v>132</v>
      </c>
      <c r="C133" s="1">
        <v>45581</v>
      </c>
      <c r="D133" s="1">
        <v>45591</v>
      </c>
      <c r="E133" t="s">
        <v>68</v>
      </c>
      <c r="F133" t="s">
        <v>12</v>
      </c>
    </row>
    <row r="134" spans="1:6" x14ac:dyDescent="0.3">
      <c r="A134">
        <v>133</v>
      </c>
      <c r="B134">
        <v>133</v>
      </c>
      <c r="C134" s="1">
        <v>45445</v>
      </c>
      <c r="D134" s="1">
        <v>45449</v>
      </c>
      <c r="E134" t="s">
        <v>71</v>
      </c>
      <c r="F134" t="s">
        <v>12</v>
      </c>
    </row>
    <row r="135" spans="1:6" x14ac:dyDescent="0.3">
      <c r="A135">
        <v>134</v>
      </c>
      <c r="B135">
        <v>134</v>
      </c>
      <c r="C135" s="1">
        <v>45555</v>
      </c>
      <c r="D135" s="1">
        <v>45562</v>
      </c>
      <c r="E135" t="s">
        <v>72</v>
      </c>
      <c r="F135" t="s">
        <v>12</v>
      </c>
    </row>
    <row r="136" spans="1:6" x14ac:dyDescent="0.3">
      <c r="A136">
        <v>135</v>
      </c>
      <c r="B136">
        <v>135</v>
      </c>
      <c r="C136" s="1">
        <v>45539</v>
      </c>
      <c r="D136" s="1">
        <v>45541</v>
      </c>
      <c r="E136" t="s">
        <v>71</v>
      </c>
      <c r="F136" t="s">
        <v>69</v>
      </c>
    </row>
    <row r="137" spans="1:6" x14ac:dyDescent="0.3">
      <c r="A137">
        <v>136</v>
      </c>
      <c r="B137">
        <v>136</v>
      </c>
      <c r="C137" s="1">
        <v>45525</v>
      </c>
      <c r="D137" s="1">
        <v>45535</v>
      </c>
      <c r="E137" t="s">
        <v>70</v>
      </c>
      <c r="F137" t="s">
        <v>69</v>
      </c>
    </row>
    <row r="138" spans="1:6" x14ac:dyDescent="0.3">
      <c r="A138">
        <v>137</v>
      </c>
      <c r="B138">
        <v>137</v>
      </c>
      <c r="C138" s="1">
        <v>45620</v>
      </c>
      <c r="D138" s="1">
        <v>45621</v>
      </c>
      <c r="E138" t="s">
        <v>72</v>
      </c>
      <c r="F138" t="s">
        <v>69</v>
      </c>
    </row>
    <row r="139" spans="1:6" x14ac:dyDescent="0.3">
      <c r="A139">
        <v>138</v>
      </c>
      <c r="B139">
        <v>138</v>
      </c>
      <c r="C139" s="1">
        <v>45521</v>
      </c>
      <c r="D139" s="1">
        <v>45529</v>
      </c>
      <c r="E139" t="s">
        <v>72</v>
      </c>
      <c r="F139" t="s">
        <v>69</v>
      </c>
    </row>
    <row r="140" spans="1:6" x14ac:dyDescent="0.3">
      <c r="A140">
        <v>139</v>
      </c>
      <c r="B140">
        <v>139</v>
      </c>
      <c r="C140" s="1">
        <v>45590</v>
      </c>
      <c r="D140" s="1">
        <v>45592</v>
      </c>
      <c r="E140" t="s">
        <v>70</v>
      </c>
      <c r="F140" t="s">
        <v>12</v>
      </c>
    </row>
    <row r="141" spans="1:6" x14ac:dyDescent="0.3">
      <c r="A141">
        <v>140</v>
      </c>
      <c r="B141">
        <v>140</v>
      </c>
      <c r="C141" s="1">
        <v>45539</v>
      </c>
      <c r="D141" s="1">
        <v>45547</v>
      </c>
      <c r="E141" t="s">
        <v>71</v>
      </c>
      <c r="F141" t="s">
        <v>69</v>
      </c>
    </row>
    <row r="142" spans="1:6" x14ac:dyDescent="0.3">
      <c r="A142">
        <v>141</v>
      </c>
      <c r="B142">
        <v>141</v>
      </c>
      <c r="C142" s="1">
        <v>45542</v>
      </c>
      <c r="D142" s="1">
        <v>45549</v>
      </c>
      <c r="E142" t="s">
        <v>70</v>
      </c>
      <c r="F142" t="s">
        <v>12</v>
      </c>
    </row>
    <row r="143" spans="1:6" x14ac:dyDescent="0.3">
      <c r="A143">
        <v>142</v>
      </c>
      <c r="B143">
        <v>142</v>
      </c>
      <c r="C143" s="1">
        <v>45426</v>
      </c>
      <c r="D143" s="1">
        <v>45428</v>
      </c>
      <c r="E143" t="s">
        <v>72</v>
      </c>
      <c r="F143" t="s">
        <v>69</v>
      </c>
    </row>
    <row r="144" spans="1:6" x14ac:dyDescent="0.3">
      <c r="A144">
        <v>143</v>
      </c>
      <c r="B144">
        <v>143</v>
      </c>
      <c r="C144" s="1">
        <v>45511</v>
      </c>
      <c r="D144" s="1">
        <v>45517</v>
      </c>
      <c r="E144" t="s">
        <v>72</v>
      </c>
      <c r="F144" t="s">
        <v>12</v>
      </c>
    </row>
    <row r="145" spans="1:6" x14ac:dyDescent="0.3">
      <c r="A145">
        <v>144</v>
      </c>
      <c r="B145">
        <v>144</v>
      </c>
      <c r="C145" s="1">
        <v>45491</v>
      </c>
      <c r="D145" s="1">
        <v>45494</v>
      </c>
      <c r="E145" t="s">
        <v>70</v>
      </c>
      <c r="F145" t="s">
        <v>12</v>
      </c>
    </row>
    <row r="146" spans="1:6" x14ac:dyDescent="0.3">
      <c r="A146">
        <v>145</v>
      </c>
      <c r="B146">
        <v>145</v>
      </c>
      <c r="C146" s="1">
        <v>45573</v>
      </c>
      <c r="D146" s="1">
        <v>45575</v>
      </c>
      <c r="E146" t="s">
        <v>70</v>
      </c>
      <c r="F146" t="s">
        <v>69</v>
      </c>
    </row>
    <row r="147" spans="1:6" x14ac:dyDescent="0.3">
      <c r="A147">
        <v>146</v>
      </c>
      <c r="B147">
        <v>146</v>
      </c>
      <c r="C147" s="1">
        <v>45302</v>
      </c>
      <c r="D147" s="1">
        <v>45309</v>
      </c>
      <c r="E147" t="s">
        <v>72</v>
      </c>
      <c r="F147" t="s">
        <v>12</v>
      </c>
    </row>
    <row r="148" spans="1:6" x14ac:dyDescent="0.3">
      <c r="A148">
        <v>147</v>
      </c>
      <c r="B148">
        <v>147</v>
      </c>
      <c r="C148" s="1">
        <v>45364</v>
      </c>
      <c r="D148" s="1">
        <v>45369</v>
      </c>
      <c r="E148" t="s">
        <v>70</v>
      </c>
      <c r="F148" t="s">
        <v>69</v>
      </c>
    </row>
    <row r="149" spans="1:6" x14ac:dyDescent="0.3">
      <c r="A149">
        <v>148</v>
      </c>
      <c r="B149">
        <v>148</v>
      </c>
      <c r="C149" s="1">
        <v>45308</v>
      </c>
      <c r="D149" s="1">
        <v>45313</v>
      </c>
      <c r="E149" t="s">
        <v>71</v>
      </c>
      <c r="F149" t="s">
        <v>12</v>
      </c>
    </row>
    <row r="150" spans="1:6" x14ac:dyDescent="0.3">
      <c r="A150">
        <v>149</v>
      </c>
      <c r="B150">
        <v>149</v>
      </c>
      <c r="C150" s="1">
        <v>45635</v>
      </c>
      <c r="D150" s="1">
        <v>45643</v>
      </c>
      <c r="E150" t="s">
        <v>68</v>
      </c>
      <c r="F150" t="s">
        <v>12</v>
      </c>
    </row>
    <row r="151" spans="1:6" x14ac:dyDescent="0.3">
      <c r="A151">
        <v>150</v>
      </c>
      <c r="B151">
        <v>150</v>
      </c>
      <c r="C151" s="1">
        <v>45330</v>
      </c>
      <c r="D151" s="1">
        <v>45332</v>
      </c>
      <c r="E151" t="s">
        <v>71</v>
      </c>
      <c r="F151" t="s">
        <v>69</v>
      </c>
    </row>
    <row r="152" spans="1:6" x14ac:dyDescent="0.3">
      <c r="A152">
        <v>151</v>
      </c>
      <c r="B152">
        <v>151</v>
      </c>
      <c r="C152" s="1">
        <v>45606</v>
      </c>
      <c r="D152" s="1">
        <v>45614</v>
      </c>
      <c r="E152" t="s">
        <v>71</v>
      </c>
      <c r="F152" t="s">
        <v>12</v>
      </c>
    </row>
    <row r="153" spans="1:6" x14ac:dyDescent="0.3">
      <c r="A153">
        <v>152</v>
      </c>
      <c r="B153">
        <v>152</v>
      </c>
      <c r="C153" s="1">
        <v>45518</v>
      </c>
      <c r="D153" s="1">
        <v>45521</v>
      </c>
      <c r="E153" t="s">
        <v>70</v>
      </c>
      <c r="F153" t="s">
        <v>69</v>
      </c>
    </row>
    <row r="154" spans="1:6" x14ac:dyDescent="0.3">
      <c r="A154">
        <v>153</v>
      </c>
      <c r="B154">
        <v>153</v>
      </c>
      <c r="C154" s="1">
        <v>45451</v>
      </c>
      <c r="D154" s="1">
        <v>45454</v>
      </c>
      <c r="E154" t="s">
        <v>72</v>
      </c>
      <c r="F154" t="s">
        <v>12</v>
      </c>
    </row>
    <row r="155" spans="1:6" x14ac:dyDescent="0.3">
      <c r="A155">
        <v>154</v>
      </c>
      <c r="B155">
        <v>154</v>
      </c>
      <c r="C155" s="1">
        <v>45656</v>
      </c>
      <c r="D155" s="1">
        <v>45664</v>
      </c>
      <c r="E155" t="s">
        <v>72</v>
      </c>
      <c r="F155" t="s">
        <v>12</v>
      </c>
    </row>
    <row r="156" spans="1:6" x14ac:dyDescent="0.3">
      <c r="A156">
        <v>155</v>
      </c>
      <c r="B156">
        <v>155</v>
      </c>
      <c r="C156" s="1">
        <v>45498</v>
      </c>
      <c r="D156" s="1">
        <v>45508</v>
      </c>
      <c r="E156" t="s">
        <v>72</v>
      </c>
      <c r="F156" t="s">
        <v>69</v>
      </c>
    </row>
    <row r="157" spans="1:6" x14ac:dyDescent="0.3">
      <c r="A157">
        <v>156</v>
      </c>
      <c r="B157">
        <v>156</v>
      </c>
      <c r="C157" s="1">
        <v>45425</v>
      </c>
      <c r="D157" s="1">
        <v>45428</v>
      </c>
      <c r="E157" t="s">
        <v>68</v>
      </c>
      <c r="F157" t="s">
        <v>69</v>
      </c>
    </row>
    <row r="158" spans="1:6" x14ac:dyDescent="0.3">
      <c r="A158">
        <v>157</v>
      </c>
      <c r="B158">
        <v>157</v>
      </c>
      <c r="C158" s="1">
        <v>45326</v>
      </c>
      <c r="D158" s="1">
        <v>45334</v>
      </c>
      <c r="E158" t="s">
        <v>68</v>
      </c>
      <c r="F158" t="s">
        <v>12</v>
      </c>
    </row>
    <row r="159" spans="1:6" x14ac:dyDescent="0.3">
      <c r="A159">
        <v>158</v>
      </c>
      <c r="B159">
        <v>158</v>
      </c>
      <c r="C159" s="1">
        <v>45518</v>
      </c>
      <c r="D159" s="1">
        <v>45525</v>
      </c>
      <c r="E159" t="s">
        <v>68</v>
      </c>
      <c r="F159" t="s">
        <v>69</v>
      </c>
    </row>
    <row r="160" spans="1:6" x14ac:dyDescent="0.3">
      <c r="A160">
        <v>159</v>
      </c>
      <c r="B160">
        <v>159</v>
      </c>
      <c r="C160" s="1">
        <v>45383</v>
      </c>
      <c r="D160" s="1">
        <v>45390</v>
      </c>
      <c r="E160" t="s">
        <v>70</v>
      </c>
      <c r="F160" t="s">
        <v>69</v>
      </c>
    </row>
    <row r="161" spans="1:6" x14ac:dyDescent="0.3">
      <c r="A161">
        <v>160</v>
      </c>
      <c r="B161">
        <v>160</v>
      </c>
      <c r="C161" s="1">
        <v>45412</v>
      </c>
      <c r="D161" s="1">
        <v>45413</v>
      </c>
      <c r="E161" t="s">
        <v>70</v>
      </c>
      <c r="F161" t="s">
        <v>12</v>
      </c>
    </row>
    <row r="162" spans="1:6" x14ac:dyDescent="0.3">
      <c r="A162">
        <v>161</v>
      </c>
      <c r="B162">
        <v>161</v>
      </c>
      <c r="C162" s="1">
        <v>45538</v>
      </c>
      <c r="D162" s="1">
        <v>45541</v>
      </c>
      <c r="E162" t="s">
        <v>68</v>
      </c>
      <c r="F162" t="s">
        <v>12</v>
      </c>
    </row>
    <row r="163" spans="1:6" x14ac:dyDescent="0.3">
      <c r="A163">
        <v>162</v>
      </c>
      <c r="B163">
        <v>162</v>
      </c>
      <c r="C163" s="1">
        <v>45426</v>
      </c>
      <c r="D163" s="1">
        <v>45427</v>
      </c>
      <c r="E163" t="s">
        <v>72</v>
      </c>
      <c r="F163" t="s">
        <v>12</v>
      </c>
    </row>
    <row r="164" spans="1:6" x14ac:dyDescent="0.3">
      <c r="A164">
        <v>163</v>
      </c>
      <c r="B164">
        <v>163</v>
      </c>
      <c r="C164" s="1">
        <v>45635</v>
      </c>
      <c r="D164" s="1">
        <v>45636</v>
      </c>
      <c r="E164" t="s">
        <v>70</v>
      </c>
      <c r="F164" t="s">
        <v>69</v>
      </c>
    </row>
    <row r="165" spans="1:6" x14ac:dyDescent="0.3">
      <c r="A165">
        <v>164</v>
      </c>
      <c r="B165">
        <v>164</v>
      </c>
      <c r="C165" s="1">
        <v>45309</v>
      </c>
      <c r="D165" s="1">
        <v>45317</v>
      </c>
      <c r="E165" t="s">
        <v>71</v>
      </c>
      <c r="F165" t="s">
        <v>69</v>
      </c>
    </row>
    <row r="166" spans="1:6" x14ac:dyDescent="0.3">
      <c r="A166">
        <v>165</v>
      </c>
      <c r="B166">
        <v>165</v>
      </c>
      <c r="C166" s="1">
        <v>45656</v>
      </c>
      <c r="D166" s="1">
        <v>45658</v>
      </c>
      <c r="E166" t="s">
        <v>70</v>
      </c>
      <c r="F166" t="s">
        <v>69</v>
      </c>
    </row>
    <row r="167" spans="1:6" x14ac:dyDescent="0.3">
      <c r="A167">
        <v>166</v>
      </c>
      <c r="B167">
        <v>166</v>
      </c>
      <c r="C167" s="1">
        <v>45409</v>
      </c>
      <c r="D167" s="1">
        <v>45416</v>
      </c>
      <c r="E167" t="s">
        <v>70</v>
      </c>
      <c r="F167" t="s">
        <v>69</v>
      </c>
    </row>
    <row r="168" spans="1:6" x14ac:dyDescent="0.3">
      <c r="A168">
        <v>167</v>
      </c>
      <c r="B168">
        <v>167</v>
      </c>
      <c r="C168" s="1">
        <v>45624</v>
      </c>
      <c r="D168" s="1">
        <v>45630</v>
      </c>
      <c r="E168" t="s">
        <v>71</v>
      </c>
      <c r="F168" t="s">
        <v>69</v>
      </c>
    </row>
    <row r="169" spans="1:6" x14ac:dyDescent="0.3">
      <c r="A169">
        <v>168</v>
      </c>
      <c r="B169">
        <v>168</v>
      </c>
      <c r="C169" s="1">
        <v>45587</v>
      </c>
      <c r="D169" s="1">
        <v>45588</v>
      </c>
      <c r="E169" t="s">
        <v>70</v>
      </c>
      <c r="F169" t="s">
        <v>12</v>
      </c>
    </row>
    <row r="170" spans="1:6" x14ac:dyDescent="0.3">
      <c r="A170">
        <v>169</v>
      </c>
      <c r="B170">
        <v>169</v>
      </c>
      <c r="C170" s="1">
        <v>45480</v>
      </c>
      <c r="D170" s="1">
        <v>45489</v>
      </c>
      <c r="E170" t="s">
        <v>72</v>
      </c>
      <c r="F170" t="s">
        <v>12</v>
      </c>
    </row>
    <row r="171" spans="1:6" x14ac:dyDescent="0.3">
      <c r="A171">
        <v>170</v>
      </c>
      <c r="B171">
        <v>170</v>
      </c>
      <c r="C171" s="1">
        <v>45442</v>
      </c>
      <c r="D171" s="1">
        <v>45448</v>
      </c>
      <c r="E171" t="s">
        <v>70</v>
      </c>
      <c r="F171" t="s">
        <v>12</v>
      </c>
    </row>
    <row r="172" spans="1:6" x14ac:dyDescent="0.3">
      <c r="A172">
        <v>171</v>
      </c>
      <c r="B172">
        <v>171</v>
      </c>
      <c r="C172" s="1">
        <v>45580</v>
      </c>
      <c r="D172" s="1">
        <v>45588</v>
      </c>
      <c r="E172" t="s">
        <v>72</v>
      </c>
      <c r="F172" t="s">
        <v>69</v>
      </c>
    </row>
    <row r="173" spans="1:6" x14ac:dyDescent="0.3">
      <c r="A173">
        <v>172</v>
      </c>
      <c r="B173">
        <v>172</v>
      </c>
      <c r="C173" s="1">
        <v>45345</v>
      </c>
      <c r="D173" s="1">
        <v>45353</v>
      </c>
      <c r="E173" t="s">
        <v>72</v>
      </c>
      <c r="F173" t="s">
        <v>12</v>
      </c>
    </row>
    <row r="174" spans="1:6" x14ac:dyDescent="0.3">
      <c r="A174">
        <v>173</v>
      </c>
      <c r="B174">
        <v>173</v>
      </c>
      <c r="C174" s="1">
        <v>45564</v>
      </c>
      <c r="D174" s="1">
        <v>45570</v>
      </c>
      <c r="E174" t="s">
        <v>71</v>
      </c>
      <c r="F174" t="s">
        <v>12</v>
      </c>
    </row>
    <row r="175" spans="1:6" x14ac:dyDescent="0.3">
      <c r="A175">
        <v>174</v>
      </c>
      <c r="B175">
        <v>174</v>
      </c>
      <c r="C175" s="1">
        <v>45295</v>
      </c>
      <c r="D175" s="1">
        <v>45297</v>
      </c>
      <c r="E175" t="s">
        <v>68</v>
      </c>
      <c r="F175" t="s">
        <v>69</v>
      </c>
    </row>
    <row r="176" spans="1:6" x14ac:dyDescent="0.3">
      <c r="A176">
        <v>175</v>
      </c>
      <c r="B176">
        <v>175</v>
      </c>
      <c r="C176" s="1">
        <v>45401</v>
      </c>
      <c r="D176" s="1">
        <v>45405</v>
      </c>
      <c r="E176" t="s">
        <v>70</v>
      </c>
      <c r="F176" t="s">
        <v>69</v>
      </c>
    </row>
    <row r="177" spans="1:6" x14ac:dyDescent="0.3">
      <c r="A177">
        <v>176</v>
      </c>
      <c r="B177">
        <v>176</v>
      </c>
      <c r="C177" s="1">
        <v>45606</v>
      </c>
      <c r="D177" s="1">
        <v>45610</v>
      </c>
      <c r="E177" t="s">
        <v>71</v>
      </c>
      <c r="F177" t="s">
        <v>12</v>
      </c>
    </row>
    <row r="178" spans="1:6" x14ac:dyDescent="0.3">
      <c r="A178">
        <v>177</v>
      </c>
      <c r="B178">
        <v>177</v>
      </c>
      <c r="C178" s="1">
        <v>45419</v>
      </c>
      <c r="D178" s="1">
        <v>45423</v>
      </c>
      <c r="E178" t="s">
        <v>68</v>
      </c>
      <c r="F178" t="s">
        <v>69</v>
      </c>
    </row>
    <row r="179" spans="1:6" x14ac:dyDescent="0.3">
      <c r="A179">
        <v>178</v>
      </c>
      <c r="B179">
        <v>178</v>
      </c>
      <c r="C179" s="1">
        <v>45378</v>
      </c>
      <c r="D179" s="1">
        <v>45381</v>
      </c>
      <c r="E179" t="s">
        <v>72</v>
      </c>
      <c r="F179" t="s">
        <v>12</v>
      </c>
    </row>
    <row r="180" spans="1:6" x14ac:dyDescent="0.3">
      <c r="A180">
        <v>179</v>
      </c>
      <c r="B180">
        <v>179</v>
      </c>
      <c r="C180" s="1">
        <v>45426</v>
      </c>
      <c r="D180" s="1">
        <v>45436</v>
      </c>
      <c r="E180" t="s">
        <v>71</v>
      </c>
      <c r="F180" t="s">
        <v>12</v>
      </c>
    </row>
    <row r="181" spans="1:6" x14ac:dyDescent="0.3">
      <c r="A181">
        <v>180</v>
      </c>
      <c r="B181">
        <v>180</v>
      </c>
      <c r="C181" s="1">
        <v>45315</v>
      </c>
      <c r="D181" s="1">
        <v>45322</v>
      </c>
      <c r="E181" t="s">
        <v>70</v>
      </c>
      <c r="F181" t="s">
        <v>69</v>
      </c>
    </row>
    <row r="182" spans="1:6" x14ac:dyDescent="0.3">
      <c r="A182">
        <v>181</v>
      </c>
      <c r="B182">
        <v>181</v>
      </c>
      <c r="C182" s="1">
        <v>45594</v>
      </c>
      <c r="D182" s="1">
        <v>45600</v>
      </c>
      <c r="E182" t="s">
        <v>72</v>
      </c>
      <c r="F182" t="s">
        <v>69</v>
      </c>
    </row>
    <row r="183" spans="1:6" x14ac:dyDescent="0.3">
      <c r="A183">
        <v>182</v>
      </c>
      <c r="B183">
        <v>182</v>
      </c>
      <c r="C183" s="1">
        <v>45636</v>
      </c>
      <c r="D183" s="1">
        <v>45638</v>
      </c>
      <c r="E183" t="s">
        <v>71</v>
      </c>
      <c r="F183" t="s">
        <v>12</v>
      </c>
    </row>
    <row r="184" spans="1:6" x14ac:dyDescent="0.3">
      <c r="A184">
        <v>183</v>
      </c>
      <c r="B184">
        <v>183</v>
      </c>
      <c r="C184" s="1">
        <v>45638</v>
      </c>
      <c r="D184" s="1">
        <v>45647</v>
      </c>
      <c r="E184" t="s">
        <v>68</v>
      </c>
      <c r="F184" t="s">
        <v>69</v>
      </c>
    </row>
    <row r="185" spans="1:6" x14ac:dyDescent="0.3">
      <c r="A185">
        <v>184</v>
      </c>
      <c r="B185">
        <v>184</v>
      </c>
      <c r="C185" s="1">
        <v>45320</v>
      </c>
      <c r="D185" s="1">
        <v>45322</v>
      </c>
      <c r="E185" t="s">
        <v>68</v>
      </c>
      <c r="F185" t="s">
        <v>69</v>
      </c>
    </row>
    <row r="186" spans="1:6" x14ac:dyDescent="0.3">
      <c r="A186">
        <v>185</v>
      </c>
      <c r="B186">
        <v>185</v>
      </c>
      <c r="C186" s="1">
        <v>45309</v>
      </c>
      <c r="D186" s="1">
        <v>45313</v>
      </c>
      <c r="E186" t="s">
        <v>71</v>
      </c>
      <c r="F186" t="s">
        <v>12</v>
      </c>
    </row>
    <row r="187" spans="1:6" x14ac:dyDescent="0.3">
      <c r="A187">
        <v>186</v>
      </c>
      <c r="B187">
        <v>186</v>
      </c>
      <c r="C187" s="1">
        <v>45466</v>
      </c>
      <c r="D187" s="1">
        <v>45474</v>
      </c>
      <c r="E187" t="s">
        <v>68</v>
      </c>
      <c r="F187" t="s">
        <v>69</v>
      </c>
    </row>
    <row r="188" spans="1:6" x14ac:dyDescent="0.3">
      <c r="A188">
        <v>187</v>
      </c>
      <c r="B188">
        <v>187</v>
      </c>
      <c r="C188" s="1">
        <v>45613</v>
      </c>
      <c r="D188" s="1">
        <v>45621</v>
      </c>
      <c r="E188" t="s">
        <v>71</v>
      </c>
      <c r="F188" t="s">
        <v>12</v>
      </c>
    </row>
    <row r="189" spans="1:6" x14ac:dyDescent="0.3">
      <c r="A189">
        <v>188</v>
      </c>
      <c r="B189">
        <v>188</v>
      </c>
      <c r="C189" s="1">
        <v>45342</v>
      </c>
      <c r="D189" s="1">
        <v>45351</v>
      </c>
      <c r="E189" t="s">
        <v>70</v>
      </c>
      <c r="F189" t="s">
        <v>69</v>
      </c>
    </row>
    <row r="190" spans="1:6" x14ac:dyDescent="0.3">
      <c r="A190">
        <v>189</v>
      </c>
      <c r="B190">
        <v>189</v>
      </c>
      <c r="C190" s="1">
        <v>45559</v>
      </c>
      <c r="D190" s="1">
        <v>45563</v>
      </c>
      <c r="E190" t="s">
        <v>68</v>
      </c>
      <c r="F190" t="s">
        <v>69</v>
      </c>
    </row>
    <row r="191" spans="1:6" x14ac:dyDescent="0.3">
      <c r="A191">
        <v>190</v>
      </c>
      <c r="B191">
        <v>190</v>
      </c>
      <c r="C191" s="1">
        <v>45633</v>
      </c>
      <c r="D191" s="1">
        <v>45639</v>
      </c>
      <c r="E191" t="s">
        <v>68</v>
      </c>
      <c r="F191" t="s">
        <v>12</v>
      </c>
    </row>
    <row r="192" spans="1:6" x14ac:dyDescent="0.3">
      <c r="A192">
        <v>191</v>
      </c>
      <c r="B192">
        <v>191</v>
      </c>
      <c r="C192" s="1">
        <v>45526</v>
      </c>
      <c r="D192" s="1">
        <v>45533</v>
      </c>
      <c r="E192" t="s">
        <v>71</v>
      </c>
      <c r="F192" t="s">
        <v>12</v>
      </c>
    </row>
    <row r="193" spans="1:6" x14ac:dyDescent="0.3">
      <c r="A193">
        <v>192</v>
      </c>
      <c r="B193">
        <v>192</v>
      </c>
      <c r="C193" s="1">
        <v>45652</v>
      </c>
      <c r="D193" s="1">
        <v>45653</v>
      </c>
      <c r="E193" t="s">
        <v>72</v>
      </c>
      <c r="F193" t="s">
        <v>69</v>
      </c>
    </row>
    <row r="194" spans="1:6" x14ac:dyDescent="0.3">
      <c r="A194">
        <v>193</v>
      </c>
      <c r="B194">
        <v>193</v>
      </c>
      <c r="C194" s="1">
        <v>45351</v>
      </c>
      <c r="D194" s="1">
        <v>45354</v>
      </c>
      <c r="E194" t="s">
        <v>70</v>
      </c>
      <c r="F194" t="s">
        <v>69</v>
      </c>
    </row>
    <row r="195" spans="1:6" x14ac:dyDescent="0.3">
      <c r="A195">
        <v>194</v>
      </c>
      <c r="B195">
        <v>194</v>
      </c>
      <c r="C195" s="1">
        <v>45556</v>
      </c>
      <c r="D195" s="1">
        <v>45558</v>
      </c>
      <c r="E195" t="s">
        <v>71</v>
      </c>
      <c r="F195" t="s">
        <v>12</v>
      </c>
    </row>
    <row r="196" spans="1:6" x14ac:dyDescent="0.3">
      <c r="A196">
        <v>195</v>
      </c>
      <c r="B196">
        <v>195</v>
      </c>
      <c r="C196" s="1">
        <v>45476</v>
      </c>
      <c r="D196" s="1">
        <v>45481</v>
      </c>
      <c r="E196" t="s">
        <v>68</v>
      </c>
      <c r="F196" t="s">
        <v>69</v>
      </c>
    </row>
    <row r="197" spans="1:6" x14ac:dyDescent="0.3">
      <c r="A197">
        <v>196</v>
      </c>
      <c r="B197">
        <v>196</v>
      </c>
      <c r="C197" s="1">
        <v>45587</v>
      </c>
      <c r="D197" s="1">
        <v>45590</v>
      </c>
      <c r="E197" t="s">
        <v>70</v>
      </c>
      <c r="F197" t="s">
        <v>12</v>
      </c>
    </row>
    <row r="198" spans="1:6" x14ac:dyDescent="0.3">
      <c r="A198">
        <v>197</v>
      </c>
      <c r="B198">
        <v>197</v>
      </c>
      <c r="C198" s="1">
        <v>45388</v>
      </c>
      <c r="D198" s="1">
        <v>45395</v>
      </c>
      <c r="E198" t="s">
        <v>70</v>
      </c>
      <c r="F198" t="s">
        <v>69</v>
      </c>
    </row>
    <row r="199" spans="1:6" x14ac:dyDescent="0.3">
      <c r="A199">
        <v>198</v>
      </c>
      <c r="B199">
        <v>198</v>
      </c>
      <c r="C199" s="1">
        <v>45394</v>
      </c>
      <c r="D199" s="1">
        <v>45403</v>
      </c>
      <c r="E199" t="s">
        <v>70</v>
      </c>
      <c r="F199" t="s">
        <v>69</v>
      </c>
    </row>
    <row r="200" spans="1:6" x14ac:dyDescent="0.3">
      <c r="A200">
        <v>199</v>
      </c>
      <c r="B200">
        <v>199</v>
      </c>
      <c r="C200" s="1">
        <v>45428</v>
      </c>
      <c r="D200" s="1">
        <v>45436</v>
      </c>
      <c r="E200" t="s">
        <v>68</v>
      </c>
      <c r="F200" t="s">
        <v>69</v>
      </c>
    </row>
    <row r="201" spans="1:6" x14ac:dyDescent="0.3">
      <c r="A201">
        <v>200</v>
      </c>
      <c r="B201">
        <v>200</v>
      </c>
      <c r="C201" s="1">
        <v>45466</v>
      </c>
      <c r="D201" s="1">
        <v>45471</v>
      </c>
      <c r="E201" t="s">
        <v>68</v>
      </c>
      <c r="F201" t="s">
        <v>69</v>
      </c>
    </row>
    <row r="202" spans="1:6" x14ac:dyDescent="0.3">
      <c r="A202">
        <v>201</v>
      </c>
      <c r="B202">
        <v>201</v>
      </c>
      <c r="C202" s="1">
        <v>45593</v>
      </c>
      <c r="D202" s="1">
        <v>45595</v>
      </c>
      <c r="E202" t="s">
        <v>68</v>
      </c>
      <c r="F202" t="s">
        <v>69</v>
      </c>
    </row>
    <row r="203" spans="1:6" x14ac:dyDescent="0.3">
      <c r="A203">
        <v>202</v>
      </c>
      <c r="B203">
        <v>202</v>
      </c>
      <c r="C203" s="1">
        <v>45293</v>
      </c>
      <c r="D203" s="1">
        <v>45303</v>
      </c>
      <c r="E203" t="s">
        <v>72</v>
      </c>
      <c r="F203" t="s">
        <v>69</v>
      </c>
    </row>
    <row r="204" spans="1:6" x14ac:dyDescent="0.3">
      <c r="A204">
        <v>203</v>
      </c>
      <c r="B204">
        <v>203</v>
      </c>
      <c r="C204" s="1">
        <v>45349</v>
      </c>
      <c r="D204" s="1">
        <v>45358</v>
      </c>
      <c r="E204" t="s">
        <v>70</v>
      </c>
      <c r="F204" t="s">
        <v>69</v>
      </c>
    </row>
    <row r="205" spans="1:6" x14ac:dyDescent="0.3">
      <c r="A205">
        <v>204</v>
      </c>
      <c r="B205">
        <v>204</v>
      </c>
      <c r="C205" s="1">
        <v>45511</v>
      </c>
      <c r="D205" s="1">
        <v>45518</v>
      </c>
      <c r="E205" t="s">
        <v>71</v>
      </c>
      <c r="F205" t="s">
        <v>12</v>
      </c>
    </row>
    <row r="206" spans="1:6" x14ac:dyDescent="0.3">
      <c r="A206">
        <v>205</v>
      </c>
      <c r="B206">
        <v>205</v>
      </c>
      <c r="C206" s="1">
        <v>45318</v>
      </c>
      <c r="D206" s="1">
        <v>45324</v>
      </c>
      <c r="E206" t="s">
        <v>72</v>
      </c>
      <c r="F206" t="s">
        <v>12</v>
      </c>
    </row>
    <row r="207" spans="1:6" x14ac:dyDescent="0.3">
      <c r="A207">
        <v>206</v>
      </c>
      <c r="B207">
        <v>206</v>
      </c>
      <c r="C207" s="1">
        <v>45645</v>
      </c>
      <c r="D207" s="1">
        <v>45646</v>
      </c>
      <c r="E207" t="s">
        <v>70</v>
      </c>
      <c r="F207" t="s">
        <v>69</v>
      </c>
    </row>
    <row r="208" spans="1:6" x14ac:dyDescent="0.3">
      <c r="A208">
        <v>207</v>
      </c>
      <c r="B208">
        <v>207</v>
      </c>
      <c r="C208" s="1">
        <v>45344</v>
      </c>
      <c r="D208" s="1">
        <v>45352</v>
      </c>
      <c r="E208" t="s">
        <v>68</v>
      </c>
      <c r="F208" t="s">
        <v>69</v>
      </c>
    </row>
    <row r="209" spans="1:6" x14ac:dyDescent="0.3">
      <c r="A209">
        <v>208</v>
      </c>
      <c r="B209">
        <v>208</v>
      </c>
      <c r="C209" s="1">
        <v>45301</v>
      </c>
      <c r="D209" s="1">
        <v>45311</v>
      </c>
      <c r="E209" t="s">
        <v>72</v>
      </c>
      <c r="F209" t="s">
        <v>69</v>
      </c>
    </row>
    <row r="210" spans="1:6" x14ac:dyDescent="0.3">
      <c r="A210">
        <v>209</v>
      </c>
      <c r="B210">
        <v>209</v>
      </c>
      <c r="C210" s="1">
        <v>45314</v>
      </c>
      <c r="D210" s="1">
        <v>45323</v>
      </c>
      <c r="E210" t="s">
        <v>71</v>
      </c>
      <c r="F210" t="s">
        <v>12</v>
      </c>
    </row>
    <row r="211" spans="1:6" x14ac:dyDescent="0.3">
      <c r="A211">
        <v>210</v>
      </c>
      <c r="B211">
        <v>210</v>
      </c>
      <c r="C211" s="1">
        <v>45475</v>
      </c>
      <c r="D211" s="1">
        <v>45481</v>
      </c>
      <c r="E211" t="s">
        <v>68</v>
      </c>
      <c r="F211" t="s">
        <v>69</v>
      </c>
    </row>
    <row r="212" spans="1:6" x14ac:dyDescent="0.3">
      <c r="A212">
        <v>211</v>
      </c>
      <c r="B212">
        <v>211</v>
      </c>
      <c r="C212" s="1">
        <v>45425</v>
      </c>
      <c r="D212" s="1">
        <v>45426</v>
      </c>
      <c r="E212" t="s">
        <v>68</v>
      </c>
      <c r="F212" t="s">
        <v>69</v>
      </c>
    </row>
    <row r="213" spans="1:6" x14ac:dyDescent="0.3">
      <c r="A213">
        <v>212</v>
      </c>
      <c r="B213">
        <v>212</v>
      </c>
      <c r="C213" s="1">
        <v>45466</v>
      </c>
      <c r="D213" s="1">
        <v>45469</v>
      </c>
      <c r="E213" t="s">
        <v>68</v>
      </c>
      <c r="F213" t="s">
        <v>12</v>
      </c>
    </row>
    <row r="214" spans="1:6" x14ac:dyDescent="0.3">
      <c r="A214">
        <v>213</v>
      </c>
      <c r="B214">
        <v>213</v>
      </c>
      <c r="C214" s="1">
        <v>45339</v>
      </c>
      <c r="D214" s="1">
        <v>45347</v>
      </c>
      <c r="E214" t="s">
        <v>72</v>
      </c>
      <c r="F214" t="s">
        <v>12</v>
      </c>
    </row>
    <row r="215" spans="1:6" x14ac:dyDescent="0.3">
      <c r="A215">
        <v>214</v>
      </c>
      <c r="B215">
        <v>214</v>
      </c>
      <c r="C215" s="1">
        <v>45432</v>
      </c>
      <c r="D215" s="1">
        <v>45438</v>
      </c>
      <c r="E215" t="s">
        <v>71</v>
      </c>
      <c r="F215" t="s">
        <v>69</v>
      </c>
    </row>
    <row r="216" spans="1:6" x14ac:dyDescent="0.3">
      <c r="A216">
        <v>215</v>
      </c>
      <c r="B216">
        <v>215</v>
      </c>
      <c r="C216" s="1">
        <v>45585</v>
      </c>
      <c r="D216" s="1">
        <v>45591</v>
      </c>
      <c r="E216" t="s">
        <v>71</v>
      </c>
      <c r="F216" t="s">
        <v>69</v>
      </c>
    </row>
    <row r="217" spans="1:6" x14ac:dyDescent="0.3">
      <c r="A217">
        <v>216</v>
      </c>
      <c r="B217">
        <v>216</v>
      </c>
      <c r="C217" s="1">
        <v>45318</v>
      </c>
      <c r="D217" s="1">
        <v>45322</v>
      </c>
      <c r="E217" t="s">
        <v>72</v>
      </c>
      <c r="F217" t="s">
        <v>12</v>
      </c>
    </row>
    <row r="218" spans="1:6" x14ac:dyDescent="0.3">
      <c r="A218">
        <v>217</v>
      </c>
      <c r="B218">
        <v>217</v>
      </c>
      <c r="C218" s="1">
        <v>45382</v>
      </c>
      <c r="D218" s="1">
        <v>45385</v>
      </c>
      <c r="E218" t="s">
        <v>71</v>
      </c>
      <c r="F218" t="s">
        <v>12</v>
      </c>
    </row>
    <row r="219" spans="1:6" x14ac:dyDescent="0.3">
      <c r="A219">
        <v>218</v>
      </c>
      <c r="B219">
        <v>218</v>
      </c>
      <c r="C219" s="1">
        <v>45397</v>
      </c>
      <c r="D219" s="1">
        <v>45406</v>
      </c>
      <c r="E219" t="s">
        <v>70</v>
      </c>
      <c r="F219" t="s">
        <v>69</v>
      </c>
    </row>
    <row r="220" spans="1:6" x14ac:dyDescent="0.3">
      <c r="A220">
        <v>219</v>
      </c>
      <c r="B220">
        <v>219</v>
      </c>
      <c r="C220" s="1">
        <v>45476</v>
      </c>
      <c r="D220" s="1">
        <v>45480</v>
      </c>
      <c r="E220" t="s">
        <v>68</v>
      </c>
      <c r="F220" t="s">
        <v>69</v>
      </c>
    </row>
    <row r="221" spans="1:6" x14ac:dyDescent="0.3">
      <c r="A221">
        <v>220</v>
      </c>
      <c r="B221">
        <v>220</v>
      </c>
      <c r="C221" s="1">
        <v>45416</v>
      </c>
      <c r="D221" s="1">
        <v>45421</v>
      </c>
      <c r="E221" t="s">
        <v>72</v>
      </c>
      <c r="F221" t="s">
        <v>12</v>
      </c>
    </row>
    <row r="222" spans="1:6" x14ac:dyDescent="0.3">
      <c r="A222">
        <v>221</v>
      </c>
      <c r="B222">
        <v>221</v>
      </c>
      <c r="C222" s="1">
        <v>45563</v>
      </c>
      <c r="D222" s="1">
        <v>45570</v>
      </c>
      <c r="E222" t="s">
        <v>70</v>
      </c>
      <c r="F222" t="s">
        <v>69</v>
      </c>
    </row>
    <row r="223" spans="1:6" x14ac:dyDescent="0.3">
      <c r="A223">
        <v>222</v>
      </c>
      <c r="B223">
        <v>222</v>
      </c>
      <c r="C223" s="1">
        <v>45591</v>
      </c>
      <c r="D223" s="1">
        <v>45596</v>
      </c>
      <c r="E223" t="s">
        <v>70</v>
      </c>
      <c r="F223" t="s">
        <v>12</v>
      </c>
    </row>
    <row r="224" spans="1:6" x14ac:dyDescent="0.3">
      <c r="A224">
        <v>223</v>
      </c>
      <c r="B224">
        <v>223</v>
      </c>
      <c r="C224" s="1">
        <v>45502</v>
      </c>
      <c r="D224" s="1">
        <v>45503</v>
      </c>
      <c r="E224" t="s">
        <v>71</v>
      </c>
      <c r="F224" t="s">
        <v>12</v>
      </c>
    </row>
    <row r="225" spans="1:6" x14ac:dyDescent="0.3">
      <c r="A225">
        <v>224</v>
      </c>
      <c r="B225">
        <v>224</v>
      </c>
      <c r="C225" s="1">
        <v>45543</v>
      </c>
      <c r="D225" s="1">
        <v>45551</v>
      </c>
      <c r="E225" t="s">
        <v>68</v>
      </c>
      <c r="F225" t="s">
        <v>12</v>
      </c>
    </row>
    <row r="226" spans="1:6" x14ac:dyDescent="0.3">
      <c r="A226">
        <v>225</v>
      </c>
      <c r="B226">
        <v>225</v>
      </c>
      <c r="C226" s="1">
        <v>45439</v>
      </c>
      <c r="D226" s="1">
        <v>45449</v>
      </c>
      <c r="E226" t="s">
        <v>72</v>
      </c>
      <c r="F226" t="s">
        <v>12</v>
      </c>
    </row>
    <row r="227" spans="1:6" x14ac:dyDescent="0.3">
      <c r="A227">
        <v>226</v>
      </c>
      <c r="B227">
        <v>226</v>
      </c>
      <c r="C227" s="1">
        <v>45481</v>
      </c>
      <c r="D227" s="1">
        <v>45485</v>
      </c>
      <c r="E227" t="s">
        <v>71</v>
      </c>
      <c r="F227" t="s">
        <v>12</v>
      </c>
    </row>
    <row r="228" spans="1:6" x14ac:dyDescent="0.3">
      <c r="A228">
        <v>227</v>
      </c>
      <c r="B228">
        <v>227</v>
      </c>
      <c r="C228" s="1">
        <v>45408</v>
      </c>
      <c r="D228" s="1">
        <v>45415</v>
      </c>
      <c r="E228" t="s">
        <v>68</v>
      </c>
      <c r="F228" t="s">
        <v>12</v>
      </c>
    </row>
    <row r="229" spans="1:6" x14ac:dyDescent="0.3">
      <c r="A229">
        <v>228</v>
      </c>
      <c r="B229">
        <v>228</v>
      </c>
      <c r="C229" s="1">
        <v>45539</v>
      </c>
      <c r="D229" s="1">
        <v>45546</v>
      </c>
      <c r="E229" t="s">
        <v>68</v>
      </c>
      <c r="F229" t="s">
        <v>69</v>
      </c>
    </row>
    <row r="230" spans="1:6" x14ac:dyDescent="0.3">
      <c r="A230">
        <v>229</v>
      </c>
      <c r="B230">
        <v>229</v>
      </c>
      <c r="C230" s="1">
        <v>45356</v>
      </c>
      <c r="D230" s="1">
        <v>45359</v>
      </c>
      <c r="E230" t="s">
        <v>68</v>
      </c>
      <c r="F230" t="s">
        <v>12</v>
      </c>
    </row>
    <row r="231" spans="1:6" x14ac:dyDescent="0.3">
      <c r="A231">
        <v>230</v>
      </c>
      <c r="B231">
        <v>230</v>
      </c>
      <c r="C231" s="1">
        <v>45493</v>
      </c>
      <c r="D231" s="1">
        <v>45499</v>
      </c>
      <c r="E231" t="s">
        <v>72</v>
      </c>
      <c r="F231" t="s">
        <v>69</v>
      </c>
    </row>
    <row r="232" spans="1:6" x14ac:dyDescent="0.3">
      <c r="A232">
        <v>231</v>
      </c>
      <c r="B232">
        <v>231</v>
      </c>
      <c r="C232" s="1">
        <v>45562</v>
      </c>
      <c r="D232" s="1">
        <v>45564</v>
      </c>
      <c r="E232" t="s">
        <v>71</v>
      </c>
      <c r="F232" t="s">
        <v>69</v>
      </c>
    </row>
    <row r="233" spans="1:6" x14ac:dyDescent="0.3">
      <c r="A233">
        <v>232</v>
      </c>
      <c r="B233">
        <v>232</v>
      </c>
      <c r="C233" s="1">
        <v>45413</v>
      </c>
      <c r="D233" s="1">
        <v>45414</v>
      </c>
      <c r="E233" t="s">
        <v>72</v>
      </c>
      <c r="F233" t="s">
        <v>69</v>
      </c>
    </row>
    <row r="234" spans="1:6" x14ac:dyDescent="0.3">
      <c r="A234">
        <v>233</v>
      </c>
      <c r="B234">
        <v>233</v>
      </c>
      <c r="C234" s="1">
        <v>45601</v>
      </c>
      <c r="D234" s="1">
        <v>45610</v>
      </c>
      <c r="E234" t="s">
        <v>71</v>
      </c>
      <c r="F234" t="s">
        <v>12</v>
      </c>
    </row>
    <row r="235" spans="1:6" x14ac:dyDescent="0.3">
      <c r="A235">
        <v>234</v>
      </c>
      <c r="B235">
        <v>234</v>
      </c>
      <c r="C235" s="1">
        <v>45607</v>
      </c>
      <c r="D235" s="1">
        <v>45610</v>
      </c>
      <c r="E235" t="s">
        <v>68</v>
      </c>
      <c r="F235" t="s">
        <v>69</v>
      </c>
    </row>
    <row r="236" spans="1:6" x14ac:dyDescent="0.3">
      <c r="A236">
        <v>235</v>
      </c>
      <c r="B236">
        <v>235</v>
      </c>
      <c r="C236" s="1">
        <v>45410</v>
      </c>
      <c r="D236" s="1">
        <v>45416</v>
      </c>
      <c r="E236" t="s">
        <v>68</v>
      </c>
      <c r="F236" t="s">
        <v>69</v>
      </c>
    </row>
    <row r="237" spans="1:6" x14ac:dyDescent="0.3">
      <c r="A237">
        <v>236</v>
      </c>
      <c r="B237">
        <v>236</v>
      </c>
      <c r="C237" s="1">
        <v>45411</v>
      </c>
      <c r="D237" s="1">
        <v>45416</v>
      </c>
      <c r="E237" t="s">
        <v>68</v>
      </c>
      <c r="F237" t="s">
        <v>12</v>
      </c>
    </row>
    <row r="238" spans="1:6" x14ac:dyDescent="0.3">
      <c r="A238">
        <v>237</v>
      </c>
      <c r="B238">
        <v>237</v>
      </c>
      <c r="C238" s="1">
        <v>45593</v>
      </c>
      <c r="D238" s="1">
        <v>45597</v>
      </c>
      <c r="E238" t="s">
        <v>68</v>
      </c>
      <c r="F238" t="s">
        <v>69</v>
      </c>
    </row>
    <row r="239" spans="1:6" x14ac:dyDescent="0.3">
      <c r="A239">
        <v>238</v>
      </c>
      <c r="B239">
        <v>238</v>
      </c>
      <c r="C239" s="1">
        <v>45374</v>
      </c>
      <c r="D239" s="1">
        <v>45382</v>
      </c>
      <c r="E239" t="s">
        <v>70</v>
      </c>
      <c r="F239" t="s">
        <v>69</v>
      </c>
    </row>
    <row r="240" spans="1:6" x14ac:dyDescent="0.3">
      <c r="A240">
        <v>239</v>
      </c>
      <c r="B240">
        <v>239</v>
      </c>
      <c r="C240" s="1">
        <v>45501</v>
      </c>
      <c r="D240" s="1">
        <v>45503</v>
      </c>
      <c r="E240" t="s">
        <v>68</v>
      </c>
      <c r="F240" t="s">
        <v>12</v>
      </c>
    </row>
    <row r="241" spans="1:6" x14ac:dyDescent="0.3">
      <c r="A241">
        <v>240</v>
      </c>
      <c r="B241">
        <v>240</v>
      </c>
      <c r="C241" s="1">
        <v>45354</v>
      </c>
      <c r="D241" s="1">
        <v>45360</v>
      </c>
      <c r="E241" t="s">
        <v>72</v>
      </c>
      <c r="F241" t="s">
        <v>69</v>
      </c>
    </row>
    <row r="242" spans="1:6" x14ac:dyDescent="0.3">
      <c r="A242">
        <v>241</v>
      </c>
      <c r="B242">
        <v>241</v>
      </c>
      <c r="C242" s="1">
        <v>45545</v>
      </c>
      <c r="D242" s="1">
        <v>45546</v>
      </c>
      <c r="E242" t="s">
        <v>71</v>
      </c>
      <c r="F242" t="s">
        <v>69</v>
      </c>
    </row>
    <row r="243" spans="1:6" x14ac:dyDescent="0.3">
      <c r="A243">
        <v>242</v>
      </c>
      <c r="B243">
        <v>242</v>
      </c>
      <c r="C243" s="1">
        <v>45380</v>
      </c>
      <c r="D243" s="1">
        <v>45385</v>
      </c>
      <c r="E243" t="s">
        <v>72</v>
      </c>
      <c r="F243" t="s">
        <v>12</v>
      </c>
    </row>
    <row r="244" spans="1:6" x14ac:dyDescent="0.3">
      <c r="A244">
        <v>243</v>
      </c>
      <c r="B244">
        <v>243</v>
      </c>
      <c r="C244" s="1">
        <v>45538</v>
      </c>
      <c r="D244" s="1">
        <v>45547</v>
      </c>
      <c r="E244" t="s">
        <v>70</v>
      </c>
      <c r="F244" t="s">
        <v>69</v>
      </c>
    </row>
    <row r="245" spans="1:6" x14ac:dyDescent="0.3">
      <c r="A245">
        <v>244</v>
      </c>
      <c r="B245">
        <v>244</v>
      </c>
      <c r="C245" s="1">
        <v>45602</v>
      </c>
      <c r="D245" s="1">
        <v>45608</v>
      </c>
      <c r="E245" t="s">
        <v>72</v>
      </c>
      <c r="F245" t="s">
        <v>69</v>
      </c>
    </row>
    <row r="246" spans="1:6" x14ac:dyDescent="0.3">
      <c r="A246">
        <v>245</v>
      </c>
      <c r="B246">
        <v>245</v>
      </c>
      <c r="C246" s="1">
        <v>45474</v>
      </c>
      <c r="D246" s="1">
        <v>45482</v>
      </c>
      <c r="E246" t="s">
        <v>71</v>
      </c>
      <c r="F246" t="s">
        <v>12</v>
      </c>
    </row>
    <row r="247" spans="1:6" x14ac:dyDescent="0.3">
      <c r="A247">
        <v>246</v>
      </c>
      <c r="B247">
        <v>246</v>
      </c>
      <c r="C247" s="1">
        <v>45406</v>
      </c>
      <c r="D247" s="1">
        <v>45407</v>
      </c>
      <c r="E247" t="s">
        <v>72</v>
      </c>
      <c r="F247" t="s">
        <v>12</v>
      </c>
    </row>
    <row r="248" spans="1:6" x14ac:dyDescent="0.3">
      <c r="A248">
        <v>247</v>
      </c>
      <c r="B248">
        <v>247</v>
      </c>
      <c r="C248" s="1">
        <v>45465</v>
      </c>
      <c r="D248" s="1">
        <v>45471</v>
      </c>
      <c r="E248" t="s">
        <v>71</v>
      </c>
      <c r="F248" t="s">
        <v>69</v>
      </c>
    </row>
    <row r="249" spans="1:6" x14ac:dyDescent="0.3">
      <c r="A249">
        <v>248</v>
      </c>
      <c r="B249">
        <v>248</v>
      </c>
      <c r="C249" s="1">
        <v>45535</v>
      </c>
      <c r="D249" s="1">
        <v>45545</v>
      </c>
      <c r="E249" t="s">
        <v>72</v>
      </c>
      <c r="F249" t="s">
        <v>12</v>
      </c>
    </row>
    <row r="250" spans="1:6" x14ac:dyDescent="0.3">
      <c r="A250">
        <v>249</v>
      </c>
      <c r="B250">
        <v>249</v>
      </c>
      <c r="C250" s="1">
        <v>45536</v>
      </c>
      <c r="D250" s="1">
        <v>45539</v>
      </c>
      <c r="E250" t="s">
        <v>68</v>
      </c>
      <c r="F250" t="s">
        <v>12</v>
      </c>
    </row>
    <row r="251" spans="1:6" x14ac:dyDescent="0.3">
      <c r="A251">
        <v>250</v>
      </c>
      <c r="B251">
        <v>250</v>
      </c>
      <c r="C251" s="1">
        <v>45320</v>
      </c>
      <c r="D251" s="1">
        <v>45321</v>
      </c>
      <c r="E251" t="s">
        <v>72</v>
      </c>
      <c r="F251" t="s">
        <v>69</v>
      </c>
    </row>
    <row r="252" spans="1:6" x14ac:dyDescent="0.3">
      <c r="A252">
        <v>251</v>
      </c>
      <c r="B252">
        <v>251</v>
      </c>
      <c r="C252" s="1">
        <v>45326</v>
      </c>
      <c r="D252" s="1">
        <v>45336</v>
      </c>
      <c r="E252" t="s">
        <v>72</v>
      </c>
      <c r="F252" t="s">
        <v>69</v>
      </c>
    </row>
    <row r="253" spans="1:6" x14ac:dyDescent="0.3">
      <c r="A253">
        <v>252</v>
      </c>
      <c r="B253">
        <v>252</v>
      </c>
      <c r="C253" s="1">
        <v>45550</v>
      </c>
      <c r="D253" s="1">
        <v>45557</v>
      </c>
      <c r="E253" t="s">
        <v>68</v>
      </c>
      <c r="F253" t="s">
        <v>12</v>
      </c>
    </row>
    <row r="254" spans="1:6" x14ac:dyDescent="0.3">
      <c r="A254">
        <v>253</v>
      </c>
      <c r="B254">
        <v>253</v>
      </c>
      <c r="C254" s="1">
        <v>45394</v>
      </c>
      <c r="D254" s="1">
        <v>45397</v>
      </c>
      <c r="E254" t="s">
        <v>72</v>
      </c>
      <c r="F254" t="s">
        <v>12</v>
      </c>
    </row>
    <row r="255" spans="1:6" x14ac:dyDescent="0.3">
      <c r="A255">
        <v>254</v>
      </c>
      <c r="B255">
        <v>254</v>
      </c>
      <c r="C255" s="1">
        <v>45507</v>
      </c>
      <c r="D255" s="1">
        <v>45509</v>
      </c>
      <c r="E255" t="s">
        <v>68</v>
      </c>
      <c r="F255" t="s">
        <v>12</v>
      </c>
    </row>
    <row r="256" spans="1:6" x14ac:dyDescent="0.3">
      <c r="A256">
        <v>255</v>
      </c>
      <c r="B256">
        <v>255</v>
      </c>
      <c r="C256" s="1">
        <v>45657</v>
      </c>
      <c r="D256" s="1">
        <v>45666</v>
      </c>
      <c r="E256" t="s">
        <v>70</v>
      </c>
      <c r="F256" t="s">
        <v>69</v>
      </c>
    </row>
    <row r="257" spans="1:6" x14ac:dyDescent="0.3">
      <c r="A257">
        <v>256</v>
      </c>
      <c r="B257">
        <v>256</v>
      </c>
      <c r="C257" s="1">
        <v>45307</v>
      </c>
      <c r="D257" s="1">
        <v>45313</v>
      </c>
      <c r="E257" t="s">
        <v>70</v>
      </c>
      <c r="F257" t="s">
        <v>12</v>
      </c>
    </row>
    <row r="258" spans="1:6" x14ac:dyDescent="0.3">
      <c r="A258">
        <v>257</v>
      </c>
      <c r="B258">
        <v>257</v>
      </c>
      <c r="C258" s="1">
        <v>45502</v>
      </c>
      <c r="D258" s="1">
        <v>45511</v>
      </c>
      <c r="E258" t="s">
        <v>70</v>
      </c>
      <c r="F258" t="s">
        <v>12</v>
      </c>
    </row>
    <row r="259" spans="1:6" x14ac:dyDescent="0.3">
      <c r="A259">
        <v>258</v>
      </c>
      <c r="B259">
        <v>258</v>
      </c>
      <c r="C259" s="1">
        <v>45294</v>
      </c>
      <c r="D259" s="1">
        <v>45303</v>
      </c>
      <c r="E259" t="s">
        <v>70</v>
      </c>
      <c r="F259" t="s">
        <v>69</v>
      </c>
    </row>
    <row r="260" spans="1:6" x14ac:dyDescent="0.3">
      <c r="A260">
        <v>259</v>
      </c>
      <c r="B260">
        <v>259</v>
      </c>
      <c r="C260" s="1">
        <v>45526</v>
      </c>
      <c r="D260" s="1">
        <v>45534</v>
      </c>
      <c r="E260" t="s">
        <v>72</v>
      </c>
      <c r="F260" t="s">
        <v>69</v>
      </c>
    </row>
    <row r="261" spans="1:6" x14ac:dyDescent="0.3">
      <c r="A261">
        <v>260</v>
      </c>
      <c r="B261">
        <v>260</v>
      </c>
      <c r="C261" s="1">
        <v>45353</v>
      </c>
      <c r="D261" s="1">
        <v>45356</v>
      </c>
      <c r="E261" t="s">
        <v>68</v>
      </c>
      <c r="F261" t="s">
        <v>69</v>
      </c>
    </row>
    <row r="262" spans="1:6" x14ac:dyDescent="0.3">
      <c r="A262">
        <v>261</v>
      </c>
      <c r="B262">
        <v>261</v>
      </c>
      <c r="C262" s="1">
        <v>45605</v>
      </c>
      <c r="D262" s="1">
        <v>45608</v>
      </c>
      <c r="E262" t="s">
        <v>71</v>
      </c>
      <c r="F262" t="s">
        <v>12</v>
      </c>
    </row>
    <row r="263" spans="1:6" x14ac:dyDescent="0.3">
      <c r="A263">
        <v>262</v>
      </c>
      <c r="B263">
        <v>262</v>
      </c>
      <c r="C263" s="1">
        <v>45332</v>
      </c>
      <c r="D263" s="1">
        <v>45333</v>
      </c>
      <c r="E263" t="s">
        <v>70</v>
      </c>
      <c r="F263" t="s">
        <v>69</v>
      </c>
    </row>
    <row r="264" spans="1:6" x14ac:dyDescent="0.3">
      <c r="A264">
        <v>263</v>
      </c>
      <c r="B264">
        <v>263</v>
      </c>
      <c r="C264" s="1">
        <v>45455</v>
      </c>
      <c r="D264" s="1">
        <v>45457</v>
      </c>
      <c r="E264" t="s">
        <v>72</v>
      </c>
      <c r="F264" t="s">
        <v>12</v>
      </c>
    </row>
    <row r="265" spans="1:6" x14ac:dyDescent="0.3">
      <c r="A265">
        <v>264</v>
      </c>
      <c r="B265">
        <v>264</v>
      </c>
      <c r="C265" s="1">
        <v>45296</v>
      </c>
      <c r="D265" s="1">
        <v>45305</v>
      </c>
      <c r="E265" t="s">
        <v>72</v>
      </c>
      <c r="F265" t="s">
        <v>12</v>
      </c>
    </row>
    <row r="266" spans="1:6" x14ac:dyDescent="0.3">
      <c r="A266">
        <v>265</v>
      </c>
      <c r="B266">
        <v>265</v>
      </c>
      <c r="C266" s="1">
        <v>45608</v>
      </c>
      <c r="D266" s="1">
        <v>45612</v>
      </c>
      <c r="E266" t="s">
        <v>68</v>
      </c>
      <c r="F266" t="s">
        <v>12</v>
      </c>
    </row>
    <row r="267" spans="1:6" x14ac:dyDescent="0.3">
      <c r="A267">
        <v>266</v>
      </c>
      <c r="B267">
        <v>266</v>
      </c>
      <c r="C267" s="1">
        <v>45326</v>
      </c>
      <c r="D267" s="1">
        <v>45334</v>
      </c>
      <c r="E267" t="s">
        <v>71</v>
      </c>
      <c r="F267" t="s">
        <v>12</v>
      </c>
    </row>
    <row r="268" spans="1:6" x14ac:dyDescent="0.3">
      <c r="A268">
        <v>267</v>
      </c>
      <c r="B268">
        <v>267</v>
      </c>
      <c r="C268" s="1">
        <v>45370</v>
      </c>
      <c r="D268" s="1">
        <v>45374</v>
      </c>
      <c r="E268" t="s">
        <v>70</v>
      </c>
      <c r="F268" t="s">
        <v>12</v>
      </c>
    </row>
    <row r="269" spans="1:6" x14ac:dyDescent="0.3">
      <c r="A269">
        <v>268</v>
      </c>
      <c r="B269">
        <v>268</v>
      </c>
      <c r="C269" s="1">
        <v>45311</v>
      </c>
      <c r="D269" s="1">
        <v>45312</v>
      </c>
      <c r="E269" t="s">
        <v>72</v>
      </c>
      <c r="F269" t="s">
        <v>69</v>
      </c>
    </row>
    <row r="270" spans="1:6" x14ac:dyDescent="0.3">
      <c r="A270">
        <v>269</v>
      </c>
      <c r="B270">
        <v>269</v>
      </c>
      <c r="C270" s="1">
        <v>45534</v>
      </c>
      <c r="D270" s="1">
        <v>45537</v>
      </c>
      <c r="E270" t="s">
        <v>70</v>
      </c>
      <c r="F270" t="s">
        <v>12</v>
      </c>
    </row>
    <row r="271" spans="1:6" x14ac:dyDescent="0.3">
      <c r="A271">
        <v>270</v>
      </c>
      <c r="B271">
        <v>270</v>
      </c>
      <c r="C271" s="1">
        <v>45391</v>
      </c>
      <c r="D271" s="1">
        <v>45394</v>
      </c>
      <c r="E271" t="s">
        <v>68</v>
      </c>
      <c r="F271" t="s">
        <v>69</v>
      </c>
    </row>
    <row r="272" spans="1:6" x14ac:dyDescent="0.3">
      <c r="A272">
        <v>271</v>
      </c>
      <c r="B272">
        <v>271</v>
      </c>
      <c r="C272" s="1">
        <v>45657</v>
      </c>
      <c r="D272" s="1">
        <v>45658</v>
      </c>
      <c r="E272" t="s">
        <v>71</v>
      </c>
      <c r="F272" t="s">
        <v>69</v>
      </c>
    </row>
    <row r="273" spans="1:6" x14ac:dyDescent="0.3">
      <c r="A273">
        <v>272</v>
      </c>
      <c r="B273">
        <v>272</v>
      </c>
      <c r="C273" s="1">
        <v>45636</v>
      </c>
      <c r="D273" s="1">
        <v>45641</v>
      </c>
      <c r="E273" t="s">
        <v>70</v>
      </c>
      <c r="F273" t="s">
        <v>12</v>
      </c>
    </row>
    <row r="274" spans="1:6" x14ac:dyDescent="0.3">
      <c r="A274">
        <v>273</v>
      </c>
      <c r="B274">
        <v>273</v>
      </c>
      <c r="C274" s="1">
        <v>45582</v>
      </c>
      <c r="D274" s="1">
        <v>45586</v>
      </c>
      <c r="E274" t="s">
        <v>72</v>
      </c>
      <c r="F274" t="s">
        <v>69</v>
      </c>
    </row>
    <row r="275" spans="1:6" x14ac:dyDescent="0.3">
      <c r="A275">
        <v>274</v>
      </c>
      <c r="B275">
        <v>274</v>
      </c>
      <c r="C275" s="1">
        <v>45457</v>
      </c>
      <c r="D275" s="1">
        <v>45461</v>
      </c>
      <c r="E275" t="s">
        <v>71</v>
      </c>
      <c r="F275" t="s">
        <v>69</v>
      </c>
    </row>
    <row r="276" spans="1:6" x14ac:dyDescent="0.3">
      <c r="A276">
        <v>275</v>
      </c>
      <c r="B276">
        <v>275</v>
      </c>
      <c r="C276" s="1">
        <v>45604</v>
      </c>
      <c r="D276" s="1">
        <v>45606</v>
      </c>
      <c r="E276" t="s">
        <v>72</v>
      </c>
      <c r="F276" t="s">
        <v>12</v>
      </c>
    </row>
    <row r="277" spans="1:6" x14ac:dyDescent="0.3">
      <c r="A277">
        <v>276</v>
      </c>
      <c r="B277">
        <v>276</v>
      </c>
      <c r="C277" s="1">
        <v>45513</v>
      </c>
      <c r="D277" s="1">
        <v>45523</v>
      </c>
      <c r="E277" t="s">
        <v>71</v>
      </c>
      <c r="F277" t="s">
        <v>12</v>
      </c>
    </row>
    <row r="278" spans="1:6" x14ac:dyDescent="0.3">
      <c r="A278">
        <v>277</v>
      </c>
      <c r="B278">
        <v>277</v>
      </c>
      <c r="C278" s="1">
        <v>45417</v>
      </c>
      <c r="D278" s="1">
        <v>45420</v>
      </c>
      <c r="E278" t="s">
        <v>72</v>
      </c>
      <c r="F278" t="s">
        <v>12</v>
      </c>
    </row>
    <row r="279" spans="1:6" x14ac:dyDescent="0.3">
      <c r="A279">
        <v>278</v>
      </c>
      <c r="B279">
        <v>278</v>
      </c>
      <c r="C279" s="1">
        <v>45524</v>
      </c>
      <c r="D279" s="1">
        <v>45529</v>
      </c>
      <c r="E279" t="s">
        <v>70</v>
      </c>
      <c r="F279" t="s">
        <v>69</v>
      </c>
    </row>
    <row r="280" spans="1:6" x14ac:dyDescent="0.3">
      <c r="A280">
        <v>279</v>
      </c>
      <c r="B280">
        <v>279</v>
      </c>
      <c r="C280" s="1">
        <v>45547</v>
      </c>
      <c r="D280" s="1">
        <v>45551</v>
      </c>
      <c r="E280" t="s">
        <v>70</v>
      </c>
      <c r="F280" t="s">
        <v>69</v>
      </c>
    </row>
    <row r="281" spans="1:6" x14ac:dyDescent="0.3">
      <c r="A281">
        <v>280</v>
      </c>
      <c r="B281">
        <v>280</v>
      </c>
      <c r="C281" s="1">
        <v>45434</v>
      </c>
      <c r="D281" s="1">
        <v>45442</v>
      </c>
      <c r="E281" t="s">
        <v>68</v>
      </c>
      <c r="F281" t="s">
        <v>69</v>
      </c>
    </row>
    <row r="282" spans="1:6" x14ac:dyDescent="0.3">
      <c r="A282">
        <v>281</v>
      </c>
      <c r="B282">
        <v>281</v>
      </c>
      <c r="C282" s="1">
        <v>45588</v>
      </c>
      <c r="D282" s="1">
        <v>45590</v>
      </c>
      <c r="E282" t="s">
        <v>71</v>
      </c>
      <c r="F282" t="s">
        <v>69</v>
      </c>
    </row>
    <row r="283" spans="1:6" x14ac:dyDescent="0.3">
      <c r="A283">
        <v>282</v>
      </c>
      <c r="B283">
        <v>282</v>
      </c>
      <c r="C283" s="1">
        <v>45539</v>
      </c>
      <c r="D283" s="1">
        <v>45542</v>
      </c>
      <c r="E283" t="s">
        <v>72</v>
      </c>
      <c r="F283" t="s">
        <v>12</v>
      </c>
    </row>
    <row r="284" spans="1:6" x14ac:dyDescent="0.3">
      <c r="A284">
        <v>283</v>
      </c>
      <c r="B284">
        <v>283</v>
      </c>
      <c r="C284" s="1">
        <v>45329</v>
      </c>
      <c r="D284" s="1">
        <v>45336</v>
      </c>
      <c r="E284" t="s">
        <v>71</v>
      </c>
      <c r="F284" t="s">
        <v>69</v>
      </c>
    </row>
    <row r="285" spans="1:6" x14ac:dyDescent="0.3">
      <c r="A285">
        <v>284</v>
      </c>
      <c r="B285">
        <v>284</v>
      </c>
      <c r="C285" s="1">
        <v>45474</v>
      </c>
      <c r="D285" s="1">
        <v>45475</v>
      </c>
      <c r="E285" t="s">
        <v>71</v>
      </c>
      <c r="F285" t="s">
        <v>69</v>
      </c>
    </row>
    <row r="286" spans="1:6" x14ac:dyDescent="0.3">
      <c r="A286">
        <v>285</v>
      </c>
      <c r="B286">
        <v>285</v>
      </c>
      <c r="C286" s="1">
        <v>45608</v>
      </c>
      <c r="D286" s="1">
        <v>45616</v>
      </c>
      <c r="E286" t="s">
        <v>68</v>
      </c>
      <c r="F286" t="s">
        <v>69</v>
      </c>
    </row>
    <row r="287" spans="1:6" x14ac:dyDescent="0.3">
      <c r="A287">
        <v>286</v>
      </c>
      <c r="B287">
        <v>286</v>
      </c>
      <c r="C287" s="1">
        <v>45497</v>
      </c>
      <c r="D287" s="1">
        <v>45504</v>
      </c>
      <c r="E287" t="s">
        <v>72</v>
      </c>
      <c r="F287" t="s">
        <v>69</v>
      </c>
    </row>
    <row r="288" spans="1:6" x14ac:dyDescent="0.3">
      <c r="A288">
        <v>287</v>
      </c>
      <c r="B288">
        <v>287</v>
      </c>
      <c r="C288" s="1">
        <v>45322</v>
      </c>
      <c r="D288" s="1">
        <v>45324</v>
      </c>
      <c r="E288" t="s">
        <v>70</v>
      </c>
      <c r="F288" t="s">
        <v>69</v>
      </c>
    </row>
    <row r="289" spans="1:6" x14ac:dyDescent="0.3">
      <c r="A289">
        <v>288</v>
      </c>
      <c r="B289">
        <v>288</v>
      </c>
      <c r="C289" s="1">
        <v>45611</v>
      </c>
      <c r="D289" s="1">
        <v>45614</v>
      </c>
      <c r="E289" t="s">
        <v>70</v>
      </c>
      <c r="F289" t="s">
        <v>12</v>
      </c>
    </row>
    <row r="290" spans="1:6" x14ac:dyDescent="0.3">
      <c r="A290">
        <v>289</v>
      </c>
      <c r="B290">
        <v>289</v>
      </c>
      <c r="C290" s="1">
        <v>45477</v>
      </c>
      <c r="D290" s="1">
        <v>45482</v>
      </c>
      <c r="E290" t="s">
        <v>72</v>
      </c>
      <c r="F290" t="s">
        <v>12</v>
      </c>
    </row>
    <row r="291" spans="1:6" x14ac:dyDescent="0.3">
      <c r="A291">
        <v>290</v>
      </c>
      <c r="B291">
        <v>290</v>
      </c>
      <c r="C291" s="1">
        <v>45382</v>
      </c>
      <c r="D291" s="1">
        <v>45386</v>
      </c>
      <c r="E291" t="s">
        <v>71</v>
      </c>
      <c r="F291" t="s">
        <v>69</v>
      </c>
    </row>
    <row r="292" spans="1:6" x14ac:dyDescent="0.3">
      <c r="A292">
        <v>291</v>
      </c>
      <c r="B292">
        <v>291</v>
      </c>
      <c r="C292" s="1">
        <v>45657</v>
      </c>
      <c r="D292" s="1">
        <v>45666</v>
      </c>
      <c r="E292" t="s">
        <v>72</v>
      </c>
      <c r="F292" t="s">
        <v>69</v>
      </c>
    </row>
    <row r="293" spans="1:6" x14ac:dyDescent="0.3">
      <c r="A293">
        <v>292</v>
      </c>
      <c r="B293">
        <v>292</v>
      </c>
      <c r="C293" s="1">
        <v>45504</v>
      </c>
      <c r="D293" s="1">
        <v>45514</v>
      </c>
      <c r="E293" t="s">
        <v>72</v>
      </c>
      <c r="F293" t="s">
        <v>69</v>
      </c>
    </row>
    <row r="294" spans="1:6" x14ac:dyDescent="0.3">
      <c r="A294">
        <v>293</v>
      </c>
      <c r="B294">
        <v>293</v>
      </c>
      <c r="C294" s="1">
        <v>45379</v>
      </c>
      <c r="D294" s="1">
        <v>45382</v>
      </c>
      <c r="E294" t="s">
        <v>72</v>
      </c>
      <c r="F294" t="s">
        <v>12</v>
      </c>
    </row>
    <row r="295" spans="1:6" x14ac:dyDescent="0.3">
      <c r="A295">
        <v>294</v>
      </c>
      <c r="B295">
        <v>294</v>
      </c>
      <c r="C295" s="1">
        <v>45628</v>
      </c>
      <c r="D295" s="1">
        <v>45635</v>
      </c>
      <c r="E295" t="s">
        <v>71</v>
      </c>
      <c r="F295" t="s">
        <v>12</v>
      </c>
    </row>
    <row r="296" spans="1:6" x14ac:dyDescent="0.3">
      <c r="A296">
        <v>295</v>
      </c>
      <c r="B296">
        <v>295</v>
      </c>
      <c r="C296" s="1">
        <v>45467</v>
      </c>
      <c r="D296" s="1">
        <v>45471</v>
      </c>
      <c r="E296" t="s">
        <v>70</v>
      </c>
      <c r="F296" t="s">
        <v>12</v>
      </c>
    </row>
    <row r="297" spans="1:6" x14ac:dyDescent="0.3">
      <c r="A297">
        <v>296</v>
      </c>
      <c r="B297">
        <v>296</v>
      </c>
      <c r="C297" s="1">
        <v>45563</v>
      </c>
      <c r="D297" s="1">
        <v>45565</v>
      </c>
      <c r="E297" t="s">
        <v>71</v>
      </c>
      <c r="F297" t="s">
        <v>69</v>
      </c>
    </row>
    <row r="298" spans="1:6" x14ac:dyDescent="0.3">
      <c r="A298">
        <v>297</v>
      </c>
      <c r="B298">
        <v>297</v>
      </c>
      <c r="C298" s="1">
        <v>45425</v>
      </c>
      <c r="D298" s="1">
        <v>45427</v>
      </c>
      <c r="E298" t="s">
        <v>68</v>
      </c>
      <c r="F298" t="s">
        <v>12</v>
      </c>
    </row>
    <row r="299" spans="1:6" x14ac:dyDescent="0.3">
      <c r="A299">
        <v>298</v>
      </c>
      <c r="B299">
        <v>298</v>
      </c>
      <c r="C299" s="1">
        <v>45524</v>
      </c>
      <c r="D299" s="1">
        <v>45533</v>
      </c>
      <c r="E299" t="s">
        <v>70</v>
      </c>
      <c r="F299" t="s">
        <v>12</v>
      </c>
    </row>
    <row r="300" spans="1:6" x14ac:dyDescent="0.3">
      <c r="A300">
        <v>299</v>
      </c>
      <c r="B300">
        <v>299</v>
      </c>
      <c r="C300" s="1">
        <v>45352</v>
      </c>
      <c r="D300" s="1">
        <v>45361</v>
      </c>
      <c r="E300" t="s">
        <v>72</v>
      </c>
      <c r="F300" t="s">
        <v>12</v>
      </c>
    </row>
    <row r="301" spans="1:6" x14ac:dyDescent="0.3">
      <c r="A301">
        <v>300</v>
      </c>
      <c r="B301">
        <v>300</v>
      </c>
      <c r="C301" s="1">
        <v>45387</v>
      </c>
      <c r="D301" s="1">
        <v>45397</v>
      </c>
      <c r="E301" t="s">
        <v>71</v>
      </c>
      <c r="F301" t="s">
        <v>12</v>
      </c>
    </row>
    <row r="302" spans="1:6" x14ac:dyDescent="0.3">
      <c r="A302">
        <v>301</v>
      </c>
      <c r="B302">
        <v>301</v>
      </c>
      <c r="C302" s="1">
        <v>45327</v>
      </c>
      <c r="D302" s="1">
        <v>45333</v>
      </c>
      <c r="E302" t="s">
        <v>68</v>
      </c>
      <c r="F302" t="s">
        <v>12</v>
      </c>
    </row>
    <row r="303" spans="1:6" x14ac:dyDescent="0.3">
      <c r="A303">
        <v>302</v>
      </c>
      <c r="B303">
        <v>302</v>
      </c>
      <c r="C303" s="1">
        <v>45316</v>
      </c>
      <c r="D303" s="1">
        <v>45325</v>
      </c>
      <c r="E303" t="s">
        <v>70</v>
      </c>
      <c r="F303" t="s">
        <v>12</v>
      </c>
    </row>
    <row r="304" spans="1:6" x14ac:dyDescent="0.3">
      <c r="A304">
        <v>303</v>
      </c>
      <c r="B304">
        <v>303</v>
      </c>
      <c r="C304" s="1">
        <v>45638</v>
      </c>
      <c r="D304" s="1">
        <v>45643</v>
      </c>
      <c r="E304" t="s">
        <v>72</v>
      </c>
      <c r="F304" t="s">
        <v>12</v>
      </c>
    </row>
    <row r="305" spans="1:6" x14ac:dyDescent="0.3">
      <c r="A305">
        <v>304</v>
      </c>
      <c r="B305">
        <v>304</v>
      </c>
      <c r="C305" s="1">
        <v>45358</v>
      </c>
      <c r="D305" s="1">
        <v>45364</v>
      </c>
      <c r="E305" t="s">
        <v>68</v>
      </c>
      <c r="F305" t="s">
        <v>12</v>
      </c>
    </row>
    <row r="306" spans="1:6" x14ac:dyDescent="0.3">
      <c r="A306">
        <v>305</v>
      </c>
      <c r="B306">
        <v>305</v>
      </c>
      <c r="C306" s="1">
        <v>45382</v>
      </c>
      <c r="D306" s="1">
        <v>45392</v>
      </c>
      <c r="E306" t="s">
        <v>71</v>
      </c>
      <c r="F306" t="s">
        <v>69</v>
      </c>
    </row>
    <row r="307" spans="1:6" x14ac:dyDescent="0.3">
      <c r="A307">
        <v>306</v>
      </c>
      <c r="B307">
        <v>306</v>
      </c>
      <c r="C307" s="1">
        <v>45407</v>
      </c>
      <c r="D307" s="1">
        <v>45414</v>
      </c>
      <c r="E307" t="s">
        <v>72</v>
      </c>
      <c r="F307" t="s">
        <v>69</v>
      </c>
    </row>
    <row r="308" spans="1:6" x14ac:dyDescent="0.3">
      <c r="A308">
        <v>307</v>
      </c>
      <c r="B308">
        <v>307</v>
      </c>
      <c r="C308" s="1">
        <v>45518</v>
      </c>
      <c r="D308" s="1">
        <v>45520</v>
      </c>
      <c r="E308" t="s">
        <v>72</v>
      </c>
      <c r="F308" t="s">
        <v>69</v>
      </c>
    </row>
    <row r="309" spans="1:6" x14ac:dyDescent="0.3">
      <c r="A309">
        <v>308</v>
      </c>
      <c r="B309">
        <v>308</v>
      </c>
      <c r="C309" s="1">
        <v>45629</v>
      </c>
      <c r="D309" s="1">
        <v>45630</v>
      </c>
      <c r="E309" t="s">
        <v>72</v>
      </c>
      <c r="F309" t="s">
        <v>69</v>
      </c>
    </row>
    <row r="310" spans="1:6" x14ac:dyDescent="0.3">
      <c r="A310">
        <v>309</v>
      </c>
      <c r="B310">
        <v>309</v>
      </c>
      <c r="C310" s="1">
        <v>45553</v>
      </c>
      <c r="D310" s="1">
        <v>45554</v>
      </c>
      <c r="E310" t="s">
        <v>72</v>
      </c>
      <c r="F310" t="s">
        <v>12</v>
      </c>
    </row>
    <row r="311" spans="1:6" x14ac:dyDescent="0.3">
      <c r="A311">
        <v>310</v>
      </c>
      <c r="B311">
        <v>310</v>
      </c>
      <c r="C311" s="1">
        <v>45636</v>
      </c>
      <c r="D311" s="1">
        <v>45638</v>
      </c>
      <c r="E311" t="s">
        <v>72</v>
      </c>
      <c r="F311" t="s">
        <v>69</v>
      </c>
    </row>
    <row r="312" spans="1:6" x14ac:dyDescent="0.3">
      <c r="A312">
        <v>311</v>
      </c>
      <c r="B312">
        <v>311</v>
      </c>
      <c r="C312" s="1">
        <v>45602</v>
      </c>
      <c r="D312" s="1">
        <v>45609</v>
      </c>
      <c r="E312" t="s">
        <v>68</v>
      </c>
      <c r="F312" t="s">
        <v>69</v>
      </c>
    </row>
    <row r="313" spans="1:6" x14ac:dyDescent="0.3">
      <c r="A313">
        <v>312</v>
      </c>
      <c r="B313">
        <v>312</v>
      </c>
      <c r="C313" s="1">
        <v>45374</v>
      </c>
      <c r="D313" s="1">
        <v>45384</v>
      </c>
      <c r="E313" t="s">
        <v>68</v>
      </c>
      <c r="F313" t="s">
        <v>12</v>
      </c>
    </row>
    <row r="314" spans="1:6" x14ac:dyDescent="0.3">
      <c r="A314">
        <v>313</v>
      </c>
      <c r="B314">
        <v>313</v>
      </c>
      <c r="C314" s="1">
        <v>45651</v>
      </c>
      <c r="D314" s="1">
        <v>45661</v>
      </c>
      <c r="E314" t="s">
        <v>70</v>
      </c>
      <c r="F314" t="s">
        <v>69</v>
      </c>
    </row>
    <row r="315" spans="1:6" x14ac:dyDescent="0.3">
      <c r="A315">
        <v>314</v>
      </c>
      <c r="B315">
        <v>314</v>
      </c>
      <c r="C315" s="1">
        <v>45478</v>
      </c>
      <c r="D315" s="1">
        <v>45480</v>
      </c>
      <c r="E315" t="s">
        <v>72</v>
      </c>
      <c r="F315" t="s">
        <v>69</v>
      </c>
    </row>
    <row r="316" spans="1:6" x14ac:dyDescent="0.3">
      <c r="A316">
        <v>315</v>
      </c>
      <c r="B316">
        <v>315</v>
      </c>
      <c r="C316" s="1">
        <v>45395</v>
      </c>
      <c r="D316" s="1">
        <v>45402</v>
      </c>
      <c r="E316" t="s">
        <v>68</v>
      </c>
      <c r="F316" t="s">
        <v>69</v>
      </c>
    </row>
    <row r="317" spans="1:6" x14ac:dyDescent="0.3">
      <c r="A317">
        <v>316</v>
      </c>
      <c r="B317">
        <v>316</v>
      </c>
      <c r="C317" s="1">
        <v>45552</v>
      </c>
      <c r="D317" s="1">
        <v>45553</v>
      </c>
      <c r="E317" t="s">
        <v>71</v>
      </c>
      <c r="F317" t="s">
        <v>12</v>
      </c>
    </row>
    <row r="318" spans="1:6" x14ac:dyDescent="0.3">
      <c r="A318">
        <v>317</v>
      </c>
      <c r="B318">
        <v>317</v>
      </c>
      <c r="C318" s="1">
        <v>45304</v>
      </c>
      <c r="D318" s="1">
        <v>45311</v>
      </c>
      <c r="E318" t="s">
        <v>71</v>
      </c>
      <c r="F318" t="s">
        <v>12</v>
      </c>
    </row>
    <row r="319" spans="1:6" x14ac:dyDescent="0.3">
      <c r="A319">
        <v>318</v>
      </c>
      <c r="B319">
        <v>318</v>
      </c>
      <c r="C319" s="1">
        <v>45411</v>
      </c>
      <c r="D319" s="1">
        <v>45418</v>
      </c>
      <c r="E319" t="s">
        <v>70</v>
      </c>
      <c r="F319" t="s">
        <v>12</v>
      </c>
    </row>
    <row r="320" spans="1:6" x14ac:dyDescent="0.3">
      <c r="A320">
        <v>319</v>
      </c>
      <c r="B320">
        <v>319</v>
      </c>
      <c r="C320" s="1">
        <v>45617</v>
      </c>
      <c r="D320" s="1">
        <v>45625</v>
      </c>
      <c r="E320" t="s">
        <v>68</v>
      </c>
      <c r="F320" t="s">
        <v>69</v>
      </c>
    </row>
    <row r="321" spans="1:6" x14ac:dyDescent="0.3">
      <c r="A321">
        <v>320</v>
      </c>
      <c r="B321">
        <v>320</v>
      </c>
      <c r="C321" s="1">
        <v>45307</v>
      </c>
      <c r="D321" s="1">
        <v>45314</v>
      </c>
      <c r="E321" t="s">
        <v>68</v>
      </c>
      <c r="F321" t="s">
        <v>69</v>
      </c>
    </row>
    <row r="322" spans="1:6" x14ac:dyDescent="0.3">
      <c r="A322">
        <v>321</v>
      </c>
      <c r="B322">
        <v>321</v>
      </c>
      <c r="C322" s="1">
        <v>45486</v>
      </c>
      <c r="D322" s="1">
        <v>45489</v>
      </c>
      <c r="E322" t="s">
        <v>70</v>
      </c>
      <c r="F322" t="s">
        <v>69</v>
      </c>
    </row>
    <row r="323" spans="1:6" x14ac:dyDescent="0.3">
      <c r="A323">
        <v>322</v>
      </c>
      <c r="B323">
        <v>322</v>
      </c>
      <c r="C323" s="1">
        <v>45540</v>
      </c>
      <c r="D323" s="1">
        <v>45548</v>
      </c>
      <c r="E323" t="s">
        <v>72</v>
      </c>
      <c r="F323" t="s">
        <v>12</v>
      </c>
    </row>
    <row r="324" spans="1:6" x14ac:dyDescent="0.3">
      <c r="A324">
        <v>323</v>
      </c>
      <c r="B324">
        <v>323</v>
      </c>
      <c r="C324" s="1">
        <v>45347</v>
      </c>
      <c r="D324" s="1">
        <v>45357</v>
      </c>
      <c r="E324" t="s">
        <v>68</v>
      </c>
      <c r="F324" t="s">
        <v>69</v>
      </c>
    </row>
    <row r="325" spans="1:6" x14ac:dyDescent="0.3">
      <c r="A325">
        <v>324</v>
      </c>
      <c r="B325">
        <v>324</v>
      </c>
      <c r="C325" s="1">
        <v>45462</v>
      </c>
      <c r="D325" s="1">
        <v>45465</v>
      </c>
      <c r="E325" t="s">
        <v>72</v>
      </c>
      <c r="F325" t="s">
        <v>12</v>
      </c>
    </row>
    <row r="326" spans="1:6" x14ac:dyDescent="0.3">
      <c r="A326">
        <v>325</v>
      </c>
      <c r="B326">
        <v>325</v>
      </c>
      <c r="C326" s="1">
        <v>45305</v>
      </c>
      <c r="D326" s="1">
        <v>45307</v>
      </c>
      <c r="E326" t="s">
        <v>71</v>
      </c>
      <c r="F326" t="s">
        <v>69</v>
      </c>
    </row>
    <row r="327" spans="1:6" x14ac:dyDescent="0.3">
      <c r="A327">
        <v>326</v>
      </c>
      <c r="B327">
        <v>326</v>
      </c>
      <c r="C327" s="1">
        <v>45421</v>
      </c>
      <c r="D327" s="1">
        <v>45422</v>
      </c>
      <c r="E327" t="s">
        <v>70</v>
      </c>
      <c r="F327" t="s">
        <v>69</v>
      </c>
    </row>
    <row r="328" spans="1:6" x14ac:dyDescent="0.3">
      <c r="A328">
        <v>327</v>
      </c>
      <c r="B328">
        <v>327</v>
      </c>
      <c r="C328" s="1">
        <v>45301</v>
      </c>
      <c r="D328" s="1">
        <v>45307</v>
      </c>
      <c r="E328" t="s">
        <v>71</v>
      </c>
      <c r="F328" t="s">
        <v>69</v>
      </c>
    </row>
    <row r="329" spans="1:6" x14ac:dyDescent="0.3">
      <c r="A329">
        <v>328</v>
      </c>
      <c r="B329">
        <v>328</v>
      </c>
      <c r="C329" s="1">
        <v>45632</v>
      </c>
      <c r="D329" s="1">
        <v>45633</v>
      </c>
      <c r="E329" t="s">
        <v>72</v>
      </c>
      <c r="F329" t="s">
        <v>69</v>
      </c>
    </row>
    <row r="330" spans="1:6" x14ac:dyDescent="0.3">
      <c r="A330">
        <v>329</v>
      </c>
      <c r="B330">
        <v>329</v>
      </c>
      <c r="C330" s="1">
        <v>45552</v>
      </c>
      <c r="D330" s="1">
        <v>45559</v>
      </c>
      <c r="E330" t="s">
        <v>71</v>
      </c>
      <c r="F330" t="s">
        <v>12</v>
      </c>
    </row>
    <row r="331" spans="1:6" x14ac:dyDescent="0.3">
      <c r="A331">
        <v>330</v>
      </c>
      <c r="B331">
        <v>330</v>
      </c>
      <c r="C331" s="1">
        <v>45313</v>
      </c>
      <c r="D331" s="1">
        <v>45319</v>
      </c>
      <c r="E331" t="s">
        <v>72</v>
      </c>
      <c r="F331" t="s">
        <v>69</v>
      </c>
    </row>
    <row r="332" spans="1:6" x14ac:dyDescent="0.3">
      <c r="A332">
        <v>331</v>
      </c>
      <c r="B332">
        <v>331</v>
      </c>
      <c r="C332" s="1">
        <v>45360</v>
      </c>
      <c r="D332" s="1">
        <v>45368</v>
      </c>
      <c r="E332" t="s">
        <v>70</v>
      </c>
      <c r="F332" t="s">
        <v>12</v>
      </c>
    </row>
    <row r="333" spans="1:6" x14ac:dyDescent="0.3">
      <c r="A333">
        <v>332</v>
      </c>
      <c r="B333">
        <v>332</v>
      </c>
      <c r="C333" s="1">
        <v>45374</v>
      </c>
      <c r="D333" s="1">
        <v>45383</v>
      </c>
      <c r="E333" t="s">
        <v>72</v>
      </c>
      <c r="F333" t="s">
        <v>69</v>
      </c>
    </row>
    <row r="334" spans="1:6" x14ac:dyDescent="0.3">
      <c r="A334">
        <v>333</v>
      </c>
      <c r="B334">
        <v>333</v>
      </c>
      <c r="C334" s="1">
        <v>45654</v>
      </c>
      <c r="D334" s="1">
        <v>45662</v>
      </c>
      <c r="E334" t="s">
        <v>68</v>
      </c>
      <c r="F334" t="s">
        <v>12</v>
      </c>
    </row>
    <row r="335" spans="1:6" x14ac:dyDescent="0.3">
      <c r="A335">
        <v>334</v>
      </c>
      <c r="B335">
        <v>334</v>
      </c>
      <c r="C335" s="1">
        <v>45622</v>
      </c>
      <c r="D335" s="1">
        <v>45626</v>
      </c>
      <c r="E335" t="s">
        <v>71</v>
      </c>
      <c r="F335" t="s">
        <v>69</v>
      </c>
    </row>
    <row r="336" spans="1:6" x14ac:dyDescent="0.3">
      <c r="A336">
        <v>335</v>
      </c>
      <c r="B336">
        <v>335</v>
      </c>
      <c r="C336" s="1">
        <v>45600</v>
      </c>
      <c r="D336" s="1">
        <v>45606</v>
      </c>
      <c r="E336" t="s">
        <v>68</v>
      </c>
      <c r="F336" t="s">
        <v>69</v>
      </c>
    </row>
    <row r="337" spans="1:6" x14ac:dyDescent="0.3">
      <c r="A337">
        <v>336</v>
      </c>
      <c r="B337">
        <v>336</v>
      </c>
      <c r="C337" s="1">
        <v>45480</v>
      </c>
      <c r="D337" s="1">
        <v>45485</v>
      </c>
      <c r="E337" t="s">
        <v>70</v>
      </c>
      <c r="F337" t="s">
        <v>69</v>
      </c>
    </row>
    <row r="338" spans="1:6" x14ac:dyDescent="0.3">
      <c r="A338">
        <v>337</v>
      </c>
      <c r="B338">
        <v>337</v>
      </c>
      <c r="C338" s="1">
        <v>45374</v>
      </c>
      <c r="D338" s="1">
        <v>45382</v>
      </c>
      <c r="E338" t="s">
        <v>70</v>
      </c>
      <c r="F338" t="s">
        <v>69</v>
      </c>
    </row>
    <row r="339" spans="1:6" x14ac:dyDescent="0.3">
      <c r="A339">
        <v>338</v>
      </c>
      <c r="B339">
        <v>338</v>
      </c>
      <c r="C339" s="1">
        <v>45579</v>
      </c>
      <c r="D339" s="1">
        <v>45585</v>
      </c>
      <c r="E339" t="s">
        <v>72</v>
      </c>
      <c r="F339" t="s">
        <v>69</v>
      </c>
    </row>
    <row r="340" spans="1:6" x14ac:dyDescent="0.3">
      <c r="A340">
        <v>339</v>
      </c>
      <c r="B340">
        <v>339</v>
      </c>
      <c r="C340" s="1">
        <v>45537</v>
      </c>
      <c r="D340" s="1">
        <v>45542</v>
      </c>
      <c r="E340" t="s">
        <v>71</v>
      </c>
      <c r="F340" t="s">
        <v>12</v>
      </c>
    </row>
    <row r="341" spans="1:6" x14ac:dyDescent="0.3">
      <c r="A341">
        <v>340</v>
      </c>
      <c r="B341">
        <v>340</v>
      </c>
      <c r="C341" s="1">
        <v>45380</v>
      </c>
      <c r="D341" s="1">
        <v>45382</v>
      </c>
      <c r="E341" t="s">
        <v>71</v>
      </c>
      <c r="F341" t="s">
        <v>12</v>
      </c>
    </row>
    <row r="342" spans="1:6" x14ac:dyDescent="0.3">
      <c r="A342">
        <v>341</v>
      </c>
      <c r="B342">
        <v>341</v>
      </c>
      <c r="C342" s="1">
        <v>45515</v>
      </c>
      <c r="D342" s="1">
        <v>45520</v>
      </c>
      <c r="E342" t="s">
        <v>68</v>
      </c>
      <c r="F342" t="s">
        <v>69</v>
      </c>
    </row>
    <row r="343" spans="1:6" x14ac:dyDescent="0.3">
      <c r="A343">
        <v>342</v>
      </c>
      <c r="B343">
        <v>342</v>
      </c>
      <c r="C343" s="1">
        <v>45442</v>
      </c>
      <c r="D343" s="1">
        <v>45446</v>
      </c>
      <c r="E343" t="s">
        <v>70</v>
      </c>
      <c r="F343" t="s">
        <v>12</v>
      </c>
    </row>
    <row r="344" spans="1:6" x14ac:dyDescent="0.3">
      <c r="A344">
        <v>343</v>
      </c>
      <c r="B344">
        <v>343</v>
      </c>
      <c r="C344" s="1">
        <v>45618</v>
      </c>
      <c r="D344" s="1">
        <v>45622</v>
      </c>
      <c r="E344" t="s">
        <v>68</v>
      </c>
      <c r="F344" t="s">
        <v>12</v>
      </c>
    </row>
    <row r="345" spans="1:6" x14ac:dyDescent="0.3">
      <c r="A345">
        <v>344</v>
      </c>
      <c r="B345">
        <v>344</v>
      </c>
      <c r="C345" s="1">
        <v>45388</v>
      </c>
      <c r="D345" s="1">
        <v>45396</v>
      </c>
      <c r="E345" t="s">
        <v>70</v>
      </c>
      <c r="F345" t="s">
        <v>69</v>
      </c>
    </row>
    <row r="346" spans="1:6" x14ac:dyDescent="0.3">
      <c r="A346">
        <v>345</v>
      </c>
      <c r="B346">
        <v>345</v>
      </c>
      <c r="C346" s="1">
        <v>45331</v>
      </c>
      <c r="D346" s="1">
        <v>45340</v>
      </c>
      <c r="E346" t="s">
        <v>70</v>
      </c>
      <c r="F346" t="s">
        <v>12</v>
      </c>
    </row>
    <row r="347" spans="1:6" x14ac:dyDescent="0.3">
      <c r="A347">
        <v>346</v>
      </c>
      <c r="B347">
        <v>346</v>
      </c>
      <c r="C347" s="1">
        <v>45337</v>
      </c>
      <c r="D347" s="1">
        <v>45344</v>
      </c>
      <c r="E347" t="s">
        <v>70</v>
      </c>
      <c r="F347" t="s">
        <v>12</v>
      </c>
    </row>
    <row r="348" spans="1:6" x14ac:dyDescent="0.3">
      <c r="A348">
        <v>347</v>
      </c>
      <c r="B348">
        <v>347</v>
      </c>
      <c r="C348" s="1">
        <v>45606</v>
      </c>
      <c r="D348" s="1">
        <v>45612</v>
      </c>
      <c r="E348" t="s">
        <v>68</v>
      </c>
      <c r="F348" t="s">
        <v>12</v>
      </c>
    </row>
    <row r="349" spans="1:6" x14ac:dyDescent="0.3">
      <c r="A349">
        <v>348</v>
      </c>
      <c r="B349">
        <v>348</v>
      </c>
      <c r="C349" s="1">
        <v>45319</v>
      </c>
      <c r="D349" s="1">
        <v>45323</v>
      </c>
      <c r="E349" t="s">
        <v>70</v>
      </c>
      <c r="F349" t="s">
        <v>12</v>
      </c>
    </row>
    <row r="350" spans="1:6" x14ac:dyDescent="0.3">
      <c r="A350">
        <v>349</v>
      </c>
      <c r="B350">
        <v>349</v>
      </c>
      <c r="C350" s="1">
        <v>45308</v>
      </c>
      <c r="D350" s="1">
        <v>45311</v>
      </c>
      <c r="E350" t="s">
        <v>70</v>
      </c>
      <c r="F350" t="s">
        <v>69</v>
      </c>
    </row>
    <row r="351" spans="1:6" x14ac:dyDescent="0.3">
      <c r="A351">
        <v>350</v>
      </c>
      <c r="B351">
        <v>350</v>
      </c>
      <c r="C351" s="1">
        <v>45509</v>
      </c>
      <c r="D351" s="1">
        <v>45510</v>
      </c>
      <c r="E351" t="s">
        <v>68</v>
      </c>
      <c r="F351" t="s">
        <v>69</v>
      </c>
    </row>
    <row r="352" spans="1:6" x14ac:dyDescent="0.3">
      <c r="A352">
        <v>351</v>
      </c>
      <c r="B352">
        <v>351</v>
      </c>
      <c r="C352" s="1">
        <v>45308</v>
      </c>
      <c r="D352" s="1">
        <v>45315</v>
      </c>
      <c r="E352" t="s">
        <v>72</v>
      </c>
      <c r="F352" t="s">
        <v>69</v>
      </c>
    </row>
    <row r="353" spans="1:6" x14ac:dyDescent="0.3">
      <c r="A353">
        <v>352</v>
      </c>
      <c r="B353">
        <v>352</v>
      </c>
      <c r="C353" s="1">
        <v>45428</v>
      </c>
      <c r="D353" s="1">
        <v>45429</v>
      </c>
      <c r="E353" t="s">
        <v>71</v>
      </c>
      <c r="F353" t="s">
        <v>69</v>
      </c>
    </row>
    <row r="354" spans="1:6" x14ac:dyDescent="0.3">
      <c r="A354">
        <v>353</v>
      </c>
      <c r="B354">
        <v>353</v>
      </c>
      <c r="C354" s="1">
        <v>45431</v>
      </c>
      <c r="D354" s="1">
        <v>45440</v>
      </c>
      <c r="E354" t="s">
        <v>71</v>
      </c>
      <c r="F354" t="s">
        <v>12</v>
      </c>
    </row>
    <row r="355" spans="1:6" x14ac:dyDescent="0.3">
      <c r="A355">
        <v>354</v>
      </c>
      <c r="B355">
        <v>354</v>
      </c>
      <c r="C355" s="1">
        <v>45633</v>
      </c>
      <c r="D355" s="1">
        <v>45639</v>
      </c>
      <c r="E355" t="s">
        <v>71</v>
      </c>
      <c r="F355" t="s">
        <v>69</v>
      </c>
    </row>
    <row r="356" spans="1:6" x14ac:dyDescent="0.3">
      <c r="A356">
        <v>355</v>
      </c>
      <c r="B356">
        <v>355</v>
      </c>
      <c r="C356" s="1">
        <v>45321</v>
      </c>
      <c r="D356" s="1">
        <v>45325</v>
      </c>
      <c r="E356" t="s">
        <v>71</v>
      </c>
      <c r="F356" t="s">
        <v>12</v>
      </c>
    </row>
    <row r="357" spans="1:6" x14ac:dyDescent="0.3">
      <c r="A357">
        <v>356</v>
      </c>
      <c r="B357">
        <v>356</v>
      </c>
      <c r="C357" s="1">
        <v>45634</v>
      </c>
      <c r="D357" s="1">
        <v>45638</v>
      </c>
      <c r="E357" t="s">
        <v>68</v>
      </c>
      <c r="F357" t="s">
        <v>69</v>
      </c>
    </row>
    <row r="358" spans="1:6" x14ac:dyDescent="0.3">
      <c r="A358">
        <v>357</v>
      </c>
      <c r="B358">
        <v>357</v>
      </c>
      <c r="C358" s="1">
        <v>45593</v>
      </c>
      <c r="D358" s="1">
        <v>45601</v>
      </c>
      <c r="E358" t="s">
        <v>71</v>
      </c>
      <c r="F358" t="s">
        <v>69</v>
      </c>
    </row>
    <row r="359" spans="1:6" x14ac:dyDescent="0.3">
      <c r="A359">
        <v>358</v>
      </c>
      <c r="B359">
        <v>358</v>
      </c>
      <c r="C359" s="1">
        <v>45519</v>
      </c>
      <c r="D359" s="1">
        <v>45524</v>
      </c>
      <c r="E359" t="s">
        <v>71</v>
      </c>
      <c r="F359" t="s">
        <v>69</v>
      </c>
    </row>
    <row r="360" spans="1:6" x14ac:dyDescent="0.3">
      <c r="A360">
        <v>359</v>
      </c>
      <c r="B360">
        <v>359</v>
      </c>
      <c r="C360" s="1">
        <v>45297</v>
      </c>
      <c r="D360" s="1">
        <v>45305</v>
      </c>
      <c r="E360" t="s">
        <v>70</v>
      </c>
      <c r="F360" t="s">
        <v>12</v>
      </c>
    </row>
    <row r="361" spans="1:6" x14ac:dyDescent="0.3">
      <c r="A361">
        <v>360</v>
      </c>
      <c r="B361">
        <v>360</v>
      </c>
      <c r="C361" s="1">
        <v>45430</v>
      </c>
      <c r="D361" s="1">
        <v>45434</v>
      </c>
      <c r="E361" t="s">
        <v>72</v>
      </c>
      <c r="F361" t="s">
        <v>69</v>
      </c>
    </row>
    <row r="362" spans="1:6" x14ac:dyDescent="0.3">
      <c r="A362">
        <v>361</v>
      </c>
      <c r="B362">
        <v>361</v>
      </c>
      <c r="C362" s="1">
        <v>45378</v>
      </c>
      <c r="D362" s="1">
        <v>45388</v>
      </c>
      <c r="E362" t="s">
        <v>71</v>
      </c>
      <c r="F362" t="s">
        <v>69</v>
      </c>
    </row>
    <row r="363" spans="1:6" x14ac:dyDescent="0.3">
      <c r="A363">
        <v>362</v>
      </c>
      <c r="B363">
        <v>362</v>
      </c>
      <c r="C363" s="1">
        <v>45342</v>
      </c>
      <c r="D363" s="1">
        <v>45344</v>
      </c>
      <c r="E363" t="s">
        <v>71</v>
      </c>
      <c r="F363" t="s">
        <v>69</v>
      </c>
    </row>
    <row r="364" spans="1:6" x14ac:dyDescent="0.3">
      <c r="A364">
        <v>363</v>
      </c>
      <c r="B364">
        <v>363</v>
      </c>
      <c r="C364" s="1">
        <v>45604</v>
      </c>
      <c r="D364" s="1">
        <v>45605</v>
      </c>
      <c r="E364" t="s">
        <v>72</v>
      </c>
      <c r="F364" t="s">
        <v>69</v>
      </c>
    </row>
    <row r="365" spans="1:6" x14ac:dyDescent="0.3">
      <c r="A365">
        <v>364</v>
      </c>
      <c r="B365">
        <v>364</v>
      </c>
      <c r="C365" s="1">
        <v>45566</v>
      </c>
      <c r="D365" s="1">
        <v>45574</v>
      </c>
      <c r="E365" t="s">
        <v>72</v>
      </c>
      <c r="F365" t="s">
        <v>69</v>
      </c>
    </row>
    <row r="366" spans="1:6" x14ac:dyDescent="0.3">
      <c r="A366">
        <v>365</v>
      </c>
      <c r="B366">
        <v>365</v>
      </c>
      <c r="C366" s="1">
        <v>45649</v>
      </c>
      <c r="D366" s="1">
        <v>45651</v>
      </c>
      <c r="E366" t="s">
        <v>71</v>
      </c>
      <c r="F366" t="s">
        <v>12</v>
      </c>
    </row>
    <row r="367" spans="1:6" x14ac:dyDescent="0.3">
      <c r="A367">
        <v>366</v>
      </c>
      <c r="B367">
        <v>366</v>
      </c>
      <c r="C367" s="1">
        <v>45516</v>
      </c>
      <c r="D367" s="1">
        <v>45521</v>
      </c>
      <c r="E367" t="s">
        <v>71</v>
      </c>
      <c r="F367" t="s">
        <v>12</v>
      </c>
    </row>
    <row r="368" spans="1:6" x14ac:dyDescent="0.3">
      <c r="A368">
        <v>367</v>
      </c>
      <c r="B368">
        <v>367</v>
      </c>
      <c r="C368" s="1">
        <v>45624</v>
      </c>
      <c r="D368" s="1">
        <v>45627</v>
      </c>
      <c r="E368" t="s">
        <v>72</v>
      </c>
      <c r="F368" t="s">
        <v>69</v>
      </c>
    </row>
    <row r="369" spans="1:6" x14ac:dyDescent="0.3">
      <c r="A369">
        <v>368</v>
      </c>
      <c r="B369">
        <v>368</v>
      </c>
      <c r="C369" s="1">
        <v>45318</v>
      </c>
      <c r="D369" s="1">
        <v>45323</v>
      </c>
      <c r="E369" t="s">
        <v>71</v>
      </c>
      <c r="F369" t="s">
        <v>69</v>
      </c>
    </row>
    <row r="370" spans="1:6" x14ac:dyDescent="0.3">
      <c r="A370">
        <v>369</v>
      </c>
      <c r="B370">
        <v>369</v>
      </c>
      <c r="C370" s="1">
        <v>45549</v>
      </c>
      <c r="D370" s="1">
        <v>45554</v>
      </c>
      <c r="E370" t="s">
        <v>72</v>
      </c>
      <c r="F370" t="s">
        <v>69</v>
      </c>
    </row>
    <row r="371" spans="1:6" x14ac:dyDescent="0.3">
      <c r="A371">
        <v>370</v>
      </c>
      <c r="B371">
        <v>370</v>
      </c>
      <c r="C371" s="1">
        <v>45648</v>
      </c>
      <c r="D371" s="1">
        <v>45649</v>
      </c>
      <c r="E371" t="s">
        <v>72</v>
      </c>
      <c r="F371" t="s">
        <v>12</v>
      </c>
    </row>
    <row r="372" spans="1:6" x14ac:dyDescent="0.3">
      <c r="A372">
        <v>371</v>
      </c>
      <c r="B372">
        <v>371</v>
      </c>
      <c r="C372" s="1">
        <v>45346</v>
      </c>
      <c r="D372" s="1">
        <v>45356</v>
      </c>
      <c r="E372" t="s">
        <v>68</v>
      </c>
      <c r="F372" t="s">
        <v>12</v>
      </c>
    </row>
    <row r="373" spans="1:6" x14ac:dyDescent="0.3">
      <c r="A373">
        <v>372</v>
      </c>
      <c r="B373">
        <v>372</v>
      </c>
      <c r="C373" s="1">
        <v>45476</v>
      </c>
      <c r="D373" s="1">
        <v>45483</v>
      </c>
      <c r="E373" t="s">
        <v>72</v>
      </c>
      <c r="F373" t="s">
        <v>69</v>
      </c>
    </row>
    <row r="374" spans="1:6" x14ac:dyDescent="0.3">
      <c r="A374">
        <v>373</v>
      </c>
      <c r="B374">
        <v>373</v>
      </c>
      <c r="C374" s="1">
        <v>45354</v>
      </c>
      <c r="D374" s="1">
        <v>45357</v>
      </c>
      <c r="E374" t="s">
        <v>72</v>
      </c>
      <c r="F374" t="s">
        <v>12</v>
      </c>
    </row>
    <row r="375" spans="1:6" x14ac:dyDescent="0.3">
      <c r="A375">
        <v>374</v>
      </c>
      <c r="B375">
        <v>374</v>
      </c>
      <c r="C375" s="1">
        <v>45499</v>
      </c>
      <c r="D375" s="1">
        <v>45507</v>
      </c>
      <c r="E375" t="s">
        <v>70</v>
      </c>
      <c r="F375" t="s">
        <v>12</v>
      </c>
    </row>
    <row r="376" spans="1:6" x14ac:dyDescent="0.3">
      <c r="A376">
        <v>375</v>
      </c>
      <c r="B376">
        <v>375</v>
      </c>
      <c r="C376" s="1">
        <v>45508</v>
      </c>
      <c r="D376" s="1">
        <v>45510</v>
      </c>
      <c r="E376" t="s">
        <v>68</v>
      </c>
      <c r="F376" t="s">
        <v>69</v>
      </c>
    </row>
    <row r="377" spans="1:6" x14ac:dyDescent="0.3">
      <c r="A377">
        <v>376</v>
      </c>
      <c r="B377">
        <v>376</v>
      </c>
      <c r="C377" s="1">
        <v>45602</v>
      </c>
      <c r="D377" s="1">
        <v>45608</v>
      </c>
      <c r="E377" t="s">
        <v>71</v>
      </c>
      <c r="F377" t="s">
        <v>12</v>
      </c>
    </row>
    <row r="378" spans="1:6" x14ac:dyDescent="0.3">
      <c r="A378">
        <v>377</v>
      </c>
      <c r="B378">
        <v>377</v>
      </c>
      <c r="C378" s="1">
        <v>45543</v>
      </c>
      <c r="D378" s="1">
        <v>45545</v>
      </c>
      <c r="E378" t="s">
        <v>68</v>
      </c>
      <c r="F378" t="s">
        <v>12</v>
      </c>
    </row>
    <row r="379" spans="1:6" x14ac:dyDescent="0.3">
      <c r="A379">
        <v>378</v>
      </c>
      <c r="B379">
        <v>378</v>
      </c>
      <c r="C379" s="1">
        <v>45306</v>
      </c>
      <c r="D379" s="1">
        <v>45307</v>
      </c>
      <c r="E379" t="s">
        <v>70</v>
      </c>
      <c r="F379" t="s">
        <v>69</v>
      </c>
    </row>
    <row r="380" spans="1:6" x14ac:dyDescent="0.3">
      <c r="A380">
        <v>379</v>
      </c>
      <c r="B380">
        <v>379</v>
      </c>
      <c r="C380" s="1">
        <v>45302</v>
      </c>
      <c r="D380" s="1">
        <v>45310</v>
      </c>
      <c r="E380" t="s">
        <v>71</v>
      </c>
      <c r="F380" t="s">
        <v>12</v>
      </c>
    </row>
    <row r="381" spans="1:6" x14ac:dyDescent="0.3">
      <c r="A381">
        <v>380</v>
      </c>
      <c r="B381">
        <v>380</v>
      </c>
      <c r="C381" s="1">
        <v>45414</v>
      </c>
      <c r="D381" s="1">
        <v>45415</v>
      </c>
      <c r="E381" t="s">
        <v>68</v>
      </c>
      <c r="F381" t="s">
        <v>69</v>
      </c>
    </row>
    <row r="382" spans="1:6" x14ac:dyDescent="0.3">
      <c r="A382">
        <v>381</v>
      </c>
      <c r="B382">
        <v>381</v>
      </c>
      <c r="C382" s="1">
        <v>45449</v>
      </c>
      <c r="D382" s="1">
        <v>45456</v>
      </c>
      <c r="E382" t="s">
        <v>71</v>
      </c>
      <c r="F382" t="s">
        <v>12</v>
      </c>
    </row>
    <row r="383" spans="1:6" x14ac:dyDescent="0.3">
      <c r="A383">
        <v>382</v>
      </c>
      <c r="B383">
        <v>382</v>
      </c>
      <c r="C383" s="1">
        <v>45589</v>
      </c>
      <c r="D383" s="1">
        <v>45592</v>
      </c>
      <c r="E383" t="s">
        <v>70</v>
      </c>
      <c r="F383" t="s">
        <v>69</v>
      </c>
    </row>
    <row r="384" spans="1:6" x14ac:dyDescent="0.3">
      <c r="A384">
        <v>383</v>
      </c>
      <c r="B384">
        <v>383</v>
      </c>
      <c r="C384" s="1">
        <v>45343</v>
      </c>
      <c r="D384" s="1">
        <v>45345</v>
      </c>
      <c r="E384" t="s">
        <v>70</v>
      </c>
      <c r="F384" t="s">
        <v>69</v>
      </c>
    </row>
    <row r="385" spans="1:6" x14ac:dyDescent="0.3">
      <c r="A385">
        <v>384</v>
      </c>
      <c r="B385">
        <v>384</v>
      </c>
      <c r="C385" s="1">
        <v>45349</v>
      </c>
      <c r="D385" s="1">
        <v>45356</v>
      </c>
      <c r="E385" t="s">
        <v>72</v>
      </c>
      <c r="F385" t="s">
        <v>69</v>
      </c>
    </row>
    <row r="386" spans="1:6" x14ac:dyDescent="0.3">
      <c r="A386">
        <v>385</v>
      </c>
      <c r="B386">
        <v>385</v>
      </c>
      <c r="C386" s="1">
        <v>45514</v>
      </c>
      <c r="D386" s="1">
        <v>45515</v>
      </c>
      <c r="E386" t="s">
        <v>71</v>
      </c>
      <c r="F386" t="s">
        <v>12</v>
      </c>
    </row>
    <row r="387" spans="1:6" x14ac:dyDescent="0.3">
      <c r="A387">
        <v>386</v>
      </c>
      <c r="B387">
        <v>386</v>
      </c>
      <c r="C387" s="1">
        <v>45608</v>
      </c>
      <c r="D387" s="1">
        <v>45613</v>
      </c>
      <c r="E387" t="s">
        <v>71</v>
      </c>
      <c r="F387" t="s">
        <v>69</v>
      </c>
    </row>
    <row r="388" spans="1:6" x14ac:dyDescent="0.3">
      <c r="A388">
        <v>387</v>
      </c>
      <c r="B388">
        <v>387</v>
      </c>
      <c r="C388" s="1">
        <v>45315</v>
      </c>
      <c r="D388" s="1">
        <v>45316</v>
      </c>
      <c r="E388" t="s">
        <v>70</v>
      </c>
      <c r="F388" t="s">
        <v>12</v>
      </c>
    </row>
    <row r="389" spans="1:6" x14ac:dyDescent="0.3">
      <c r="A389">
        <v>388</v>
      </c>
      <c r="B389">
        <v>388</v>
      </c>
      <c r="C389" s="1">
        <v>45621</v>
      </c>
      <c r="D389" s="1">
        <v>45629</v>
      </c>
      <c r="E389" t="s">
        <v>71</v>
      </c>
      <c r="F389" t="s">
        <v>12</v>
      </c>
    </row>
    <row r="390" spans="1:6" x14ac:dyDescent="0.3">
      <c r="A390">
        <v>389</v>
      </c>
      <c r="B390">
        <v>389</v>
      </c>
      <c r="C390" s="1">
        <v>45331</v>
      </c>
      <c r="D390" s="1">
        <v>45341</v>
      </c>
      <c r="E390" t="s">
        <v>68</v>
      </c>
      <c r="F390" t="s">
        <v>12</v>
      </c>
    </row>
    <row r="391" spans="1:6" x14ac:dyDescent="0.3">
      <c r="A391">
        <v>390</v>
      </c>
      <c r="B391">
        <v>390</v>
      </c>
      <c r="C391" s="1">
        <v>45411</v>
      </c>
      <c r="D391" s="1">
        <v>45418</v>
      </c>
      <c r="E391" t="s">
        <v>72</v>
      </c>
      <c r="F391" t="s">
        <v>12</v>
      </c>
    </row>
    <row r="392" spans="1:6" x14ac:dyDescent="0.3">
      <c r="A392">
        <v>391</v>
      </c>
      <c r="B392">
        <v>391</v>
      </c>
      <c r="C392" s="1">
        <v>45503</v>
      </c>
      <c r="D392" s="1">
        <v>45510</v>
      </c>
      <c r="E392" t="s">
        <v>68</v>
      </c>
      <c r="F392" t="s">
        <v>69</v>
      </c>
    </row>
    <row r="393" spans="1:6" x14ac:dyDescent="0.3">
      <c r="A393">
        <v>392</v>
      </c>
      <c r="B393">
        <v>392</v>
      </c>
      <c r="C393" s="1">
        <v>45604</v>
      </c>
      <c r="D393" s="1">
        <v>45606</v>
      </c>
      <c r="E393" t="s">
        <v>71</v>
      </c>
      <c r="F393" t="s">
        <v>12</v>
      </c>
    </row>
    <row r="394" spans="1:6" x14ac:dyDescent="0.3">
      <c r="A394">
        <v>393</v>
      </c>
      <c r="B394">
        <v>393</v>
      </c>
      <c r="C394" s="1">
        <v>45352</v>
      </c>
      <c r="D394" s="1">
        <v>45357</v>
      </c>
      <c r="E394" t="s">
        <v>71</v>
      </c>
      <c r="F394" t="s">
        <v>12</v>
      </c>
    </row>
    <row r="395" spans="1:6" x14ac:dyDescent="0.3">
      <c r="A395">
        <v>394</v>
      </c>
      <c r="B395">
        <v>394</v>
      </c>
      <c r="C395" s="1">
        <v>45548</v>
      </c>
      <c r="D395" s="1">
        <v>45555</v>
      </c>
      <c r="E395" t="s">
        <v>72</v>
      </c>
      <c r="F395" t="s">
        <v>69</v>
      </c>
    </row>
    <row r="396" spans="1:6" x14ac:dyDescent="0.3">
      <c r="A396">
        <v>395</v>
      </c>
      <c r="B396">
        <v>395</v>
      </c>
      <c r="C396" s="1">
        <v>45648</v>
      </c>
      <c r="D396" s="1">
        <v>45653</v>
      </c>
      <c r="E396" t="s">
        <v>70</v>
      </c>
      <c r="F396" t="s">
        <v>12</v>
      </c>
    </row>
    <row r="397" spans="1:6" x14ac:dyDescent="0.3">
      <c r="A397">
        <v>396</v>
      </c>
      <c r="B397">
        <v>396</v>
      </c>
      <c r="C397" s="1">
        <v>45633</v>
      </c>
      <c r="D397" s="1">
        <v>45634</v>
      </c>
      <c r="E397" t="s">
        <v>68</v>
      </c>
      <c r="F397" t="s">
        <v>12</v>
      </c>
    </row>
    <row r="398" spans="1:6" x14ac:dyDescent="0.3">
      <c r="A398">
        <v>397</v>
      </c>
      <c r="B398">
        <v>397</v>
      </c>
      <c r="C398" s="1">
        <v>45472</v>
      </c>
      <c r="D398" s="1">
        <v>45479</v>
      </c>
      <c r="E398" t="s">
        <v>68</v>
      </c>
      <c r="F398" t="s">
        <v>12</v>
      </c>
    </row>
    <row r="399" spans="1:6" x14ac:dyDescent="0.3">
      <c r="A399">
        <v>398</v>
      </c>
      <c r="B399">
        <v>398</v>
      </c>
      <c r="C399" s="1">
        <v>45497</v>
      </c>
      <c r="D399" s="1">
        <v>45505</v>
      </c>
      <c r="E399" t="s">
        <v>71</v>
      </c>
      <c r="F399" t="s">
        <v>12</v>
      </c>
    </row>
    <row r="400" spans="1:6" x14ac:dyDescent="0.3">
      <c r="A400">
        <v>399</v>
      </c>
      <c r="B400">
        <v>399</v>
      </c>
      <c r="C400" s="1">
        <v>45605</v>
      </c>
      <c r="D400" s="1">
        <v>45612</v>
      </c>
      <c r="E400" t="s">
        <v>71</v>
      </c>
      <c r="F400" t="s">
        <v>69</v>
      </c>
    </row>
    <row r="401" spans="1:6" x14ac:dyDescent="0.3">
      <c r="A401">
        <v>400</v>
      </c>
      <c r="B401">
        <v>400</v>
      </c>
      <c r="C401" s="1">
        <v>45487</v>
      </c>
      <c r="D401" s="1">
        <v>45490</v>
      </c>
      <c r="E401" t="s">
        <v>68</v>
      </c>
      <c r="F401" t="s">
        <v>12</v>
      </c>
    </row>
    <row r="402" spans="1:6" x14ac:dyDescent="0.3">
      <c r="A402">
        <v>401</v>
      </c>
      <c r="B402">
        <v>401</v>
      </c>
      <c r="C402" s="1">
        <v>45496</v>
      </c>
      <c r="D402" s="1">
        <v>45502</v>
      </c>
      <c r="E402" t="s">
        <v>71</v>
      </c>
      <c r="F402" t="s">
        <v>69</v>
      </c>
    </row>
    <row r="403" spans="1:6" x14ac:dyDescent="0.3">
      <c r="A403">
        <v>402</v>
      </c>
      <c r="B403">
        <v>402</v>
      </c>
      <c r="C403" s="1">
        <v>45412</v>
      </c>
      <c r="D403" s="1">
        <v>45422</v>
      </c>
      <c r="E403" t="s">
        <v>68</v>
      </c>
      <c r="F403" t="s">
        <v>69</v>
      </c>
    </row>
    <row r="404" spans="1:6" x14ac:dyDescent="0.3">
      <c r="A404">
        <v>403</v>
      </c>
      <c r="B404">
        <v>403</v>
      </c>
      <c r="C404" s="1">
        <v>45311</v>
      </c>
      <c r="D404" s="1">
        <v>45312</v>
      </c>
      <c r="E404" t="s">
        <v>72</v>
      </c>
      <c r="F404" t="s">
        <v>12</v>
      </c>
    </row>
    <row r="405" spans="1:6" x14ac:dyDescent="0.3">
      <c r="A405">
        <v>404</v>
      </c>
      <c r="B405">
        <v>404</v>
      </c>
      <c r="C405" s="1">
        <v>45647</v>
      </c>
      <c r="D405" s="1">
        <v>45650</v>
      </c>
      <c r="E405" t="s">
        <v>72</v>
      </c>
      <c r="F405" t="s">
        <v>12</v>
      </c>
    </row>
    <row r="406" spans="1:6" x14ac:dyDescent="0.3">
      <c r="A406">
        <v>405</v>
      </c>
      <c r="B406">
        <v>405</v>
      </c>
      <c r="C406" s="1">
        <v>45419</v>
      </c>
      <c r="D406" s="1">
        <v>45420</v>
      </c>
      <c r="E406" t="s">
        <v>72</v>
      </c>
      <c r="F406" t="s">
        <v>69</v>
      </c>
    </row>
    <row r="407" spans="1:6" x14ac:dyDescent="0.3">
      <c r="A407">
        <v>406</v>
      </c>
      <c r="B407">
        <v>406</v>
      </c>
      <c r="C407" s="1">
        <v>45580</v>
      </c>
      <c r="D407" s="1">
        <v>45584</v>
      </c>
      <c r="E407" t="s">
        <v>70</v>
      </c>
      <c r="F407" t="s">
        <v>12</v>
      </c>
    </row>
    <row r="408" spans="1:6" x14ac:dyDescent="0.3">
      <c r="A408">
        <v>407</v>
      </c>
      <c r="B408">
        <v>407</v>
      </c>
      <c r="C408" s="1">
        <v>45345</v>
      </c>
      <c r="D408" s="1">
        <v>45353</v>
      </c>
      <c r="E408" t="s">
        <v>70</v>
      </c>
      <c r="F408" t="s">
        <v>69</v>
      </c>
    </row>
    <row r="409" spans="1:6" x14ac:dyDescent="0.3">
      <c r="A409">
        <v>408</v>
      </c>
      <c r="B409">
        <v>408</v>
      </c>
      <c r="C409" s="1">
        <v>45294</v>
      </c>
      <c r="D409" s="1">
        <v>45296</v>
      </c>
      <c r="E409" t="s">
        <v>72</v>
      </c>
      <c r="F409" t="s">
        <v>12</v>
      </c>
    </row>
    <row r="410" spans="1:6" x14ac:dyDescent="0.3">
      <c r="A410">
        <v>409</v>
      </c>
      <c r="B410">
        <v>409</v>
      </c>
      <c r="C410" s="1">
        <v>45484</v>
      </c>
      <c r="D410" s="1">
        <v>45487</v>
      </c>
      <c r="E410" t="s">
        <v>72</v>
      </c>
      <c r="F410" t="s">
        <v>12</v>
      </c>
    </row>
    <row r="411" spans="1:6" x14ac:dyDescent="0.3">
      <c r="A411">
        <v>410</v>
      </c>
      <c r="B411">
        <v>410</v>
      </c>
      <c r="C411" s="1">
        <v>45510</v>
      </c>
      <c r="D411" s="1">
        <v>45520</v>
      </c>
      <c r="E411" t="s">
        <v>68</v>
      </c>
      <c r="F411" t="s">
        <v>69</v>
      </c>
    </row>
    <row r="412" spans="1:6" x14ac:dyDescent="0.3">
      <c r="A412">
        <v>411</v>
      </c>
      <c r="B412">
        <v>411</v>
      </c>
      <c r="C412" s="1">
        <v>45450</v>
      </c>
      <c r="D412" s="1">
        <v>45454</v>
      </c>
      <c r="E412" t="s">
        <v>68</v>
      </c>
      <c r="F412" t="s">
        <v>69</v>
      </c>
    </row>
    <row r="413" spans="1:6" x14ac:dyDescent="0.3">
      <c r="A413">
        <v>412</v>
      </c>
      <c r="B413">
        <v>412</v>
      </c>
      <c r="C413" s="1">
        <v>45324</v>
      </c>
      <c r="D413" s="1">
        <v>45333</v>
      </c>
      <c r="E413" t="s">
        <v>70</v>
      </c>
      <c r="F413" t="s">
        <v>69</v>
      </c>
    </row>
    <row r="414" spans="1:6" x14ac:dyDescent="0.3">
      <c r="A414">
        <v>413</v>
      </c>
      <c r="B414">
        <v>413</v>
      </c>
      <c r="C414" s="1">
        <v>45502</v>
      </c>
      <c r="D414" s="1">
        <v>45508</v>
      </c>
      <c r="E414" t="s">
        <v>68</v>
      </c>
      <c r="F414" t="s">
        <v>12</v>
      </c>
    </row>
    <row r="415" spans="1:6" x14ac:dyDescent="0.3">
      <c r="A415">
        <v>414</v>
      </c>
      <c r="B415">
        <v>414</v>
      </c>
      <c r="C415" s="1">
        <v>45410</v>
      </c>
      <c r="D415" s="1">
        <v>45417</v>
      </c>
      <c r="E415" t="s">
        <v>72</v>
      </c>
      <c r="F415" t="s">
        <v>12</v>
      </c>
    </row>
    <row r="416" spans="1:6" x14ac:dyDescent="0.3">
      <c r="A416">
        <v>415</v>
      </c>
      <c r="B416">
        <v>415</v>
      </c>
      <c r="C416" s="1">
        <v>45378</v>
      </c>
      <c r="D416" s="1">
        <v>45387</v>
      </c>
      <c r="E416" t="s">
        <v>71</v>
      </c>
      <c r="F416" t="s">
        <v>12</v>
      </c>
    </row>
    <row r="417" spans="1:6" x14ac:dyDescent="0.3">
      <c r="A417">
        <v>416</v>
      </c>
      <c r="B417">
        <v>416</v>
      </c>
      <c r="C417" s="1">
        <v>45304</v>
      </c>
      <c r="D417" s="1">
        <v>45309</v>
      </c>
      <c r="E417" t="s">
        <v>72</v>
      </c>
      <c r="F417" t="s">
        <v>69</v>
      </c>
    </row>
    <row r="418" spans="1:6" x14ac:dyDescent="0.3">
      <c r="A418">
        <v>417</v>
      </c>
      <c r="B418">
        <v>417</v>
      </c>
      <c r="C418" s="1">
        <v>45499</v>
      </c>
      <c r="D418" s="1">
        <v>45504</v>
      </c>
      <c r="E418" t="s">
        <v>71</v>
      </c>
      <c r="F418" t="s">
        <v>12</v>
      </c>
    </row>
    <row r="419" spans="1:6" x14ac:dyDescent="0.3">
      <c r="A419">
        <v>418</v>
      </c>
      <c r="B419">
        <v>418</v>
      </c>
      <c r="C419" s="1">
        <v>45305</v>
      </c>
      <c r="D419" s="1">
        <v>45314</v>
      </c>
      <c r="E419" t="s">
        <v>72</v>
      </c>
      <c r="F419" t="s">
        <v>12</v>
      </c>
    </row>
    <row r="420" spans="1:6" x14ac:dyDescent="0.3">
      <c r="A420">
        <v>419</v>
      </c>
      <c r="B420">
        <v>419</v>
      </c>
      <c r="C420" s="1">
        <v>45439</v>
      </c>
      <c r="D420" s="1">
        <v>45441</v>
      </c>
      <c r="E420" t="s">
        <v>68</v>
      </c>
      <c r="F420" t="s">
        <v>69</v>
      </c>
    </row>
    <row r="421" spans="1:6" x14ac:dyDescent="0.3">
      <c r="A421">
        <v>420</v>
      </c>
      <c r="B421">
        <v>420</v>
      </c>
      <c r="C421" s="1">
        <v>45409</v>
      </c>
      <c r="D421" s="1">
        <v>45410</v>
      </c>
      <c r="E421" t="s">
        <v>71</v>
      </c>
      <c r="F421" t="s">
        <v>12</v>
      </c>
    </row>
    <row r="422" spans="1:6" x14ac:dyDescent="0.3">
      <c r="A422">
        <v>421</v>
      </c>
      <c r="B422">
        <v>421</v>
      </c>
      <c r="C422" s="1">
        <v>45523</v>
      </c>
      <c r="D422" s="1">
        <v>45532</v>
      </c>
      <c r="E422" t="s">
        <v>68</v>
      </c>
      <c r="F422" t="s">
        <v>12</v>
      </c>
    </row>
    <row r="423" spans="1:6" x14ac:dyDescent="0.3">
      <c r="A423">
        <v>422</v>
      </c>
      <c r="B423">
        <v>422</v>
      </c>
      <c r="C423" s="1">
        <v>45333</v>
      </c>
      <c r="D423" s="1">
        <v>45339</v>
      </c>
      <c r="E423" t="s">
        <v>70</v>
      </c>
      <c r="F423" t="s">
        <v>12</v>
      </c>
    </row>
    <row r="424" spans="1:6" x14ac:dyDescent="0.3">
      <c r="A424">
        <v>423</v>
      </c>
      <c r="B424">
        <v>423</v>
      </c>
      <c r="C424" s="1">
        <v>45451</v>
      </c>
      <c r="D424" s="1">
        <v>45457</v>
      </c>
      <c r="E424" t="s">
        <v>68</v>
      </c>
      <c r="F424" t="s">
        <v>12</v>
      </c>
    </row>
    <row r="425" spans="1:6" x14ac:dyDescent="0.3">
      <c r="A425">
        <v>424</v>
      </c>
      <c r="B425">
        <v>424</v>
      </c>
      <c r="C425" s="1">
        <v>45598</v>
      </c>
      <c r="D425" s="1">
        <v>45599</v>
      </c>
      <c r="E425" t="s">
        <v>71</v>
      </c>
      <c r="F425" t="s">
        <v>12</v>
      </c>
    </row>
    <row r="426" spans="1:6" x14ac:dyDescent="0.3">
      <c r="A426">
        <v>425</v>
      </c>
      <c r="B426">
        <v>425</v>
      </c>
      <c r="C426" s="1">
        <v>45626</v>
      </c>
      <c r="D426" s="1">
        <v>45630</v>
      </c>
      <c r="E426" t="s">
        <v>68</v>
      </c>
      <c r="F426" t="s">
        <v>12</v>
      </c>
    </row>
    <row r="427" spans="1:6" x14ac:dyDescent="0.3">
      <c r="A427">
        <v>426</v>
      </c>
      <c r="B427">
        <v>426</v>
      </c>
      <c r="C427" s="1">
        <v>45336</v>
      </c>
      <c r="D427" s="1">
        <v>45340</v>
      </c>
      <c r="E427" t="s">
        <v>70</v>
      </c>
      <c r="F427" t="s">
        <v>69</v>
      </c>
    </row>
    <row r="428" spans="1:6" x14ac:dyDescent="0.3">
      <c r="A428">
        <v>427</v>
      </c>
      <c r="B428">
        <v>427</v>
      </c>
      <c r="C428" s="1">
        <v>45297</v>
      </c>
      <c r="D428" s="1">
        <v>45300</v>
      </c>
      <c r="E428" t="s">
        <v>70</v>
      </c>
      <c r="F428" t="s">
        <v>69</v>
      </c>
    </row>
    <row r="429" spans="1:6" x14ac:dyDescent="0.3">
      <c r="A429">
        <v>428</v>
      </c>
      <c r="B429">
        <v>428</v>
      </c>
      <c r="C429" s="1">
        <v>45559</v>
      </c>
      <c r="D429" s="1">
        <v>45562</v>
      </c>
      <c r="E429" t="s">
        <v>71</v>
      </c>
      <c r="F429" t="s">
        <v>69</v>
      </c>
    </row>
    <row r="430" spans="1:6" x14ac:dyDescent="0.3">
      <c r="A430">
        <v>429</v>
      </c>
      <c r="B430">
        <v>429</v>
      </c>
      <c r="C430" s="1">
        <v>45652</v>
      </c>
      <c r="D430" s="1">
        <v>45660</v>
      </c>
      <c r="E430" t="s">
        <v>70</v>
      </c>
      <c r="F430" t="s">
        <v>69</v>
      </c>
    </row>
    <row r="431" spans="1:6" x14ac:dyDescent="0.3">
      <c r="A431">
        <v>430</v>
      </c>
      <c r="B431">
        <v>430</v>
      </c>
      <c r="C431" s="1">
        <v>45310</v>
      </c>
      <c r="D431" s="1">
        <v>45320</v>
      </c>
      <c r="E431" t="s">
        <v>71</v>
      </c>
      <c r="F431" t="s">
        <v>12</v>
      </c>
    </row>
    <row r="432" spans="1:6" x14ac:dyDescent="0.3">
      <c r="A432">
        <v>431</v>
      </c>
      <c r="B432">
        <v>431</v>
      </c>
      <c r="C432" s="1">
        <v>45571</v>
      </c>
      <c r="D432" s="1">
        <v>45576</v>
      </c>
      <c r="E432" t="s">
        <v>70</v>
      </c>
      <c r="F432" t="s">
        <v>12</v>
      </c>
    </row>
    <row r="433" spans="1:6" x14ac:dyDescent="0.3">
      <c r="A433">
        <v>432</v>
      </c>
      <c r="B433">
        <v>432</v>
      </c>
      <c r="C433" s="1">
        <v>45521</v>
      </c>
      <c r="D433" s="1">
        <v>45523</v>
      </c>
      <c r="E433" t="s">
        <v>70</v>
      </c>
      <c r="F433" t="s">
        <v>69</v>
      </c>
    </row>
    <row r="434" spans="1:6" x14ac:dyDescent="0.3">
      <c r="A434">
        <v>433</v>
      </c>
      <c r="B434">
        <v>433</v>
      </c>
      <c r="C434" s="1">
        <v>45484</v>
      </c>
      <c r="D434" s="1">
        <v>45494</v>
      </c>
      <c r="E434" t="s">
        <v>68</v>
      </c>
      <c r="F434" t="s">
        <v>12</v>
      </c>
    </row>
    <row r="435" spans="1:6" x14ac:dyDescent="0.3">
      <c r="A435">
        <v>434</v>
      </c>
      <c r="B435">
        <v>434</v>
      </c>
      <c r="C435" s="1">
        <v>45478</v>
      </c>
      <c r="D435" s="1">
        <v>45485</v>
      </c>
      <c r="E435" t="s">
        <v>68</v>
      </c>
      <c r="F435" t="s">
        <v>69</v>
      </c>
    </row>
    <row r="436" spans="1:6" x14ac:dyDescent="0.3">
      <c r="A436">
        <v>435</v>
      </c>
      <c r="B436">
        <v>435</v>
      </c>
      <c r="C436" s="1">
        <v>45421</v>
      </c>
      <c r="D436" s="1">
        <v>45430</v>
      </c>
      <c r="E436" t="s">
        <v>68</v>
      </c>
      <c r="F436" t="s">
        <v>12</v>
      </c>
    </row>
    <row r="437" spans="1:6" x14ac:dyDescent="0.3">
      <c r="A437">
        <v>436</v>
      </c>
      <c r="B437">
        <v>436</v>
      </c>
      <c r="C437" s="1">
        <v>45423</v>
      </c>
      <c r="D437" s="1">
        <v>45426</v>
      </c>
      <c r="E437" t="s">
        <v>72</v>
      </c>
      <c r="F437" t="s">
        <v>12</v>
      </c>
    </row>
    <row r="438" spans="1:6" x14ac:dyDescent="0.3">
      <c r="A438">
        <v>437</v>
      </c>
      <c r="B438">
        <v>437</v>
      </c>
      <c r="C438" s="1">
        <v>45380</v>
      </c>
      <c r="D438" s="1">
        <v>45389</v>
      </c>
      <c r="E438" t="s">
        <v>68</v>
      </c>
      <c r="F438" t="s">
        <v>69</v>
      </c>
    </row>
    <row r="439" spans="1:6" x14ac:dyDescent="0.3">
      <c r="A439">
        <v>438</v>
      </c>
      <c r="B439">
        <v>438</v>
      </c>
      <c r="C439" s="1">
        <v>45466</v>
      </c>
      <c r="D439" s="1">
        <v>45472</v>
      </c>
      <c r="E439" t="s">
        <v>68</v>
      </c>
      <c r="F439" t="s">
        <v>69</v>
      </c>
    </row>
    <row r="440" spans="1:6" x14ac:dyDescent="0.3">
      <c r="A440">
        <v>439</v>
      </c>
      <c r="B440">
        <v>439</v>
      </c>
      <c r="C440" s="1">
        <v>45471</v>
      </c>
      <c r="D440" s="1">
        <v>45475</v>
      </c>
      <c r="E440" t="s">
        <v>70</v>
      </c>
      <c r="F440" t="s">
        <v>12</v>
      </c>
    </row>
    <row r="441" spans="1:6" x14ac:dyDescent="0.3">
      <c r="A441">
        <v>440</v>
      </c>
      <c r="B441">
        <v>440</v>
      </c>
      <c r="C441" s="1">
        <v>45609</v>
      </c>
      <c r="D441" s="1">
        <v>45612</v>
      </c>
      <c r="E441" t="s">
        <v>71</v>
      </c>
      <c r="F441" t="s">
        <v>69</v>
      </c>
    </row>
    <row r="442" spans="1:6" x14ac:dyDescent="0.3">
      <c r="A442">
        <v>441</v>
      </c>
      <c r="B442">
        <v>441</v>
      </c>
      <c r="C442" s="1">
        <v>45502</v>
      </c>
      <c r="D442" s="1">
        <v>45507</v>
      </c>
      <c r="E442" t="s">
        <v>72</v>
      </c>
      <c r="F442" t="s">
        <v>12</v>
      </c>
    </row>
    <row r="443" spans="1:6" x14ac:dyDescent="0.3">
      <c r="A443">
        <v>442</v>
      </c>
      <c r="B443">
        <v>442</v>
      </c>
      <c r="C443" s="1">
        <v>45506</v>
      </c>
      <c r="D443" s="1">
        <v>45508</v>
      </c>
      <c r="E443" t="s">
        <v>72</v>
      </c>
      <c r="F443" t="s">
        <v>69</v>
      </c>
    </row>
    <row r="444" spans="1:6" x14ac:dyDescent="0.3">
      <c r="A444">
        <v>443</v>
      </c>
      <c r="B444">
        <v>443</v>
      </c>
      <c r="C444" s="1">
        <v>45501</v>
      </c>
      <c r="D444" s="1">
        <v>45510</v>
      </c>
      <c r="E444" t="s">
        <v>71</v>
      </c>
      <c r="F444" t="s">
        <v>12</v>
      </c>
    </row>
    <row r="445" spans="1:6" x14ac:dyDescent="0.3">
      <c r="A445">
        <v>444</v>
      </c>
      <c r="B445">
        <v>444</v>
      </c>
      <c r="C445" s="1">
        <v>45370</v>
      </c>
      <c r="D445" s="1">
        <v>45378</v>
      </c>
      <c r="E445" t="s">
        <v>68</v>
      </c>
      <c r="F445" t="s">
        <v>69</v>
      </c>
    </row>
    <row r="446" spans="1:6" x14ac:dyDescent="0.3">
      <c r="A446">
        <v>445</v>
      </c>
      <c r="B446">
        <v>445</v>
      </c>
      <c r="C446" s="1">
        <v>45549</v>
      </c>
      <c r="D446" s="1">
        <v>45558</v>
      </c>
      <c r="E446" t="s">
        <v>71</v>
      </c>
      <c r="F446" t="s">
        <v>69</v>
      </c>
    </row>
    <row r="447" spans="1:6" x14ac:dyDescent="0.3">
      <c r="A447">
        <v>446</v>
      </c>
      <c r="B447">
        <v>446</v>
      </c>
      <c r="C447" s="1">
        <v>45530</v>
      </c>
      <c r="D447" s="1">
        <v>45538</v>
      </c>
      <c r="E447" t="s">
        <v>71</v>
      </c>
      <c r="F447" t="s">
        <v>69</v>
      </c>
    </row>
    <row r="448" spans="1:6" x14ac:dyDescent="0.3">
      <c r="A448">
        <v>447</v>
      </c>
      <c r="B448">
        <v>447</v>
      </c>
      <c r="C448" s="1">
        <v>45325</v>
      </c>
      <c r="D448" s="1">
        <v>45331</v>
      </c>
      <c r="E448" t="s">
        <v>72</v>
      </c>
      <c r="F448" t="s">
        <v>12</v>
      </c>
    </row>
    <row r="449" spans="1:6" x14ac:dyDescent="0.3">
      <c r="A449">
        <v>448</v>
      </c>
      <c r="B449">
        <v>448</v>
      </c>
      <c r="C449" s="1">
        <v>45327</v>
      </c>
      <c r="D449" s="1">
        <v>45337</v>
      </c>
      <c r="E449" t="s">
        <v>72</v>
      </c>
      <c r="F449" t="s">
        <v>12</v>
      </c>
    </row>
    <row r="450" spans="1:6" x14ac:dyDescent="0.3">
      <c r="A450">
        <v>449</v>
      </c>
      <c r="B450">
        <v>449</v>
      </c>
      <c r="C450" s="1">
        <v>45645</v>
      </c>
      <c r="D450" s="1">
        <v>45653</v>
      </c>
      <c r="E450" t="s">
        <v>72</v>
      </c>
      <c r="F450" t="s">
        <v>69</v>
      </c>
    </row>
    <row r="451" spans="1:6" x14ac:dyDescent="0.3">
      <c r="A451">
        <v>450</v>
      </c>
      <c r="B451">
        <v>450</v>
      </c>
      <c r="C451" s="1">
        <v>45574</v>
      </c>
      <c r="D451" s="1">
        <v>45576</v>
      </c>
      <c r="E451" t="s">
        <v>70</v>
      </c>
      <c r="F451" t="s">
        <v>69</v>
      </c>
    </row>
    <row r="452" spans="1:6" x14ac:dyDescent="0.3">
      <c r="A452">
        <v>451</v>
      </c>
      <c r="B452">
        <v>451</v>
      </c>
      <c r="C452" s="1">
        <v>45362</v>
      </c>
      <c r="D452" s="1">
        <v>45370</v>
      </c>
      <c r="E452" t="s">
        <v>72</v>
      </c>
      <c r="F452" t="s">
        <v>12</v>
      </c>
    </row>
    <row r="453" spans="1:6" x14ac:dyDescent="0.3">
      <c r="A453">
        <v>452</v>
      </c>
      <c r="B453">
        <v>452</v>
      </c>
      <c r="C453" s="1">
        <v>45584</v>
      </c>
      <c r="D453" s="1">
        <v>45592</v>
      </c>
      <c r="E453" t="s">
        <v>68</v>
      </c>
      <c r="F453" t="s">
        <v>69</v>
      </c>
    </row>
    <row r="454" spans="1:6" x14ac:dyDescent="0.3">
      <c r="A454">
        <v>453</v>
      </c>
      <c r="B454">
        <v>453</v>
      </c>
      <c r="C454" s="1">
        <v>45329</v>
      </c>
      <c r="D454" s="1">
        <v>45336</v>
      </c>
      <c r="E454" t="s">
        <v>71</v>
      </c>
      <c r="F454" t="s">
        <v>12</v>
      </c>
    </row>
    <row r="455" spans="1:6" x14ac:dyDescent="0.3">
      <c r="A455">
        <v>454</v>
      </c>
      <c r="B455">
        <v>454</v>
      </c>
      <c r="C455" s="1">
        <v>45416</v>
      </c>
      <c r="D455" s="1">
        <v>45418</v>
      </c>
      <c r="E455" t="s">
        <v>68</v>
      </c>
      <c r="F455" t="s">
        <v>12</v>
      </c>
    </row>
    <row r="456" spans="1:6" x14ac:dyDescent="0.3">
      <c r="A456">
        <v>455</v>
      </c>
      <c r="B456">
        <v>455</v>
      </c>
      <c r="C456" s="1">
        <v>45314</v>
      </c>
      <c r="D456" s="1">
        <v>45319</v>
      </c>
      <c r="E456" t="s">
        <v>68</v>
      </c>
      <c r="F456" t="s">
        <v>12</v>
      </c>
    </row>
    <row r="457" spans="1:6" x14ac:dyDescent="0.3">
      <c r="A457">
        <v>456</v>
      </c>
      <c r="B457">
        <v>456</v>
      </c>
      <c r="C457" s="1">
        <v>45394</v>
      </c>
      <c r="D457" s="1">
        <v>45399</v>
      </c>
      <c r="E457" t="s">
        <v>68</v>
      </c>
      <c r="F457" t="s">
        <v>12</v>
      </c>
    </row>
    <row r="458" spans="1:6" x14ac:dyDescent="0.3">
      <c r="A458">
        <v>457</v>
      </c>
      <c r="B458">
        <v>457</v>
      </c>
      <c r="C458" s="1">
        <v>45424</v>
      </c>
      <c r="D458" s="1">
        <v>45425</v>
      </c>
      <c r="E458" t="s">
        <v>72</v>
      </c>
      <c r="F458" t="s">
        <v>12</v>
      </c>
    </row>
    <row r="459" spans="1:6" x14ac:dyDescent="0.3">
      <c r="A459">
        <v>458</v>
      </c>
      <c r="B459">
        <v>458</v>
      </c>
      <c r="C459" s="1">
        <v>45352</v>
      </c>
      <c r="D459" s="1">
        <v>45361</v>
      </c>
      <c r="E459" t="s">
        <v>70</v>
      </c>
      <c r="F459" t="s">
        <v>69</v>
      </c>
    </row>
    <row r="460" spans="1:6" x14ac:dyDescent="0.3">
      <c r="A460">
        <v>459</v>
      </c>
      <c r="B460">
        <v>459</v>
      </c>
      <c r="C460" s="1">
        <v>45336</v>
      </c>
      <c r="D460" s="1">
        <v>45337</v>
      </c>
      <c r="E460" t="s">
        <v>68</v>
      </c>
      <c r="F460" t="s">
        <v>69</v>
      </c>
    </row>
    <row r="461" spans="1:6" x14ac:dyDescent="0.3">
      <c r="A461">
        <v>460</v>
      </c>
      <c r="B461">
        <v>460</v>
      </c>
      <c r="C461" s="1">
        <v>45635</v>
      </c>
      <c r="D461" s="1">
        <v>45644</v>
      </c>
      <c r="E461" t="s">
        <v>68</v>
      </c>
      <c r="F461" t="s">
        <v>69</v>
      </c>
    </row>
    <row r="462" spans="1:6" x14ac:dyDescent="0.3">
      <c r="A462">
        <v>461</v>
      </c>
      <c r="B462">
        <v>461</v>
      </c>
      <c r="C462" s="1">
        <v>45434</v>
      </c>
      <c r="D462" s="1">
        <v>45440</v>
      </c>
      <c r="E462" t="s">
        <v>71</v>
      </c>
      <c r="F462" t="s">
        <v>69</v>
      </c>
    </row>
    <row r="463" spans="1:6" x14ac:dyDescent="0.3">
      <c r="A463">
        <v>462</v>
      </c>
      <c r="B463">
        <v>462</v>
      </c>
      <c r="C463" s="1">
        <v>45517</v>
      </c>
      <c r="D463" s="1">
        <v>45527</v>
      </c>
      <c r="E463" t="s">
        <v>70</v>
      </c>
      <c r="F463" t="s">
        <v>69</v>
      </c>
    </row>
    <row r="464" spans="1:6" x14ac:dyDescent="0.3">
      <c r="A464">
        <v>463</v>
      </c>
      <c r="B464">
        <v>463</v>
      </c>
      <c r="C464" s="1">
        <v>45335</v>
      </c>
      <c r="D464" s="1">
        <v>45337</v>
      </c>
      <c r="E464" t="s">
        <v>68</v>
      </c>
      <c r="F464" t="s">
        <v>12</v>
      </c>
    </row>
    <row r="465" spans="1:6" x14ac:dyDescent="0.3">
      <c r="A465">
        <v>464</v>
      </c>
      <c r="B465">
        <v>464</v>
      </c>
      <c r="C465" s="1">
        <v>45544</v>
      </c>
      <c r="D465" s="1">
        <v>45554</v>
      </c>
      <c r="E465" t="s">
        <v>71</v>
      </c>
      <c r="F465" t="s">
        <v>69</v>
      </c>
    </row>
    <row r="466" spans="1:6" x14ac:dyDescent="0.3">
      <c r="A466">
        <v>465</v>
      </c>
      <c r="B466">
        <v>465</v>
      </c>
      <c r="C466" s="1">
        <v>45489</v>
      </c>
      <c r="D466" s="1">
        <v>45492</v>
      </c>
      <c r="E466" t="s">
        <v>71</v>
      </c>
      <c r="F466" t="s">
        <v>69</v>
      </c>
    </row>
    <row r="467" spans="1:6" x14ac:dyDescent="0.3">
      <c r="A467">
        <v>466</v>
      </c>
      <c r="B467">
        <v>466</v>
      </c>
      <c r="C467" s="1">
        <v>45627</v>
      </c>
      <c r="D467" s="1">
        <v>45630</v>
      </c>
      <c r="E467" t="s">
        <v>70</v>
      </c>
      <c r="F467" t="s">
        <v>69</v>
      </c>
    </row>
    <row r="468" spans="1:6" x14ac:dyDescent="0.3">
      <c r="A468">
        <v>467</v>
      </c>
      <c r="B468">
        <v>467</v>
      </c>
      <c r="C468" s="1">
        <v>45571</v>
      </c>
      <c r="D468" s="1">
        <v>45581</v>
      </c>
      <c r="E468" t="s">
        <v>71</v>
      </c>
      <c r="F468" t="s">
        <v>69</v>
      </c>
    </row>
    <row r="469" spans="1:6" x14ac:dyDescent="0.3">
      <c r="A469">
        <v>468</v>
      </c>
      <c r="B469">
        <v>468</v>
      </c>
      <c r="C469" s="1">
        <v>45317</v>
      </c>
      <c r="D469" s="1">
        <v>45324</v>
      </c>
      <c r="E469" t="s">
        <v>70</v>
      </c>
      <c r="F469" t="s">
        <v>69</v>
      </c>
    </row>
    <row r="470" spans="1:6" x14ac:dyDescent="0.3">
      <c r="A470">
        <v>469</v>
      </c>
      <c r="B470">
        <v>469</v>
      </c>
      <c r="C470" s="1">
        <v>45359</v>
      </c>
      <c r="D470" s="1">
        <v>45361</v>
      </c>
      <c r="E470" t="s">
        <v>72</v>
      </c>
      <c r="F470" t="s">
        <v>12</v>
      </c>
    </row>
    <row r="471" spans="1:6" x14ac:dyDescent="0.3">
      <c r="A471">
        <v>470</v>
      </c>
      <c r="B471">
        <v>470</v>
      </c>
      <c r="C471" s="1">
        <v>45389</v>
      </c>
      <c r="D471" s="1">
        <v>45399</v>
      </c>
      <c r="E471" t="s">
        <v>68</v>
      </c>
      <c r="F471" t="s">
        <v>69</v>
      </c>
    </row>
    <row r="472" spans="1:6" x14ac:dyDescent="0.3">
      <c r="A472">
        <v>471</v>
      </c>
      <c r="B472">
        <v>471</v>
      </c>
      <c r="C472" s="1">
        <v>45634</v>
      </c>
      <c r="D472" s="1">
        <v>45635</v>
      </c>
      <c r="E472" t="s">
        <v>71</v>
      </c>
      <c r="F472" t="s">
        <v>69</v>
      </c>
    </row>
    <row r="473" spans="1:6" x14ac:dyDescent="0.3">
      <c r="A473">
        <v>472</v>
      </c>
      <c r="B473">
        <v>472</v>
      </c>
      <c r="C473" s="1">
        <v>45575</v>
      </c>
      <c r="D473" s="1">
        <v>45582</v>
      </c>
      <c r="E473" t="s">
        <v>70</v>
      </c>
      <c r="F473" t="s">
        <v>12</v>
      </c>
    </row>
    <row r="474" spans="1:6" x14ac:dyDescent="0.3">
      <c r="A474">
        <v>473</v>
      </c>
      <c r="B474">
        <v>473</v>
      </c>
      <c r="C474" s="1">
        <v>45468</v>
      </c>
      <c r="D474" s="1">
        <v>45469</v>
      </c>
      <c r="E474" t="s">
        <v>68</v>
      </c>
      <c r="F474" t="s">
        <v>12</v>
      </c>
    </row>
    <row r="475" spans="1:6" x14ac:dyDescent="0.3">
      <c r="A475">
        <v>474</v>
      </c>
      <c r="B475">
        <v>474</v>
      </c>
      <c r="C475" s="1">
        <v>45445</v>
      </c>
      <c r="D475" s="1">
        <v>45447</v>
      </c>
      <c r="E475" t="s">
        <v>68</v>
      </c>
      <c r="F475" t="s">
        <v>12</v>
      </c>
    </row>
    <row r="476" spans="1:6" x14ac:dyDescent="0.3">
      <c r="A476">
        <v>475</v>
      </c>
      <c r="B476">
        <v>475</v>
      </c>
      <c r="C476" s="1">
        <v>45598</v>
      </c>
      <c r="D476" s="1">
        <v>45600</v>
      </c>
      <c r="E476" t="s">
        <v>68</v>
      </c>
      <c r="F476" t="s">
        <v>12</v>
      </c>
    </row>
    <row r="477" spans="1:6" x14ac:dyDescent="0.3">
      <c r="A477">
        <v>476</v>
      </c>
      <c r="B477">
        <v>476</v>
      </c>
      <c r="C477" s="1">
        <v>45565</v>
      </c>
      <c r="D477" s="1">
        <v>45566</v>
      </c>
      <c r="E477" t="s">
        <v>68</v>
      </c>
      <c r="F477" t="s">
        <v>69</v>
      </c>
    </row>
    <row r="478" spans="1:6" x14ac:dyDescent="0.3">
      <c r="A478">
        <v>477</v>
      </c>
      <c r="B478">
        <v>477</v>
      </c>
      <c r="C478" s="1">
        <v>45422</v>
      </c>
      <c r="D478" s="1">
        <v>45429</v>
      </c>
      <c r="E478" t="s">
        <v>71</v>
      </c>
      <c r="F478" t="s">
        <v>69</v>
      </c>
    </row>
    <row r="479" spans="1:6" x14ac:dyDescent="0.3">
      <c r="A479">
        <v>478</v>
      </c>
      <c r="B479">
        <v>478</v>
      </c>
      <c r="C479" s="1">
        <v>45493</v>
      </c>
      <c r="D479" s="1">
        <v>45496</v>
      </c>
      <c r="E479" t="s">
        <v>71</v>
      </c>
      <c r="F479" t="s">
        <v>69</v>
      </c>
    </row>
    <row r="480" spans="1:6" x14ac:dyDescent="0.3">
      <c r="A480">
        <v>479</v>
      </c>
      <c r="B480">
        <v>479</v>
      </c>
      <c r="C480" s="1">
        <v>45656</v>
      </c>
      <c r="D480" s="1">
        <v>45665</v>
      </c>
      <c r="E480" t="s">
        <v>70</v>
      </c>
      <c r="F480" t="s">
        <v>69</v>
      </c>
    </row>
    <row r="481" spans="1:6" x14ac:dyDescent="0.3">
      <c r="A481">
        <v>480</v>
      </c>
      <c r="B481">
        <v>480</v>
      </c>
      <c r="C481" s="1">
        <v>45547</v>
      </c>
      <c r="D481" s="1">
        <v>45550</v>
      </c>
      <c r="E481" t="s">
        <v>70</v>
      </c>
      <c r="F481" t="s">
        <v>12</v>
      </c>
    </row>
    <row r="482" spans="1:6" x14ac:dyDescent="0.3">
      <c r="A482">
        <v>481</v>
      </c>
      <c r="B482">
        <v>481</v>
      </c>
      <c r="C482" s="1">
        <v>45423</v>
      </c>
      <c r="D482" s="1">
        <v>45425</v>
      </c>
      <c r="E482" t="s">
        <v>72</v>
      </c>
      <c r="F482" t="s">
        <v>69</v>
      </c>
    </row>
    <row r="483" spans="1:6" x14ac:dyDescent="0.3">
      <c r="A483">
        <v>482</v>
      </c>
      <c r="B483">
        <v>482</v>
      </c>
      <c r="C483" s="1">
        <v>45408</v>
      </c>
      <c r="D483" s="1">
        <v>45413</v>
      </c>
      <c r="E483" t="s">
        <v>72</v>
      </c>
      <c r="F483" t="s">
        <v>12</v>
      </c>
    </row>
    <row r="484" spans="1:6" x14ac:dyDescent="0.3">
      <c r="A484">
        <v>483</v>
      </c>
      <c r="B484">
        <v>483</v>
      </c>
      <c r="C484" s="1">
        <v>45530</v>
      </c>
      <c r="D484" s="1">
        <v>45532</v>
      </c>
      <c r="E484" t="s">
        <v>70</v>
      </c>
      <c r="F484" t="s">
        <v>12</v>
      </c>
    </row>
    <row r="485" spans="1:6" x14ac:dyDescent="0.3">
      <c r="A485">
        <v>484</v>
      </c>
      <c r="B485">
        <v>484</v>
      </c>
      <c r="C485" s="1">
        <v>45398</v>
      </c>
      <c r="D485" s="1">
        <v>45399</v>
      </c>
      <c r="E485" t="s">
        <v>70</v>
      </c>
      <c r="F485" t="s">
        <v>69</v>
      </c>
    </row>
    <row r="486" spans="1:6" x14ac:dyDescent="0.3">
      <c r="A486">
        <v>485</v>
      </c>
      <c r="B486">
        <v>485</v>
      </c>
      <c r="C486" s="1">
        <v>45566</v>
      </c>
      <c r="D486" s="1">
        <v>45571</v>
      </c>
      <c r="E486" t="s">
        <v>72</v>
      </c>
      <c r="F486" t="s">
        <v>12</v>
      </c>
    </row>
    <row r="487" spans="1:6" x14ac:dyDescent="0.3">
      <c r="A487">
        <v>486</v>
      </c>
      <c r="B487">
        <v>486</v>
      </c>
      <c r="C487" s="1">
        <v>45604</v>
      </c>
      <c r="D487" s="1">
        <v>45610</v>
      </c>
      <c r="E487" t="s">
        <v>70</v>
      </c>
      <c r="F487" t="s">
        <v>69</v>
      </c>
    </row>
    <row r="488" spans="1:6" x14ac:dyDescent="0.3">
      <c r="A488">
        <v>487</v>
      </c>
      <c r="B488">
        <v>487</v>
      </c>
      <c r="C488" s="1">
        <v>45558</v>
      </c>
      <c r="D488" s="1">
        <v>45566</v>
      </c>
      <c r="E488" t="s">
        <v>71</v>
      </c>
      <c r="F488" t="s">
        <v>69</v>
      </c>
    </row>
    <row r="489" spans="1:6" x14ac:dyDescent="0.3">
      <c r="A489">
        <v>488</v>
      </c>
      <c r="B489">
        <v>488</v>
      </c>
      <c r="C489" s="1">
        <v>45441</v>
      </c>
      <c r="D489" s="1">
        <v>45442</v>
      </c>
      <c r="E489" t="s">
        <v>72</v>
      </c>
      <c r="F489" t="s">
        <v>12</v>
      </c>
    </row>
    <row r="490" spans="1:6" x14ac:dyDescent="0.3">
      <c r="A490">
        <v>489</v>
      </c>
      <c r="B490">
        <v>489</v>
      </c>
      <c r="C490" s="1">
        <v>45325</v>
      </c>
      <c r="D490" s="1">
        <v>45333</v>
      </c>
      <c r="E490" t="s">
        <v>68</v>
      </c>
      <c r="F490" t="s">
        <v>12</v>
      </c>
    </row>
    <row r="491" spans="1:6" x14ac:dyDescent="0.3">
      <c r="A491">
        <v>490</v>
      </c>
      <c r="B491">
        <v>490</v>
      </c>
      <c r="C491" s="1">
        <v>45648</v>
      </c>
      <c r="D491" s="1">
        <v>45652</v>
      </c>
      <c r="E491" t="s">
        <v>70</v>
      </c>
      <c r="F491" t="s">
        <v>69</v>
      </c>
    </row>
    <row r="492" spans="1:6" x14ac:dyDescent="0.3">
      <c r="A492">
        <v>491</v>
      </c>
      <c r="B492">
        <v>491</v>
      </c>
      <c r="C492" s="1">
        <v>45610</v>
      </c>
      <c r="D492" s="1">
        <v>45619</v>
      </c>
      <c r="E492" t="s">
        <v>72</v>
      </c>
      <c r="F492" t="s">
        <v>69</v>
      </c>
    </row>
    <row r="493" spans="1:6" x14ac:dyDescent="0.3">
      <c r="A493">
        <v>492</v>
      </c>
      <c r="B493">
        <v>492</v>
      </c>
      <c r="C493" s="1">
        <v>45651</v>
      </c>
      <c r="D493" s="1">
        <v>45657</v>
      </c>
      <c r="E493" t="s">
        <v>71</v>
      </c>
      <c r="F493" t="s">
        <v>69</v>
      </c>
    </row>
    <row r="494" spans="1:6" x14ac:dyDescent="0.3">
      <c r="A494">
        <v>493</v>
      </c>
      <c r="B494">
        <v>493</v>
      </c>
      <c r="C494" s="1">
        <v>45416</v>
      </c>
      <c r="D494" s="1">
        <v>45426</v>
      </c>
      <c r="E494" t="s">
        <v>68</v>
      </c>
      <c r="F494" t="s">
        <v>69</v>
      </c>
    </row>
    <row r="495" spans="1:6" x14ac:dyDescent="0.3">
      <c r="A495">
        <v>494</v>
      </c>
      <c r="B495">
        <v>494</v>
      </c>
      <c r="C495" s="1">
        <v>45596</v>
      </c>
      <c r="D495" s="1">
        <v>45598</v>
      </c>
      <c r="E495" t="s">
        <v>70</v>
      </c>
      <c r="F495" t="s">
        <v>69</v>
      </c>
    </row>
    <row r="496" spans="1:6" x14ac:dyDescent="0.3">
      <c r="A496">
        <v>495</v>
      </c>
      <c r="B496">
        <v>495</v>
      </c>
      <c r="C496" s="1">
        <v>45613</v>
      </c>
      <c r="D496" s="1">
        <v>45620</v>
      </c>
      <c r="E496" t="s">
        <v>68</v>
      </c>
      <c r="F496" t="s">
        <v>12</v>
      </c>
    </row>
    <row r="497" spans="1:6" x14ac:dyDescent="0.3">
      <c r="A497">
        <v>496</v>
      </c>
      <c r="B497">
        <v>496</v>
      </c>
      <c r="C497" s="1">
        <v>45572</v>
      </c>
      <c r="D497" s="1">
        <v>45575</v>
      </c>
      <c r="E497" t="s">
        <v>72</v>
      </c>
      <c r="F497" t="s">
        <v>69</v>
      </c>
    </row>
    <row r="498" spans="1:6" x14ac:dyDescent="0.3">
      <c r="A498">
        <v>497</v>
      </c>
      <c r="B498">
        <v>497</v>
      </c>
      <c r="C498" s="1">
        <v>45421</v>
      </c>
      <c r="D498" s="1">
        <v>45429</v>
      </c>
      <c r="E498" t="s">
        <v>71</v>
      </c>
      <c r="F498" t="s">
        <v>69</v>
      </c>
    </row>
    <row r="499" spans="1:6" x14ac:dyDescent="0.3">
      <c r="A499">
        <v>498</v>
      </c>
      <c r="B499">
        <v>498</v>
      </c>
      <c r="C499" s="1">
        <v>45552</v>
      </c>
      <c r="D499" s="1">
        <v>45557</v>
      </c>
      <c r="E499" t="s">
        <v>72</v>
      </c>
      <c r="F499" t="s">
        <v>12</v>
      </c>
    </row>
    <row r="500" spans="1:6" x14ac:dyDescent="0.3">
      <c r="A500">
        <v>499</v>
      </c>
      <c r="B500">
        <v>499</v>
      </c>
      <c r="C500" s="1">
        <v>45652</v>
      </c>
      <c r="D500" s="1">
        <v>45658</v>
      </c>
      <c r="E500" t="s">
        <v>71</v>
      </c>
      <c r="F500" t="s">
        <v>12</v>
      </c>
    </row>
    <row r="501" spans="1:6" x14ac:dyDescent="0.3">
      <c r="A501">
        <v>500</v>
      </c>
      <c r="B501">
        <v>500</v>
      </c>
      <c r="C501" s="1">
        <v>45461</v>
      </c>
      <c r="D501" s="1">
        <v>45470</v>
      </c>
      <c r="E501" t="s">
        <v>72</v>
      </c>
      <c r="F501" t="s">
        <v>69</v>
      </c>
    </row>
    <row r="502" spans="1:6" x14ac:dyDescent="0.3">
      <c r="A502">
        <v>501</v>
      </c>
      <c r="B502">
        <v>501</v>
      </c>
      <c r="C502" s="1">
        <v>45420</v>
      </c>
      <c r="D502" s="1">
        <v>45422</v>
      </c>
      <c r="E502" t="s">
        <v>68</v>
      </c>
      <c r="F502" t="s">
        <v>69</v>
      </c>
    </row>
    <row r="503" spans="1:6" x14ac:dyDescent="0.3">
      <c r="A503">
        <v>502</v>
      </c>
      <c r="B503">
        <v>502</v>
      </c>
      <c r="C503" s="1">
        <v>45577</v>
      </c>
      <c r="D503" s="1">
        <v>45578</v>
      </c>
      <c r="E503" t="s">
        <v>70</v>
      </c>
      <c r="F503" t="s">
        <v>12</v>
      </c>
    </row>
    <row r="504" spans="1:6" x14ac:dyDescent="0.3">
      <c r="A504">
        <v>503</v>
      </c>
      <c r="B504">
        <v>503</v>
      </c>
      <c r="C504" s="1">
        <v>45333</v>
      </c>
      <c r="D504" s="1">
        <v>45343</v>
      </c>
      <c r="E504" t="s">
        <v>71</v>
      </c>
      <c r="F504" t="s">
        <v>69</v>
      </c>
    </row>
    <row r="505" spans="1:6" x14ac:dyDescent="0.3">
      <c r="A505">
        <v>504</v>
      </c>
      <c r="B505">
        <v>504</v>
      </c>
      <c r="C505" s="1">
        <v>45652</v>
      </c>
      <c r="D505" s="1">
        <v>45658</v>
      </c>
      <c r="E505" t="s">
        <v>68</v>
      </c>
      <c r="F505" t="s">
        <v>12</v>
      </c>
    </row>
    <row r="506" spans="1:6" x14ac:dyDescent="0.3">
      <c r="A506">
        <v>505</v>
      </c>
      <c r="B506">
        <v>505</v>
      </c>
      <c r="C506" s="1">
        <v>45364</v>
      </c>
      <c r="D506" s="1">
        <v>45371</v>
      </c>
      <c r="E506" t="s">
        <v>71</v>
      </c>
      <c r="F506" t="s">
        <v>12</v>
      </c>
    </row>
    <row r="507" spans="1:6" x14ac:dyDescent="0.3">
      <c r="A507">
        <v>506</v>
      </c>
      <c r="B507">
        <v>506</v>
      </c>
      <c r="C507" s="1">
        <v>45323</v>
      </c>
      <c r="D507" s="1">
        <v>45327</v>
      </c>
      <c r="E507" t="s">
        <v>68</v>
      </c>
      <c r="F507" t="s">
        <v>69</v>
      </c>
    </row>
    <row r="508" spans="1:6" x14ac:dyDescent="0.3">
      <c r="A508">
        <v>507</v>
      </c>
      <c r="B508">
        <v>507</v>
      </c>
      <c r="C508" s="1">
        <v>45510</v>
      </c>
      <c r="D508" s="1">
        <v>45511</v>
      </c>
      <c r="E508" t="s">
        <v>72</v>
      </c>
      <c r="F508" t="s">
        <v>12</v>
      </c>
    </row>
    <row r="509" spans="1:6" x14ac:dyDescent="0.3">
      <c r="A509">
        <v>508</v>
      </c>
      <c r="B509">
        <v>508</v>
      </c>
      <c r="C509" s="1">
        <v>45564</v>
      </c>
      <c r="D509" s="1">
        <v>45569</v>
      </c>
      <c r="E509" t="s">
        <v>70</v>
      </c>
      <c r="F509" t="s">
        <v>69</v>
      </c>
    </row>
    <row r="510" spans="1:6" x14ac:dyDescent="0.3">
      <c r="A510">
        <v>509</v>
      </c>
      <c r="B510">
        <v>509</v>
      </c>
      <c r="C510" s="1">
        <v>45476</v>
      </c>
      <c r="D510" s="1">
        <v>45486</v>
      </c>
      <c r="E510" t="s">
        <v>70</v>
      </c>
      <c r="F510" t="s">
        <v>12</v>
      </c>
    </row>
    <row r="511" spans="1:6" x14ac:dyDescent="0.3">
      <c r="A511">
        <v>510</v>
      </c>
      <c r="B511">
        <v>510</v>
      </c>
      <c r="C511" s="1">
        <v>45407</v>
      </c>
      <c r="D511" s="1">
        <v>45408</v>
      </c>
      <c r="E511" t="s">
        <v>70</v>
      </c>
      <c r="F511" t="s">
        <v>69</v>
      </c>
    </row>
    <row r="512" spans="1:6" x14ac:dyDescent="0.3">
      <c r="A512">
        <v>511</v>
      </c>
      <c r="B512">
        <v>511</v>
      </c>
      <c r="C512" s="1">
        <v>45567</v>
      </c>
      <c r="D512" s="1">
        <v>45572</v>
      </c>
      <c r="E512" t="s">
        <v>71</v>
      </c>
      <c r="F512" t="s">
        <v>12</v>
      </c>
    </row>
    <row r="513" spans="1:6" x14ac:dyDescent="0.3">
      <c r="A513">
        <v>512</v>
      </c>
      <c r="B513">
        <v>512</v>
      </c>
      <c r="C513" s="1">
        <v>45316</v>
      </c>
      <c r="D513" s="1">
        <v>45320</v>
      </c>
      <c r="E513" t="s">
        <v>70</v>
      </c>
      <c r="F513" t="s">
        <v>12</v>
      </c>
    </row>
    <row r="514" spans="1:6" x14ac:dyDescent="0.3">
      <c r="A514">
        <v>513</v>
      </c>
      <c r="B514">
        <v>513</v>
      </c>
      <c r="C514" s="1">
        <v>45293</v>
      </c>
      <c r="D514" s="1">
        <v>45295</v>
      </c>
      <c r="E514" t="s">
        <v>72</v>
      </c>
      <c r="F514" t="s">
        <v>69</v>
      </c>
    </row>
    <row r="515" spans="1:6" x14ac:dyDescent="0.3">
      <c r="A515">
        <v>514</v>
      </c>
      <c r="B515">
        <v>514</v>
      </c>
      <c r="C515" s="1">
        <v>45539</v>
      </c>
      <c r="D515" s="1">
        <v>45545</v>
      </c>
      <c r="E515" t="s">
        <v>71</v>
      </c>
      <c r="F515" t="s">
        <v>69</v>
      </c>
    </row>
    <row r="516" spans="1:6" x14ac:dyDescent="0.3">
      <c r="A516">
        <v>515</v>
      </c>
      <c r="B516">
        <v>515</v>
      </c>
      <c r="C516" s="1">
        <v>45588</v>
      </c>
      <c r="D516" s="1">
        <v>45595</v>
      </c>
      <c r="E516" t="s">
        <v>71</v>
      </c>
      <c r="F516" t="s">
        <v>12</v>
      </c>
    </row>
    <row r="517" spans="1:6" x14ac:dyDescent="0.3">
      <c r="A517">
        <v>516</v>
      </c>
      <c r="B517">
        <v>516</v>
      </c>
      <c r="C517" s="1">
        <v>45560</v>
      </c>
      <c r="D517" s="1">
        <v>45564</v>
      </c>
      <c r="E517" t="s">
        <v>68</v>
      </c>
      <c r="F517" t="s">
        <v>69</v>
      </c>
    </row>
    <row r="518" spans="1:6" x14ac:dyDescent="0.3">
      <c r="A518">
        <v>517</v>
      </c>
      <c r="B518">
        <v>517</v>
      </c>
      <c r="C518" s="1">
        <v>45456</v>
      </c>
      <c r="D518" s="1">
        <v>45458</v>
      </c>
      <c r="E518" t="s">
        <v>71</v>
      </c>
      <c r="F518" t="s">
        <v>69</v>
      </c>
    </row>
    <row r="519" spans="1:6" x14ac:dyDescent="0.3">
      <c r="A519">
        <v>518</v>
      </c>
      <c r="B519">
        <v>518</v>
      </c>
      <c r="C519" s="1">
        <v>45334</v>
      </c>
      <c r="D519" s="1">
        <v>45337</v>
      </c>
      <c r="E519" t="s">
        <v>71</v>
      </c>
      <c r="F519" t="s">
        <v>69</v>
      </c>
    </row>
    <row r="520" spans="1:6" x14ac:dyDescent="0.3">
      <c r="A520">
        <v>519</v>
      </c>
      <c r="B520">
        <v>519</v>
      </c>
      <c r="C520" s="1">
        <v>45343</v>
      </c>
      <c r="D520" s="1">
        <v>45353</v>
      </c>
      <c r="E520" t="s">
        <v>72</v>
      </c>
      <c r="F520" t="s">
        <v>69</v>
      </c>
    </row>
    <row r="521" spans="1:6" x14ac:dyDescent="0.3">
      <c r="A521">
        <v>520</v>
      </c>
      <c r="B521">
        <v>520</v>
      </c>
      <c r="C521" s="1">
        <v>45391</v>
      </c>
      <c r="D521" s="1">
        <v>45395</v>
      </c>
      <c r="E521" t="s">
        <v>70</v>
      </c>
      <c r="F521" t="s">
        <v>69</v>
      </c>
    </row>
    <row r="522" spans="1:6" x14ac:dyDescent="0.3">
      <c r="A522">
        <v>521</v>
      </c>
      <c r="B522">
        <v>521</v>
      </c>
      <c r="C522" s="1">
        <v>45634</v>
      </c>
      <c r="D522" s="1">
        <v>45644</v>
      </c>
      <c r="E522" t="s">
        <v>71</v>
      </c>
      <c r="F522" t="s">
        <v>12</v>
      </c>
    </row>
    <row r="523" spans="1:6" x14ac:dyDescent="0.3">
      <c r="A523">
        <v>522</v>
      </c>
      <c r="B523">
        <v>522</v>
      </c>
      <c r="C523" s="1">
        <v>45476</v>
      </c>
      <c r="D523" s="1">
        <v>45480</v>
      </c>
      <c r="E523" t="s">
        <v>72</v>
      </c>
      <c r="F523" t="s">
        <v>69</v>
      </c>
    </row>
    <row r="524" spans="1:6" x14ac:dyDescent="0.3">
      <c r="A524">
        <v>523</v>
      </c>
      <c r="B524">
        <v>523</v>
      </c>
      <c r="C524" s="1">
        <v>45611</v>
      </c>
      <c r="D524" s="1">
        <v>45619</v>
      </c>
      <c r="E524" t="s">
        <v>70</v>
      </c>
      <c r="F524" t="s">
        <v>12</v>
      </c>
    </row>
    <row r="525" spans="1:6" x14ac:dyDescent="0.3">
      <c r="A525">
        <v>524</v>
      </c>
      <c r="B525">
        <v>524</v>
      </c>
      <c r="C525" s="1">
        <v>45609</v>
      </c>
      <c r="D525" s="1">
        <v>45615</v>
      </c>
      <c r="E525" t="s">
        <v>72</v>
      </c>
      <c r="F525" t="s">
        <v>69</v>
      </c>
    </row>
    <row r="526" spans="1:6" x14ac:dyDescent="0.3">
      <c r="A526">
        <v>525</v>
      </c>
      <c r="B526">
        <v>525</v>
      </c>
      <c r="C526" s="1">
        <v>45484</v>
      </c>
      <c r="D526" s="1">
        <v>45491</v>
      </c>
      <c r="E526" t="s">
        <v>68</v>
      </c>
      <c r="F526" t="s">
        <v>12</v>
      </c>
    </row>
    <row r="527" spans="1:6" x14ac:dyDescent="0.3">
      <c r="A527">
        <v>526</v>
      </c>
      <c r="B527">
        <v>526</v>
      </c>
      <c r="C527" s="1">
        <v>45338</v>
      </c>
      <c r="D527" s="1">
        <v>45341</v>
      </c>
      <c r="E527" t="s">
        <v>68</v>
      </c>
      <c r="F527" t="s">
        <v>69</v>
      </c>
    </row>
    <row r="528" spans="1:6" x14ac:dyDescent="0.3">
      <c r="A528">
        <v>527</v>
      </c>
      <c r="B528">
        <v>527</v>
      </c>
      <c r="C528" s="1">
        <v>45650</v>
      </c>
      <c r="D528" s="1">
        <v>45656</v>
      </c>
      <c r="E528" t="s">
        <v>68</v>
      </c>
      <c r="F528" t="s">
        <v>69</v>
      </c>
    </row>
    <row r="529" spans="1:6" x14ac:dyDescent="0.3">
      <c r="A529">
        <v>528</v>
      </c>
      <c r="B529">
        <v>528</v>
      </c>
      <c r="C529" s="1">
        <v>45352</v>
      </c>
      <c r="D529" s="1">
        <v>45361</v>
      </c>
      <c r="E529" t="s">
        <v>72</v>
      </c>
      <c r="F529" t="s">
        <v>12</v>
      </c>
    </row>
    <row r="530" spans="1:6" x14ac:dyDescent="0.3">
      <c r="A530">
        <v>529</v>
      </c>
      <c r="B530">
        <v>529</v>
      </c>
      <c r="C530" s="1">
        <v>45448</v>
      </c>
      <c r="D530" s="1">
        <v>45450</v>
      </c>
      <c r="E530" t="s">
        <v>68</v>
      </c>
      <c r="F530" t="s">
        <v>12</v>
      </c>
    </row>
    <row r="531" spans="1:6" x14ac:dyDescent="0.3">
      <c r="A531">
        <v>530</v>
      </c>
      <c r="B531">
        <v>530</v>
      </c>
      <c r="C531" s="1">
        <v>45439</v>
      </c>
      <c r="D531" s="1">
        <v>45446</v>
      </c>
      <c r="E531" t="s">
        <v>70</v>
      </c>
      <c r="F531" t="s">
        <v>12</v>
      </c>
    </row>
    <row r="532" spans="1:6" x14ac:dyDescent="0.3">
      <c r="A532">
        <v>531</v>
      </c>
      <c r="B532">
        <v>531</v>
      </c>
      <c r="C532" s="1">
        <v>45302</v>
      </c>
      <c r="D532" s="1">
        <v>45305</v>
      </c>
      <c r="E532" t="s">
        <v>68</v>
      </c>
      <c r="F532" t="s">
        <v>12</v>
      </c>
    </row>
    <row r="533" spans="1:6" x14ac:dyDescent="0.3">
      <c r="A533">
        <v>532</v>
      </c>
      <c r="B533">
        <v>532</v>
      </c>
      <c r="C533" s="1">
        <v>45390</v>
      </c>
      <c r="D533" s="1">
        <v>45399</v>
      </c>
      <c r="E533" t="s">
        <v>68</v>
      </c>
      <c r="F533" t="s">
        <v>69</v>
      </c>
    </row>
    <row r="534" spans="1:6" x14ac:dyDescent="0.3">
      <c r="A534">
        <v>533</v>
      </c>
      <c r="B534">
        <v>533</v>
      </c>
      <c r="C534" s="1">
        <v>45479</v>
      </c>
      <c r="D534" s="1">
        <v>45488</v>
      </c>
      <c r="E534" t="s">
        <v>68</v>
      </c>
      <c r="F534" t="s">
        <v>69</v>
      </c>
    </row>
    <row r="535" spans="1:6" x14ac:dyDescent="0.3">
      <c r="A535">
        <v>534</v>
      </c>
      <c r="B535">
        <v>534</v>
      </c>
      <c r="C535" s="1">
        <v>45296</v>
      </c>
      <c r="D535" s="1">
        <v>45302</v>
      </c>
      <c r="E535" t="s">
        <v>68</v>
      </c>
      <c r="F535" t="s">
        <v>69</v>
      </c>
    </row>
    <row r="536" spans="1:6" x14ac:dyDescent="0.3">
      <c r="A536">
        <v>535</v>
      </c>
      <c r="B536">
        <v>535</v>
      </c>
      <c r="C536" s="1">
        <v>45638</v>
      </c>
      <c r="D536" s="1">
        <v>45648</v>
      </c>
      <c r="E536" t="s">
        <v>68</v>
      </c>
      <c r="F536" t="s">
        <v>69</v>
      </c>
    </row>
    <row r="537" spans="1:6" x14ac:dyDescent="0.3">
      <c r="A537">
        <v>536</v>
      </c>
      <c r="B537">
        <v>536</v>
      </c>
      <c r="C537" s="1">
        <v>45402</v>
      </c>
      <c r="D537" s="1">
        <v>45406</v>
      </c>
      <c r="E537" t="s">
        <v>72</v>
      </c>
      <c r="F537" t="s">
        <v>69</v>
      </c>
    </row>
    <row r="538" spans="1:6" x14ac:dyDescent="0.3">
      <c r="A538">
        <v>537</v>
      </c>
      <c r="B538">
        <v>537</v>
      </c>
      <c r="C538" s="1">
        <v>45294</v>
      </c>
      <c r="D538" s="1">
        <v>45301</v>
      </c>
      <c r="E538" t="s">
        <v>72</v>
      </c>
      <c r="F538" t="s">
        <v>69</v>
      </c>
    </row>
    <row r="539" spans="1:6" x14ac:dyDescent="0.3">
      <c r="A539">
        <v>538</v>
      </c>
      <c r="B539">
        <v>538</v>
      </c>
      <c r="C539" s="1">
        <v>45559</v>
      </c>
      <c r="D539" s="1">
        <v>45560</v>
      </c>
      <c r="E539" t="s">
        <v>70</v>
      </c>
      <c r="F539" t="s">
        <v>69</v>
      </c>
    </row>
    <row r="540" spans="1:6" x14ac:dyDescent="0.3">
      <c r="A540">
        <v>539</v>
      </c>
      <c r="B540">
        <v>539</v>
      </c>
      <c r="C540" s="1">
        <v>45352</v>
      </c>
      <c r="D540" s="1">
        <v>45362</v>
      </c>
      <c r="E540" t="s">
        <v>71</v>
      </c>
      <c r="F540" t="s">
        <v>12</v>
      </c>
    </row>
    <row r="541" spans="1:6" x14ac:dyDescent="0.3">
      <c r="A541">
        <v>540</v>
      </c>
      <c r="B541">
        <v>540</v>
      </c>
      <c r="C541" s="1">
        <v>45441</v>
      </c>
      <c r="D541" s="1">
        <v>45445</v>
      </c>
      <c r="E541" t="s">
        <v>71</v>
      </c>
      <c r="F541" t="s">
        <v>69</v>
      </c>
    </row>
    <row r="542" spans="1:6" x14ac:dyDescent="0.3">
      <c r="A542">
        <v>541</v>
      </c>
      <c r="B542">
        <v>541</v>
      </c>
      <c r="C542" s="1">
        <v>45598</v>
      </c>
      <c r="D542" s="1">
        <v>45603</v>
      </c>
      <c r="E542" t="s">
        <v>71</v>
      </c>
      <c r="F542" t="s">
        <v>12</v>
      </c>
    </row>
    <row r="543" spans="1:6" x14ac:dyDescent="0.3">
      <c r="A543">
        <v>542</v>
      </c>
      <c r="B543">
        <v>542</v>
      </c>
      <c r="C543" s="1">
        <v>45609</v>
      </c>
      <c r="D543" s="1">
        <v>45612</v>
      </c>
      <c r="E543" t="s">
        <v>68</v>
      </c>
      <c r="F543" t="s">
        <v>12</v>
      </c>
    </row>
    <row r="544" spans="1:6" x14ac:dyDescent="0.3">
      <c r="A544">
        <v>543</v>
      </c>
      <c r="B544">
        <v>543</v>
      </c>
      <c r="C544" s="1">
        <v>45616</v>
      </c>
      <c r="D544" s="1">
        <v>45621</v>
      </c>
      <c r="E544" t="s">
        <v>71</v>
      </c>
      <c r="F544" t="s">
        <v>12</v>
      </c>
    </row>
    <row r="545" spans="1:6" x14ac:dyDescent="0.3">
      <c r="A545">
        <v>544</v>
      </c>
      <c r="B545">
        <v>544</v>
      </c>
      <c r="C545" s="1">
        <v>45321</v>
      </c>
      <c r="D545" s="1">
        <v>45325</v>
      </c>
      <c r="E545" t="s">
        <v>70</v>
      </c>
      <c r="F545" t="s">
        <v>12</v>
      </c>
    </row>
    <row r="546" spans="1:6" x14ac:dyDescent="0.3">
      <c r="A546">
        <v>545</v>
      </c>
      <c r="B546">
        <v>545</v>
      </c>
      <c r="C546" s="1">
        <v>45387</v>
      </c>
      <c r="D546" s="1">
        <v>45393</v>
      </c>
      <c r="E546" t="s">
        <v>72</v>
      </c>
      <c r="F546" t="s">
        <v>12</v>
      </c>
    </row>
    <row r="547" spans="1:6" x14ac:dyDescent="0.3">
      <c r="A547">
        <v>546</v>
      </c>
      <c r="B547">
        <v>546</v>
      </c>
      <c r="C547" s="1">
        <v>45544</v>
      </c>
      <c r="D547" s="1">
        <v>45548</v>
      </c>
      <c r="E547" t="s">
        <v>70</v>
      </c>
      <c r="F547" t="s">
        <v>69</v>
      </c>
    </row>
    <row r="548" spans="1:6" x14ac:dyDescent="0.3">
      <c r="A548">
        <v>547</v>
      </c>
      <c r="B548">
        <v>547</v>
      </c>
      <c r="C548" s="1">
        <v>45312</v>
      </c>
      <c r="D548" s="1">
        <v>45319</v>
      </c>
      <c r="E548" t="s">
        <v>72</v>
      </c>
      <c r="F548" t="s">
        <v>69</v>
      </c>
    </row>
    <row r="549" spans="1:6" x14ac:dyDescent="0.3">
      <c r="A549">
        <v>548</v>
      </c>
      <c r="B549">
        <v>548</v>
      </c>
      <c r="C549" s="1">
        <v>45345</v>
      </c>
      <c r="D549" s="1">
        <v>45354</v>
      </c>
      <c r="E549" t="s">
        <v>68</v>
      </c>
      <c r="F549" t="s">
        <v>69</v>
      </c>
    </row>
    <row r="550" spans="1:6" x14ac:dyDescent="0.3">
      <c r="A550">
        <v>549</v>
      </c>
      <c r="B550">
        <v>549</v>
      </c>
      <c r="C550" s="1">
        <v>45394</v>
      </c>
      <c r="D550" s="1">
        <v>45397</v>
      </c>
      <c r="E550" t="s">
        <v>70</v>
      </c>
      <c r="F550" t="s">
        <v>69</v>
      </c>
    </row>
    <row r="551" spans="1:6" x14ac:dyDescent="0.3">
      <c r="A551">
        <v>550</v>
      </c>
      <c r="B551">
        <v>550</v>
      </c>
      <c r="C551" s="1">
        <v>45404</v>
      </c>
      <c r="D551" s="1">
        <v>45405</v>
      </c>
      <c r="E551" t="s">
        <v>68</v>
      </c>
      <c r="F551" t="s">
        <v>69</v>
      </c>
    </row>
    <row r="552" spans="1:6" x14ac:dyDescent="0.3">
      <c r="A552">
        <v>551</v>
      </c>
      <c r="B552">
        <v>551</v>
      </c>
      <c r="C552" s="1">
        <v>45591</v>
      </c>
      <c r="D552" s="1">
        <v>45598</v>
      </c>
      <c r="E552" t="s">
        <v>68</v>
      </c>
      <c r="F552" t="s">
        <v>69</v>
      </c>
    </row>
    <row r="553" spans="1:6" x14ac:dyDescent="0.3">
      <c r="A553">
        <v>552</v>
      </c>
      <c r="B553">
        <v>552</v>
      </c>
      <c r="C553" s="1">
        <v>45426</v>
      </c>
      <c r="D553" s="1">
        <v>45427</v>
      </c>
      <c r="E553" t="s">
        <v>72</v>
      </c>
      <c r="F553" t="s">
        <v>12</v>
      </c>
    </row>
    <row r="554" spans="1:6" x14ac:dyDescent="0.3">
      <c r="A554">
        <v>553</v>
      </c>
      <c r="B554">
        <v>553</v>
      </c>
      <c r="C554" s="1">
        <v>45570</v>
      </c>
      <c r="D554" s="1">
        <v>45573</v>
      </c>
      <c r="E554" t="s">
        <v>68</v>
      </c>
      <c r="F554" t="s">
        <v>69</v>
      </c>
    </row>
    <row r="555" spans="1:6" x14ac:dyDescent="0.3">
      <c r="A555">
        <v>554</v>
      </c>
      <c r="B555">
        <v>554</v>
      </c>
      <c r="C555" s="1">
        <v>45632</v>
      </c>
      <c r="D555" s="1">
        <v>45634</v>
      </c>
      <c r="E555" t="s">
        <v>70</v>
      </c>
      <c r="F555" t="s">
        <v>12</v>
      </c>
    </row>
    <row r="556" spans="1:6" x14ac:dyDescent="0.3">
      <c r="A556">
        <v>555</v>
      </c>
      <c r="B556">
        <v>555</v>
      </c>
      <c r="C556" s="1">
        <v>45399</v>
      </c>
      <c r="D556" s="1">
        <v>45409</v>
      </c>
      <c r="E556" t="s">
        <v>68</v>
      </c>
      <c r="F556" t="s">
        <v>69</v>
      </c>
    </row>
    <row r="557" spans="1:6" x14ac:dyDescent="0.3">
      <c r="A557">
        <v>556</v>
      </c>
      <c r="B557">
        <v>556</v>
      </c>
      <c r="C557" s="1">
        <v>45459</v>
      </c>
      <c r="D557" s="1">
        <v>45468</v>
      </c>
      <c r="E557" t="s">
        <v>68</v>
      </c>
      <c r="F557" t="s">
        <v>12</v>
      </c>
    </row>
    <row r="558" spans="1:6" x14ac:dyDescent="0.3">
      <c r="A558">
        <v>557</v>
      </c>
      <c r="B558">
        <v>557</v>
      </c>
      <c r="C558" s="1">
        <v>45483</v>
      </c>
      <c r="D558" s="1">
        <v>45489</v>
      </c>
      <c r="E558" t="s">
        <v>70</v>
      </c>
      <c r="F558" t="s">
        <v>69</v>
      </c>
    </row>
    <row r="559" spans="1:6" x14ac:dyDescent="0.3">
      <c r="A559">
        <v>558</v>
      </c>
      <c r="B559">
        <v>558</v>
      </c>
      <c r="C559" s="1">
        <v>45426</v>
      </c>
      <c r="D559" s="1">
        <v>45436</v>
      </c>
      <c r="E559" t="s">
        <v>68</v>
      </c>
      <c r="F559" t="s">
        <v>12</v>
      </c>
    </row>
    <row r="560" spans="1:6" x14ac:dyDescent="0.3">
      <c r="A560">
        <v>559</v>
      </c>
      <c r="B560">
        <v>559</v>
      </c>
      <c r="C560" s="1">
        <v>45348</v>
      </c>
      <c r="D560" s="1">
        <v>45355</v>
      </c>
      <c r="E560" t="s">
        <v>72</v>
      </c>
      <c r="F560" t="s">
        <v>12</v>
      </c>
    </row>
    <row r="561" spans="1:6" x14ac:dyDescent="0.3">
      <c r="A561">
        <v>560</v>
      </c>
      <c r="B561">
        <v>560</v>
      </c>
      <c r="C561" s="1">
        <v>45392</v>
      </c>
      <c r="D561" s="1">
        <v>45398</v>
      </c>
      <c r="E561" t="s">
        <v>71</v>
      </c>
      <c r="F561" t="s">
        <v>69</v>
      </c>
    </row>
    <row r="562" spans="1:6" x14ac:dyDescent="0.3">
      <c r="A562">
        <v>561</v>
      </c>
      <c r="B562">
        <v>561</v>
      </c>
      <c r="C562" s="1">
        <v>45376</v>
      </c>
      <c r="D562" s="1">
        <v>45381</v>
      </c>
      <c r="E562" t="s">
        <v>68</v>
      </c>
      <c r="F562" t="s">
        <v>12</v>
      </c>
    </row>
    <row r="563" spans="1:6" x14ac:dyDescent="0.3">
      <c r="A563">
        <v>562</v>
      </c>
      <c r="B563">
        <v>562</v>
      </c>
      <c r="C563" s="1">
        <v>45578</v>
      </c>
      <c r="D563" s="1">
        <v>45586</v>
      </c>
      <c r="E563" t="s">
        <v>68</v>
      </c>
      <c r="F563" t="s">
        <v>69</v>
      </c>
    </row>
    <row r="564" spans="1:6" x14ac:dyDescent="0.3">
      <c r="A564">
        <v>563</v>
      </c>
      <c r="B564">
        <v>563</v>
      </c>
      <c r="C564" s="1">
        <v>45408</v>
      </c>
      <c r="D564" s="1">
        <v>45417</v>
      </c>
      <c r="E564" t="s">
        <v>71</v>
      </c>
      <c r="F564" t="s">
        <v>12</v>
      </c>
    </row>
    <row r="565" spans="1:6" x14ac:dyDescent="0.3">
      <c r="A565">
        <v>564</v>
      </c>
      <c r="B565">
        <v>564</v>
      </c>
      <c r="C565" s="1">
        <v>45496</v>
      </c>
      <c r="D565" s="1">
        <v>45498</v>
      </c>
      <c r="E565" t="s">
        <v>72</v>
      </c>
      <c r="F565" t="s">
        <v>12</v>
      </c>
    </row>
    <row r="566" spans="1:6" x14ac:dyDescent="0.3">
      <c r="A566">
        <v>565</v>
      </c>
      <c r="B566">
        <v>565</v>
      </c>
      <c r="C566" s="1">
        <v>45398</v>
      </c>
      <c r="D566" s="1">
        <v>45404</v>
      </c>
      <c r="E566" t="s">
        <v>71</v>
      </c>
      <c r="F566" t="s">
        <v>69</v>
      </c>
    </row>
    <row r="567" spans="1:6" x14ac:dyDescent="0.3">
      <c r="A567">
        <v>566</v>
      </c>
      <c r="B567">
        <v>566</v>
      </c>
      <c r="C567" s="1">
        <v>45316</v>
      </c>
      <c r="D567" s="1">
        <v>45318</v>
      </c>
      <c r="E567" t="s">
        <v>72</v>
      </c>
      <c r="F567" t="s">
        <v>69</v>
      </c>
    </row>
    <row r="568" spans="1:6" x14ac:dyDescent="0.3">
      <c r="A568">
        <v>567</v>
      </c>
      <c r="B568">
        <v>567</v>
      </c>
      <c r="C568" s="1">
        <v>45382</v>
      </c>
      <c r="D568" s="1">
        <v>45392</v>
      </c>
      <c r="E568" t="s">
        <v>68</v>
      </c>
      <c r="F568" t="s">
        <v>12</v>
      </c>
    </row>
    <row r="569" spans="1:6" x14ac:dyDescent="0.3">
      <c r="A569">
        <v>568</v>
      </c>
      <c r="B569">
        <v>568</v>
      </c>
      <c r="C569" s="1">
        <v>45522</v>
      </c>
      <c r="D569" s="1">
        <v>45525</v>
      </c>
      <c r="E569" t="s">
        <v>70</v>
      </c>
      <c r="F569" t="s">
        <v>69</v>
      </c>
    </row>
    <row r="570" spans="1:6" x14ac:dyDescent="0.3">
      <c r="A570">
        <v>569</v>
      </c>
      <c r="B570">
        <v>569</v>
      </c>
      <c r="C570" s="1">
        <v>45538</v>
      </c>
      <c r="D570" s="1">
        <v>45542</v>
      </c>
      <c r="E570" t="s">
        <v>71</v>
      </c>
      <c r="F570" t="s">
        <v>69</v>
      </c>
    </row>
    <row r="571" spans="1:6" x14ac:dyDescent="0.3">
      <c r="A571">
        <v>570</v>
      </c>
      <c r="B571">
        <v>570</v>
      </c>
      <c r="C571" s="1">
        <v>45615</v>
      </c>
      <c r="D571" s="1">
        <v>45625</v>
      </c>
      <c r="E571" t="s">
        <v>70</v>
      </c>
      <c r="F571" t="s">
        <v>12</v>
      </c>
    </row>
    <row r="572" spans="1:6" x14ac:dyDescent="0.3">
      <c r="A572">
        <v>571</v>
      </c>
      <c r="B572">
        <v>571</v>
      </c>
      <c r="C572" s="1">
        <v>45369</v>
      </c>
      <c r="D572" s="1">
        <v>45377</v>
      </c>
      <c r="E572" t="s">
        <v>71</v>
      </c>
      <c r="F572" t="s">
        <v>12</v>
      </c>
    </row>
    <row r="573" spans="1:6" x14ac:dyDescent="0.3">
      <c r="A573">
        <v>572</v>
      </c>
      <c r="B573">
        <v>572</v>
      </c>
      <c r="C573" s="1">
        <v>45543</v>
      </c>
      <c r="D573" s="1">
        <v>45544</v>
      </c>
      <c r="E573" t="s">
        <v>68</v>
      </c>
      <c r="F573" t="s">
        <v>69</v>
      </c>
    </row>
    <row r="574" spans="1:6" x14ac:dyDescent="0.3">
      <c r="A574">
        <v>573</v>
      </c>
      <c r="B574">
        <v>573</v>
      </c>
      <c r="C574" s="1">
        <v>45328</v>
      </c>
      <c r="D574" s="1">
        <v>45338</v>
      </c>
      <c r="E574" t="s">
        <v>70</v>
      </c>
      <c r="F574" t="s">
        <v>69</v>
      </c>
    </row>
    <row r="575" spans="1:6" x14ac:dyDescent="0.3">
      <c r="A575">
        <v>574</v>
      </c>
      <c r="B575">
        <v>574</v>
      </c>
      <c r="C575" s="1">
        <v>45462</v>
      </c>
      <c r="D575" s="1">
        <v>45467</v>
      </c>
      <c r="E575" t="s">
        <v>70</v>
      </c>
      <c r="F575" t="s">
        <v>12</v>
      </c>
    </row>
    <row r="576" spans="1:6" x14ac:dyDescent="0.3">
      <c r="A576">
        <v>575</v>
      </c>
      <c r="B576">
        <v>575</v>
      </c>
      <c r="C576" s="1">
        <v>45385</v>
      </c>
      <c r="D576" s="1">
        <v>45394</v>
      </c>
      <c r="E576" t="s">
        <v>71</v>
      </c>
      <c r="F576" t="s">
        <v>69</v>
      </c>
    </row>
    <row r="577" spans="1:6" x14ac:dyDescent="0.3">
      <c r="A577">
        <v>576</v>
      </c>
      <c r="B577">
        <v>576</v>
      </c>
      <c r="C577" s="1">
        <v>45539</v>
      </c>
      <c r="D577" s="1">
        <v>45543</v>
      </c>
      <c r="E577" t="s">
        <v>70</v>
      </c>
      <c r="F577" t="s">
        <v>12</v>
      </c>
    </row>
    <row r="578" spans="1:6" x14ac:dyDescent="0.3">
      <c r="A578">
        <v>577</v>
      </c>
      <c r="B578">
        <v>577</v>
      </c>
      <c r="C578" s="1">
        <v>45409</v>
      </c>
      <c r="D578" s="1">
        <v>45413</v>
      </c>
      <c r="E578" t="s">
        <v>70</v>
      </c>
      <c r="F578" t="s">
        <v>69</v>
      </c>
    </row>
    <row r="579" spans="1:6" x14ac:dyDescent="0.3">
      <c r="A579">
        <v>578</v>
      </c>
      <c r="B579">
        <v>578</v>
      </c>
      <c r="C579" s="1">
        <v>45634</v>
      </c>
      <c r="D579" s="1">
        <v>45635</v>
      </c>
      <c r="E579" t="s">
        <v>71</v>
      </c>
      <c r="F579" t="s">
        <v>69</v>
      </c>
    </row>
    <row r="580" spans="1:6" x14ac:dyDescent="0.3">
      <c r="A580">
        <v>579</v>
      </c>
      <c r="B580">
        <v>579</v>
      </c>
      <c r="C580" s="1">
        <v>45471</v>
      </c>
      <c r="D580" s="1">
        <v>45475</v>
      </c>
      <c r="E580" t="s">
        <v>70</v>
      </c>
      <c r="F580" t="s">
        <v>69</v>
      </c>
    </row>
    <row r="581" spans="1:6" x14ac:dyDescent="0.3">
      <c r="A581">
        <v>580</v>
      </c>
      <c r="B581">
        <v>580</v>
      </c>
      <c r="C581" s="1">
        <v>45411</v>
      </c>
      <c r="D581" s="1">
        <v>45417</v>
      </c>
      <c r="E581" t="s">
        <v>68</v>
      </c>
      <c r="F581" t="s">
        <v>69</v>
      </c>
    </row>
    <row r="582" spans="1:6" x14ac:dyDescent="0.3">
      <c r="A582">
        <v>581</v>
      </c>
      <c r="B582">
        <v>581</v>
      </c>
      <c r="C582" s="1">
        <v>45318</v>
      </c>
      <c r="D582" s="1">
        <v>45327</v>
      </c>
      <c r="E582" t="s">
        <v>70</v>
      </c>
      <c r="F582" t="s">
        <v>12</v>
      </c>
    </row>
    <row r="583" spans="1:6" x14ac:dyDescent="0.3">
      <c r="A583">
        <v>582</v>
      </c>
      <c r="B583">
        <v>582</v>
      </c>
      <c r="C583" s="1">
        <v>45496</v>
      </c>
      <c r="D583" s="1">
        <v>45506</v>
      </c>
      <c r="E583" t="s">
        <v>72</v>
      </c>
      <c r="F583" t="s">
        <v>12</v>
      </c>
    </row>
    <row r="584" spans="1:6" x14ac:dyDescent="0.3">
      <c r="A584">
        <v>583</v>
      </c>
      <c r="B584">
        <v>583</v>
      </c>
      <c r="C584" s="1">
        <v>45525</v>
      </c>
      <c r="D584" s="1">
        <v>45530</v>
      </c>
      <c r="E584" t="s">
        <v>72</v>
      </c>
      <c r="F584" t="s">
        <v>69</v>
      </c>
    </row>
    <row r="585" spans="1:6" x14ac:dyDescent="0.3">
      <c r="A585">
        <v>584</v>
      </c>
      <c r="B585">
        <v>584</v>
      </c>
      <c r="C585" s="1">
        <v>45503</v>
      </c>
      <c r="D585" s="1">
        <v>45508</v>
      </c>
      <c r="E585" t="s">
        <v>70</v>
      </c>
      <c r="F585" t="s">
        <v>69</v>
      </c>
    </row>
    <row r="586" spans="1:6" x14ac:dyDescent="0.3">
      <c r="A586">
        <v>585</v>
      </c>
      <c r="B586">
        <v>585</v>
      </c>
      <c r="C586" s="1">
        <v>45524</v>
      </c>
      <c r="D586" s="1">
        <v>45530</v>
      </c>
      <c r="E586" t="s">
        <v>68</v>
      </c>
      <c r="F586" t="s">
        <v>69</v>
      </c>
    </row>
    <row r="587" spans="1:6" x14ac:dyDescent="0.3">
      <c r="A587">
        <v>586</v>
      </c>
      <c r="B587">
        <v>586</v>
      </c>
      <c r="C587" s="1">
        <v>45637</v>
      </c>
      <c r="D587" s="1">
        <v>45642</v>
      </c>
      <c r="E587" t="s">
        <v>71</v>
      </c>
      <c r="F587" t="s">
        <v>12</v>
      </c>
    </row>
    <row r="588" spans="1:6" x14ac:dyDescent="0.3">
      <c r="A588">
        <v>587</v>
      </c>
      <c r="B588">
        <v>587</v>
      </c>
      <c r="C588" s="1">
        <v>45406</v>
      </c>
      <c r="D588" s="1">
        <v>45413</v>
      </c>
      <c r="E588" t="s">
        <v>72</v>
      </c>
      <c r="F588" t="s">
        <v>12</v>
      </c>
    </row>
    <row r="589" spans="1:6" x14ac:dyDescent="0.3">
      <c r="A589">
        <v>588</v>
      </c>
      <c r="B589">
        <v>588</v>
      </c>
      <c r="C589" s="1">
        <v>45378</v>
      </c>
      <c r="D589" s="1">
        <v>45382</v>
      </c>
      <c r="E589" t="s">
        <v>70</v>
      </c>
      <c r="F589" t="s">
        <v>12</v>
      </c>
    </row>
    <row r="590" spans="1:6" x14ac:dyDescent="0.3">
      <c r="A590">
        <v>589</v>
      </c>
      <c r="B590">
        <v>589</v>
      </c>
      <c r="C590" s="1">
        <v>45298</v>
      </c>
      <c r="D590" s="1">
        <v>45304</v>
      </c>
      <c r="E590" t="s">
        <v>71</v>
      </c>
      <c r="F590" t="s">
        <v>12</v>
      </c>
    </row>
    <row r="591" spans="1:6" x14ac:dyDescent="0.3">
      <c r="A591">
        <v>590</v>
      </c>
      <c r="B591">
        <v>590</v>
      </c>
      <c r="C591" s="1">
        <v>45316</v>
      </c>
      <c r="D591" s="1">
        <v>45321</v>
      </c>
      <c r="E591" t="s">
        <v>68</v>
      </c>
      <c r="F591" t="s">
        <v>12</v>
      </c>
    </row>
    <row r="592" spans="1:6" x14ac:dyDescent="0.3">
      <c r="A592">
        <v>591</v>
      </c>
      <c r="B592">
        <v>591</v>
      </c>
      <c r="C592" s="1">
        <v>45654</v>
      </c>
      <c r="D592" s="1">
        <v>45655</v>
      </c>
      <c r="E592" t="s">
        <v>72</v>
      </c>
      <c r="F592" t="s">
        <v>69</v>
      </c>
    </row>
    <row r="593" spans="1:6" x14ac:dyDescent="0.3">
      <c r="A593">
        <v>592</v>
      </c>
      <c r="B593">
        <v>592</v>
      </c>
      <c r="C593" s="1">
        <v>45446</v>
      </c>
      <c r="D593" s="1">
        <v>45453</v>
      </c>
      <c r="E593" t="s">
        <v>72</v>
      </c>
      <c r="F593" t="s">
        <v>69</v>
      </c>
    </row>
    <row r="594" spans="1:6" x14ac:dyDescent="0.3">
      <c r="A594">
        <v>593</v>
      </c>
      <c r="B594">
        <v>593</v>
      </c>
      <c r="C594" s="1">
        <v>45651</v>
      </c>
      <c r="D594" s="1">
        <v>45659</v>
      </c>
      <c r="E594" t="s">
        <v>72</v>
      </c>
      <c r="F594" t="s">
        <v>69</v>
      </c>
    </row>
    <row r="595" spans="1:6" x14ac:dyDescent="0.3">
      <c r="A595">
        <v>594</v>
      </c>
      <c r="B595">
        <v>594</v>
      </c>
      <c r="C595" s="1">
        <v>45467</v>
      </c>
      <c r="D595" s="1">
        <v>45474</v>
      </c>
      <c r="E595" t="s">
        <v>71</v>
      </c>
      <c r="F595" t="s">
        <v>69</v>
      </c>
    </row>
    <row r="596" spans="1:6" x14ac:dyDescent="0.3">
      <c r="A596">
        <v>595</v>
      </c>
      <c r="B596">
        <v>595</v>
      </c>
      <c r="C596" s="1">
        <v>45435</v>
      </c>
      <c r="D596" s="1">
        <v>45443</v>
      </c>
      <c r="E596" t="s">
        <v>72</v>
      </c>
      <c r="F596" t="s">
        <v>12</v>
      </c>
    </row>
    <row r="597" spans="1:6" x14ac:dyDescent="0.3">
      <c r="A597">
        <v>596</v>
      </c>
      <c r="B597">
        <v>596</v>
      </c>
      <c r="C597" s="1">
        <v>45475</v>
      </c>
      <c r="D597" s="1">
        <v>45476</v>
      </c>
      <c r="E597" t="s">
        <v>71</v>
      </c>
      <c r="F597" t="s">
        <v>12</v>
      </c>
    </row>
    <row r="598" spans="1:6" x14ac:dyDescent="0.3">
      <c r="A598">
        <v>597</v>
      </c>
      <c r="B598">
        <v>597</v>
      </c>
      <c r="C598" s="1">
        <v>45459</v>
      </c>
      <c r="D598" s="1">
        <v>45468</v>
      </c>
      <c r="E598" t="s">
        <v>70</v>
      </c>
      <c r="F598" t="s">
        <v>12</v>
      </c>
    </row>
    <row r="599" spans="1:6" x14ac:dyDescent="0.3">
      <c r="A599">
        <v>598</v>
      </c>
      <c r="B599">
        <v>598</v>
      </c>
      <c r="C599" s="1">
        <v>45526</v>
      </c>
      <c r="D599" s="1">
        <v>45531</v>
      </c>
      <c r="E599" t="s">
        <v>70</v>
      </c>
      <c r="F599" t="s">
        <v>69</v>
      </c>
    </row>
    <row r="600" spans="1:6" x14ac:dyDescent="0.3">
      <c r="A600">
        <v>599</v>
      </c>
      <c r="B600">
        <v>599</v>
      </c>
      <c r="C600" s="1">
        <v>45336</v>
      </c>
      <c r="D600" s="1">
        <v>45337</v>
      </c>
      <c r="E600" t="s">
        <v>72</v>
      </c>
      <c r="F600" t="s">
        <v>69</v>
      </c>
    </row>
    <row r="601" spans="1:6" x14ac:dyDescent="0.3">
      <c r="A601">
        <v>600</v>
      </c>
      <c r="B601">
        <v>600</v>
      </c>
      <c r="C601" s="1">
        <v>45601</v>
      </c>
      <c r="D601" s="1">
        <v>45603</v>
      </c>
      <c r="E601" t="s">
        <v>70</v>
      </c>
      <c r="F601" t="s">
        <v>12</v>
      </c>
    </row>
    <row r="602" spans="1:6" x14ac:dyDescent="0.3">
      <c r="A602">
        <v>601</v>
      </c>
      <c r="B602">
        <v>601</v>
      </c>
      <c r="C602" s="1">
        <v>45329</v>
      </c>
      <c r="D602" s="1">
        <v>45333</v>
      </c>
      <c r="E602" t="s">
        <v>68</v>
      </c>
      <c r="F602" t="s">
        <v>69</v>
      </c>
    </row>
    <row r="603" spans="1:6" x14ac:dyDescent="0.3">
      <c r="A603">
        <v>602</v>
      </c>
      <c r="B603">
        <v>602</v>
      </c>
      <c r="C603" s="1">
        <v>45649</v>
      </c>
      <c r="D603" s="1">
        <v>45650</v>
      </c>
      <c r="E603" t="s">
        <v>70</v>
      </c>
      <c r="F603" t="s">
        <v>12</v>
      </c>
    </row>
    <row r="604" spans="1:6" x14ac:dyDescent="0.3">
      <c r="A604">
        <v>603</v>
      </c>
      <c r="B604">
        <v>603</v>
      </c>
      <c r="C604" s="1">
        <v>45298</v>
      </c>
      <c r="D604" s="1">
        <v>45305</v>
      </c>
      <c r="E604" t="s">
        <v>70</v>
      </c>
      <c r="F604" t="s">
        <v>12</v>
      </c>
    </row>
    <row r="605" spans="1:6" x14ac:dyDescent="0.3">
      <c r="A605">
        <v>604</v>
      </c>
      <c r="B605">
        <v>604</v>
      </c>
      <c r="C605" s="1">
        <v>45350</v>
      </c>
      <c r="D605" s="1">
        <v>45356</v>
      </c>
      <c r="E605" t="s">
        <v>70</v>
      </c>
      <c r="F605" t="s">
        <v>69</v>
      </c>
    </row>
    <row r="606" spans="1:6" x14ac:dyDescent="0.3">
      <c r="A606">
        <v>605</v>
      </c>
      <c r="B606">
        <v>605</v>
      </c>
      <c r="C606" s="1">
        <v>45371</v>
      </c>
      <c r="D606" s="1">
        <v>45380</v>
      </c>
      <c r="E606" t="s">
        <v>71</v>
      </c>
      <c r="F606" t="s">
        <v>12</v>
      </c>
    </row>
    <row r="607" spans="1:6" x14ac:dyDescent="0.3">
      <c r="A607">
        <v>606</v>
      </c>
      <c r="B607">
        <v>606</v>
      </c>
      <c r="C607" s="1">
        <v>45435</v>
      </c>
      <c r="D607" s="1">
        <v>45437</v>
      </c>
      <c r="E607" t="s">
        <v>68</v>
      </c>
      <c r="F607" t="s">
        <v>69</v>
      </c>
    </row>
    <row r="608" spans="1:6" x14ac:dyDescent="0.3">
      <c r="A608">
        <v>607</v>
      </c>
      <c r="B608">
        <v>607</v>
      </c>
      <c r="C608" s="1">
        <v>45446</v>
      </c>
      <c r="D608" s="1">
        <v>45456</v>
      </c>
      <c r="E608" t="s">
        <v>70</v>
      </c>
      <c r="F608" t="s">
        <v>69</v>
      </c>
    </row>
    <row r="609" spans="1:6" x14ac:dyDescent="0.3">
      <c r="A609">
        <v>608</v>
      </c>
      <c r="B609">
        <v>608</v>
      </c>
      <c r="C609" s="1">
        <v>45358</v>
      </c>
      <c r="D609" s="1">
        <v>45368</v>
      </c>
      <c r="E609" t="s">
        <v>70</v>
      </c>
      <c r="F609" t="s">
        <v>69</v>
      </c>
    </row>
    <row r="610" spans="1:6" x14ac:dyDescent="0.3">
      <c r="A610">
        <v>609</v>
      </c>
      <c r="B610">
        <v>609</v>
      </c>
      <c r="C610" s="1">
        <v>45597</v>
      </c>
      <c r="D610" s="1">
        <v>45603</v>
      </c>
      <c r="E610" t="s">
        <v>72</v>
      </c>
      <c r="F610" t="s">
        <v>69</v>
      </c>
    </row>
    <row r="611" spans="1:6" x14ac:dyDescent="0.3">
      <c r="A611">
        <v>610</v>
      </c>
      <c r="B611">
        <v>610</v>
      </c>
      <c r="C611" s="1">
        <v>45533</v>
      </c>
      <c r="D611" s="1">
        <v>45534</v>
      </c>
      <c r="E611" t="s">
        <v>68</v>
      </c>
      <c r="F611" t="s">
        <v>69</v>
      </c>
    </row>
    <row r="612" spans="1:6" x14ac:dyDescent="0.3">
      <c r="A612">
        <v>611</v>
      </c>
      <c r="B612">
        <v>611</v>
      </c>
      <c r="C612" s="1">
        <v>45630</v>
      </c>
      <c r="D612" s="1">
        <v>45636</v>
      </c>
      <c r="E612" t="s">
        <v>72</v>
      </c>
      <c r="F612" t="s">
        <v>12</v>
      </c>
    </row>
    <row r="613" spans="1:6" x14ac:dyDescent="0.3">
      <c r="A613">
        <v>612</v>
      </c>
      <c r="B613">
        <v>612</v>
      </c>
      <c r="C613" s="1">
        <v>45326</v>
      </c>
      <c r="D613" s="1">
        <v>45330</v>
      </c>
      <c r="E613" t="s">
        <v>72</v>
      </c>
      <c r="F613" t="s">
        <v>69</v>
      </c>
    </row>
    <row r="614" spans="1:6" x14ac:dyDescent="0.3">
      <c r="A614">
        <v>613</v>
      </c>
      <c r="B614">
        <v>613</v>
      </c>
      <c r="C614" s="1">
        <v>45605</v>
      </c>
      <c r="D614" s="1">
        <v>45606</v>
      </c>
      <c r="E614" t="s">
        <v>72</v>
      </c>
      <c r="F614" t="s">
        <v>12</v>
      </c>
    </row>
    <row r="615" spans="1:6" x14ac:dyDescent="0.3">
      <c r="A615">
        <v>614</v>
      </c>
      <c r="B615">
        <v>614</v>
      </c>
      <c r="C615" s="1">
        <v>45376</v>
      </c>
      <c r="D615" s="1">
        <v>45377</v>
      </c>
      <c r="E615" t="s">
        <v>72</v>
      </c>
      <c r="F615" t="s">
        <v>12</v>
      </c>
    </row>
    <row r="616" spans="1:6" x14ac:dyDescent="0.3">
      <c r="A616">
        <v>615</v>
      </c>
      <c r="B616">
        <v>615</v>
      </c>
      <c r="C616" s="1">
        <v>45428</v>
      </c>
      <c r="D616" s="1">
        <v>45431</v>
      </c>
      <c r="E616" t="s">
        <v>70</v>
      </c>
      <c r="F616" t="s">
        <v>12</v>
      </c>
    </row>
    <row r="617" spans="1:6" x14ac:dyDescent="0.3">
      <c r="A617">
        <v>616</v>
      </c>
      <c r="B617">
        <v>616</v>
      </c>
      <c r="C617" s="1">
        <v>45615</v>
      </c>
      <c r="D617" s="1">
        <v>45617</v>
      </c>
      <c r="E617" t="s">
        <v>72</v>
      </c>
      <c r="F617" t="s">
        <v>12</v>
      </c>
    </row>
    <row r="618" spans="1:6" x14ac:dyDescent="0.3">
      <c r="A618">
        <v>617</v>
      </c>
      <c r="B618">
        <v>617</v>
      </c>
      <c r="C618" s="1">
        <v>45430</v>
      </c>
      <c r="D618" s="1">
        <v>45437</v>
      </c>
      <c r="E618" t="s">
        <v>68</v>
      </c>
      <c r="F618" t="s">
        <v>12</v>
      </c>
    </row>
    <row r="619" spans="1:6" x14ac:dyDescent="0.3">
      <c r="A619">
        <v>618</v>
      </c>
      <c r="B619">
        <v>618</v>
      </c>
      <c r="C619" s="1">
        <v>45429</v>
      </c>
      <c r="D619" s="1">
        <v>45435</v>
      </c>
      <c r="E619" t="s">
        <v>68</v>
      </c>
      <c r="F619" t="s">
        <v>12</v>
      </c>
    </row>
    <row r="620" spans="1:6" x14ac:dyDescent="0.3">
      <c r="A620">
        <v>619</v>
      </c>
      <c r="B620">
        <v>619</v>
      </c>
      <c r="C620" s="1">
        <v>45559</v>
      </c>
      <c r="D620" s="1">
        <v>45561</v>
      </c>
      <c r="E620" t="s">
        <v>70</v>
      </c>
      <c r="F620" t="s">
        <v>12</v>
      </c>
    </row>
    <row r="621" spans="1:6" x14ac:dyDescent="0.3">
      <c r="A621">
        <v>620</v>
      </c>
      <c r="B621">
        <v>620</v>
      </c>
      <c r="C621" s="1">
        <v>45445</v>
      </c>
      <c r="D621" s="1">
        <v>45451</v>
      </c>
      <c r="E621" t="s">
        <v>70</v>
      </c>
      <c r="F621" t="s">
        <v>69</v>
      </c>
    </row>
    <row r="622" spans="1:6" x14ac:dyDescent="0.3">
      <c r="A622">
        <v>621</v>
      </c>
      <c r="B622">
        <v>621</v>
      </c>
      <c r="C622" s="1">
        <v>45538</v>
      </c>
      <c r="D622" s="1">
        <v>45546</v>
      </c>
      <c r="E622" t="s">
        <v>71</v>
      </c>
      <c r="F622" t="s">
        <v>69</v>
      </c>
    </row>
    <row r="623" spans="1:6" x14ac:dyDescent="0.3">
      <c r="A623">
        <v>622</v>
      </c>
      <c r="B623">
        <v>622</v>
      </c>
      <c r="C623" s="1">
        <v>45637</v>
      </c>
      <c r="D623" s="1">
        <v>45642</v>
      </c>
      <c r="E623" t="s">
        <v>71</v>
      </c>
      <c r="F623" t="s">
        <v>69</v>
      </c>
    </row>
    <row r="624" spans="1:6" x14ac:dyDescent="0.3">
      <c r="A624">
        <v>623</v>
      </c>
      <c r="B624">
        <v>623</v>
      </c>
      <c r="C624" s="1">
        <v>45539</v>
      </c>
      <c r="D624" s="1">
        <v>45549</v>
      </c>
      <c r="E624" t="s">
        <v>71</v>
      </c>
      <c r="F624" t="s">
        <v>12</v>
      </c>
    </row>
    <row r="625" spans="1:6" x14ac:dyDescent="0.3">
      <c r="A625">
        <v>624</v>
      </c>
      <c r="B625">
        <v>624</v>
      </c>
      <c r="C625" s="1">
        <v>45629</v>
      </c>
      <c r="D625" s="1">
        <v>45632</v>
      </c>
      <c r="E625" t="s">
        <v>72</v>
      </c>
      <c r="F625" t="s">
        <v>12</v>
      </c>
    </row>
    <row r="626" spans="1:6" x14ac:dyDescent="0.3">
      <c r="A626">
        <v>625</v>
      </c>
      <c r="B626">
        <v>625</v>
      </c>
      <c r="C626" s="1">
        <v>45439</v>
      </c>
      <c r="D626" s="1">
        <v>45441</v>
      </c>
      <c r="E626" t="s">
        <v>68</v>
      </c>
      <c r="F626" t="s">
        <v>12</v>
      </c>
    </row>
    <row r="627" spans="1:6" x14ac:dyDescent="0.3">
      <c r="A627">
        <v>626</v>
      </c>
      <c r="B627">
        <v>626</v>
      </c>
      <c r="C627" s="1">
        <v>45611</v>
      </c>
      <c r="D627" s="1">
        <v>45613</v>
      </c>
      <c r="E627" t="s">
        <v>68</v>
      </c>
      <c r="F627" t="s">
        <v>69</v>
      </c>
    </row>
    <row r="628" spans="1:6" x14ac:dyDescent="0.3">
      <c r="A628">
        <v>627</v>
      </c>
      <c r="B628">
        <v>627</v>
      </c>
      <c r="C628" s="1">
        <v>45422</v>
      </c>
      <c r="D628" s="1">
        <v>45428</v>
      </c>
      <c r="E628" t="s">
        <v>71</v>
      </c>
      <c r="F628" t="s">
        <v>12</v>
      </c>
    </row>
    <row r="629" spans="1:6" x14ac:dyDescent="0.3">
      <c r="A629">
        <v>628</v>
      </c>
      <c r="B629">
        <v>628</v>
      </c>
      <c r="C629" s="1">
        <v>45323</v>
      </c>
      <c r="D629" s="1">
        <v>45326</v>
      </c>
      <c r="E629" t="s">
        <v>71</v>
      </c>
      <c r="F629" t="s">
        <v>12</v>
      </c>
    </row>
    <row r="630" spans="1:6" x14ac:dyDescent="0.3">
      <c r="A630">
        <v>629</v>
      </c>
      <c r="B630">
        <v>629</v>
      </c>
      <c r="C630" s="1">
        <v>45416</v>
      </c>
      <c r="D630" s="1">
        <v>45426</v>
      </c>
      <c r="E630" t="s">
        <v>70</v>
      </c>
      <c r="F630" t="s">
        <v>69</v>
      </c>
    </row>
    <row r="631" spans="1:6" x14ac:dyDescent="0.3">
      <c r="A631">
        <v>630</v>
      </c>
      <c r="B631">
        <v>630</v>
      </c>
      <c r="C631" s="1">
        <v>45299</v>
      </c>
      <c r="D631" s="1">
        <v>45307</v>
      </c>
      <c r="E631" t="s">
        <v>71</v>
      </c>
      <c r="F631" t="s">
        <v>12</v>
      </c>
    </row>
    <row r="632" spans="1:6" x14ac:dyDescent="0.3">
      <c r="A632">
        <v>631</v>
      </c>
      <c r="B632">
        <v>631</v>
      </c>
      <c r="C632" s="1">
        <v>45568</v>
      </c>
      <c r="D632" s="1">
        <v>45572</v>
      </c>
      <c r="E632" t="s">
        <v>71</v>
      </c>
      <c r="F632" t="s">
        <v>69</v>
      </c>
    </row>
    <row r="633" spans="1:6" x14ac:dyDescent="0.3">
      <c r="A633">
        <v>632</v>
      </c>
      <c r="B633">
        <v>632</v>
      </c>
      <c r="C633" s="1">
        <v>45306</v>
      </c>
      <c r="D633" s="1">
        <v>45312</v>
      </c>
      <c r="E633" t="s">
        <v>70</v>
      </c>
      <c r="F633" t="s">
        <v>69</v>
      </c>
    </row>
    <row r="634" spans="1:6" x14ac:dyDescent="0.3">
      <c r="A634">
        <v>633</v>
      </c>
      <c r="B634">
        <v>633</v>
      </c>
      <c r="C634" s="1">
        <v>45517</v>
      </c>
      <c r="D634" s="1">
        <v>45527</v>
      </c>
      <c r="E634" t="s">
        <v>70</v>
      </c>
      <c r="F634" t="s">
        <v>12</v>
      </c>
    </row>
    <row r="635" spans="1:6" x14ac:dyDescent="0.3">
      <c r="A635">
        <v>634</v>
      </c>
      <c r="B635">
        <v>634</v>
      </c>
      <c r="C635" s="1">
        <v>45454</v>
      </c>
      <c r="D635" s="1">
        <v>45457</v>
      </c>
      <c r="E635" t="s">
        <v>68</v>
      </c>
      <c r="F635" t="s">
        <v>12</v>
      </c>
    </row>
    <row r="636" spans="1:6" x14ac:dyDescent="0.3">
      <c r="A636">
        <v>635</v>
      </c>
      <c r="B636">
        <v>635</v>
      </c>
      <c r="C636" s="1">
        <v>45356</v>
      </c>
      <c r="D636" s="1">
        <v>45361</v>
      </c>
      <c r="E636" t="s">
        <v>70</v>
      </c>
      <c r="F636" t="s">
        <v>69</v>
      </c>
    </row>
    <row r="637" spans="1:6" x14ac:dyDescent="0.3">
      <c r="A637">
        <v>636</v>
      </c>
      <c r="B637">
        <v>636</v>
      </c>
      <c r="C637" s="1">
        <v>45315</v>
      </c>
      <c r="D637" s="1">
        <v>45323</v>
      </c>
      <c r="E637" t="s">
        <v>68</v>
      </c>
      <c r="F637" t="s">
        <v>69</v>
      </c>
    </row>
    <row r="638" spans="1:6" x14ac:dyDescent="0.3">
      <c r="A638">
        <v>637</v>
      </c>
      <c r="B638">
        <v>637</v>
      </c>
      <c r="C638" s="1">
        <v>45469</v>
      </c>
      <c r="D638" s="1">
        <v>45476</v>
      </c>
      <c r="E638" t="s">
        <v>68</v>
      </c>
      <c r="F638" t="s">
        <v>69</v>
      </c>
    </row>
    <row r="639" spans="1:6" x14ac:dyDescent="0.3">
      <c r="A639">
        <v>638</v>
      </c>
      <c r="B639">
        <v>638</v>
      </c>
      <c r="C639" s="1">
        <v>45629</v>
      </c>
      <c r="D639" s="1">
        <v>45635</v>
      </c>
      <c r="E639" t="s">
        <v>70</v>
      </c>
      <c r="F639" t="s">
        <v>12</v>
      </c>
    </row>
    <row r="640" spans="1:6" x14ac:dyDescent="0.3">
      <c r="A640">
        <v>639</v>
      </c>
      <c r="B640">
        <v>639</v>
      </c>
      <c r="C640" s="1">
        <v>45625</v>
      </c>
      <c r="D640" s="1">
        <v>45634</v>
      </c>
      <c r="E640" t="s">
        <v>71</v>
      </c>
      <c r="F640" t="s">
        <v>12</v>
      </c>
    </row>
    <row r="641" spans="1:6" x14ac:dyDescent="0.3">
      <c r="A641">
        <v>640</v>
      </c>
      <c r="B641">
        <v>640</v>
      </c>
      <c r="C641" s="1">
        <v>45550</v>
      </c>
      <c r="D641" s="1">
        <v>45560</v>
      </c>
      <c r="E641" t="s">
        <v>68</v>
      </c>
      <c r="F641" t="s">
        <v>69</v>
      </c>
    </row>
    <row r="642" spans="1:6" x14ac:dyDescent="0.3">
      <c r="A642">
        <v>641</v>
      </c>
      <c r="B642">
        <v>641</v>
      </c>
      <c r="C642" s="1">
        <v>45518</v>
      </c>
      <c r="D642" s="1">
        <v>45522</v>
      </c>
      <c r="E642" t="s">
        <v>68</v>
      </c>
      <c r="F642" t="s">
        <v>12</v>
      </c>
    </row>
    <row r="643" spans="1:6" x14ac:dyDescent="0.3">
      <c r="A643">
        <v>642</v>
      </c>
      <c r="B643">
        <v>642</v>
      </c>
      <c r="C643" s="1">
        <v>45442</v>
      </c>
      <c r="D643" s="1">
        <v>45445</v>
      </c>
      <c r="E643" t="s">
        <v>72</v>
      </c>
      <c r="F643" t="s">
        <v>69</v>
      </c>
    </row>
    <row r="644" spans="1:6" x14ac:dyDescent="0.3">
      <c r="A644">
        <v>643</v>
      </c>
      <c r="B644">
        <v>643</v>
      </c>
      <c r="C644" s="1">
        <v>45556</v>
      </c>
      <c r="D644" s="1">
        <v>45566</v>
      </c>
      <c r="E644" t="s">
        <v>70</v>
      </c>
      <c r="F644" t="s">
        <v>69</v>
      </c>
    </row>
    <row r="645" spans="1:6" x14ac:dyDescent="0.3">
      <c r="A645">
        <v>644</v>
      </c>
      <c r="B645">
        <v>644</v>
      </c>
      <c r="C645" s="1">
        <v>45513</v>
      </c>
      <c r="D645" s="1">
        <v>45516</v>
      </c>
      <c r="E645" t="s">
        <v>68</v>
      </c>
      <c r="F645" t="s">
        <v>69</v>
      </c>
    </row>
    <row r="646" spans="1:6" x14ac:dyDescent="0.3">
      <c r="A646">
        <v>645</v>
      </c>
      <c r="B646">
        <v>645</v>
      </c>
      <c r="C646" s="1">
        <v>45640</v>
      </c>
      <c r="D646" s="1">
        <v>45643</v>
      </c>
      <c r="E646" t="s">
        <v>68</v>
      </c>
      <c r="F646" t="s">
        <v>69</v>
      </c>
    </row>
    <row r="647" spans="1:6" x14ac:dyDescent="0.3">
      <c r="A647">
        <v>646</v>
      </c>
      <c r="B647">
        <v>646</v>
      </c>
      <c r="C647" s="1">
        <v>45489</v>
      </c>
      <c r="D647" s="1">
        <v>45493</v>
      </c>
      <c r="E647" t="s">
        <v>72</v>
      </c>
      <c r="F647" t="s">
        <v>69</v>
      </c>
    </row>
    <row r="648" spans="1:6" x14ac:dyDescent="0.3">
      <c r="A648">
        <v>647</v>
      </c>
      <c r="B648">
        <v>647</v>
      </c>
      <c r="C648" s="1">
        <v>45391</v>
      </c>
      <c r="D648" s="1">
        <v>45399</v>
      </c>
      <c r="E648" t="s">
        <v>70</v>
      </c>
      <c r="F648" t="s">
        <v>69</v>
      </c>
    </row>
    <row r="649" spans="1:6" x14ac:dyDescent="0.3">
      <c r="A649">
        <v>648</v>
      </c>
      <c r="B649">
        <v>648</v>
      </c>
      <c r="C649" s="1">
        <v>45501</v>
      </c>
      <c r="D649" s="1">
        <v>45507</v>
      </c>
      <c r="E649" t="s">
        <v>70</v>
      </c>
      <c r="F649" t="s">
        <v>12</v>
      </c>
    </row>
    <row r="650" spans="1:6" x14ac:dyDescent="0.3">
      <c r="A650">
        <v>649</v>
      </c>
      <c r="B650">
        <v>649</v>
      </c>
      <c r="C650" s="1">
        <v>45384</v>
      </c>
      <c r="D650" s="1">
        <v>45388</v>
      </c>
      <c r="E650" t="s">
        <v>68</v>
      </c>
      <c r="F650" t="s">
        <v>12</v>
      </c>
    </row>
    <row r="651" spans="1:6" x14ac:dyDescent="0.3">
      <c r="A651">
        <v>650</v>
      </c>
      <c r="B651">
        <v>650</v>
      </c>
      <c r="C651" s="1">
        <v>45427</v>
      </c>
      <c r="D651" s="1">
        <v>45432</v>
      </c>
      <c r="E651" t="s">
        <v>68</v>
      </c>
      <c r="F651" t="s">
        <v>69</v>
      </c>
    </row>
    <row r="652" spans="1:6" x14ac:dyDescent="0.3">
      <c r="A652">
        <v>651</v>
      </c>
      <c r="B652">
        <v>651</v>
      </c>
      <c r="C652" s="1">
        <v>45582</v>
      </c>
      <c r="D652" s="1">
        <v>45583</v>
      </c>
      <c r="E652" t="s">
        <v>70</v>
      </c>
      <c r="F652" t="s">
        <v>69</v>
      </c>
    </row>
    <row r="653" spans="1:6" x14ac:dyDescent="0.3">
      <c r="A653">
        <v>652</v>
      </c>
      <c r="B653">
        <v>652</v>
      </c>
      <c r="C653" s="1">
        <v>45321</v>
      </c>
      <c r="D653" s="1">
        <v>45327</v>
      </c>
      <c r="E653" t="s">
        <v>72</v>
      </c>
      <c r="F653" t="s">
        <v>69</v>
      </c>
    </row>
    <row r="654" spans="1:6" x14ac:dyDescent="0.3">
      <c r="A654">
        <v>653</v>
      </c>
      <c r="B654">
        <v>653</v>
      </c>
      <c r="C654" s="1">
        <v>45565</v>
      </c>
      <c r="D654" s="1">
        <v>45571</v>
      </c>
      <c r="E654" t="s">
        <v>71</v>
      </c>
      <c r="F654" t="s">
        <v>12</v>
      </c>
    </row>
    <row r="655" spans="1:6" x14ac:dyDescent="0.3">
      <c r="A655">
        <v>654</v>
      </c>
      <c r="B655">
        <v>654</v>
      </c>
      <c r="C655" s="1">
        <v>45486</v>
      </c>
      <c r="D655" s="1">
        <v>45488</v>
      </c>
      <c r="E655" t="s">
        <v>70</v>
      </c>
      <c r="F655" t="s">
        <v>69</v>
      </c>
    </row>
    <row r="656" spans="1:6" x14ac:dyDescent="0.3">
      <c r="A656">
        <v>655</v>
      </c>
      <c r="B656">
        <v>655</v>
      </c>
      <c r="C656" s="1">
        <v>45322</v>
      </c>
      <c r="D656" s="1">
        <v>45325</v>
      </c>
      <c r="E656" t="s">
        <v>68</v>
      </c>
      <c r="F656" t="s">
        <v>12</v>
      </c>
    </row>
    <row r="657" spans="1:6" x14ac:dyDescent="0.3">
      <c r="A657">
        <v>656</v>
      </c>
      <c r="B657">
        <v>656</v>
      </c>
      <c r="C657" s="1">
        <v>45543</v>
      </c>
      <c r="D657" s="1">
        <v>45551</v>
      </c>
      <c r="E657" t="s">
        <v>70</v>
      </c>
      <c r="F657" t="s">
        <v>12</v>
      </c>
    </row>
    <row r="658" spans="1:6" x14ac:dyDescent="0.3">
      <c r="A658">
        <v>657</v>
      </c>
      <c r="B658">
        <v>657</v>
      </c>
      <c r="C658" s="1">
        <v>45322</v>
      </c>
      <c r="D658" s="1">
        <v>45323</v>
      </c>
      <c r="E658" t="s">
        <v>71</v>
      </c>
      <c r="F658" t="s">
        <v>69</v>
      </c>
    </row>
    <row r="659" spans="1:6" x14ac:dyDescent="0.3">
      <c r="A659">
        <v>658</v>
      </c>
      <c r="B659">
        <v>658</v>
      </c>
      <c r="C659" s="1">
        <v>45527</v>
      </c>
      <c r="D659" s="1">
        <v>45535</v>
      </c>
      <c r="E659" t="s">
        <v>72</v>
      </c>
      <c r="F659" t="s">
        <v>69</v>
      </c>
    </row>
    <row r="660" spans="1:6" x14ac:dyDescent="0.3">
      <c r="A660">
        <v>659</v>
      </c>
      <c r="B660">
        <v>659</v>
      </c>
      <c r="C660" s="1">
        <v>45423</v>
      </c>
      <c r="D660" s="1">
        <v>45431</v>
      </c>
      <c r="E660" t="s">
        <v>71</v>
      </c>
      <c r="F660" t="s">
        <v>12</v>
      </c>
    </row>
    <row r="661" spans="1:6" x14ac:dyDescent="0.3">
      <c r="A661">
        <v>660</v>
      </c>
      <c r="B661">
        <v>660</v>
      </c>
      <c r="C661" s="1">
        <v>45302</v>
      </c>
      <c r="D661" s="1">
        <v>45307</v>
      </c>
      <c r="E661" t="s">
        <v>72</v>
      </c>
      <c r="F661" t="s">
        <v>69</v>
      </c>
    </row>
    <row r="662" spans="1:6" x14ac:dyDescent="0.3">
      <c r="A662">
        <v>661</v>
      </c>
      <c r="B662">
        <v>661</v>
      </c>
      <c r="C662" s="1">
        <v>45452</v>
      </c>
      <c r="D662" s="1">
        <v>45456</v>
      </c>
      <c r="E662" t="s">
        <v>70</v>
      </c>
      <c r="F662" t="s">
        <v>69</v>
      </c>
    </row>
    <row r="663" spans="1:6" x14ac:dyDescent="0.3">
      <c r="A663">
        <v>662</v>
      </c>
      <c r="B663">
        <v>662</v>
      </c>
      <c r="C663" s="1">
        <v>45602</v>
      </c>
      <c r="D663" s="1">
        <v>45609</v>
      </c>
      <c r="E663" t="s">
        <v>72</v>
      </c>
      <c r="F663" t="s">
        <v>69</v>
      </c>
    </row>
    <row r="664" spans="1:6" x14ac:dyDescent="0.3">
      <c r="A664">
        <v>663</v>
      </c>
      <c r="B664">
        <v>663</v>
      </c>
      <c r="C664" s="1">
        <v>45377</v>
      </c>
      <c r="D664" s="1">
        <v>45379</v>
      </c>
      <c r="E664" t="s">
        <v>71</v>
      </c>
      <c r="F664" t="s">
        <v>69</v>
      </c>
    </row>
    <row r="665" spans="1:6" x14ac:dyDescent="0.3">
      <c r="A665">
        <v>664</v>
      </c>
      <c r="B665">
        <v>664</v>
      </c>
      <c r="C665" s="1">
        <v>45434</v>
      </c>
      <c r="D665" s="1">
        <v>45437</v>
      </c>
      <c r="E665" t="s">
        <v>68</v>
      </c>
      <c r="F665" t="s">
        <v>69</v>
      </c>
    </row>
    <row r="666" spans="1:6" x14ac:dyDescent="0.3">
      <c r="A666">
        <v>665</v>
      </c>
      <c r="B666">
        <v>665</v>
      </c>
      <c r="C666" s="1">
        <v>45323</v>
      </c>
      <c r="D666" s="1">
        <v>45326</v>
      </c>
      <c r="E666" t="s">
        <v>68</v>
      </c>
      <c r="F666" t="s">
        <v>69</v>
      </c>
    </row>
    <row r="667" spans="1:6" x14ac:dyDescent="0.3">
      <c r="A667">
        <v>666</v>
      </c>
      <c r="B667">
        <v>666</v>
      </c>
      <c r="C667" s="1">
        <v>45426</v>
      </c>
      <c r="D667" s="1">
        <v>45427</v>
      </c>
      <c r="E667" t="s">
        <v>68</v>
      </c>
      <c r="F667" t="s">
        <v>12</v>
      </c>
    </row>
    <row r="668" spans="1:6" x14ac:dyDescent="0.3">
      <c r="A668">
        <v>667</v>
      </c>
      <c r="B668">
        <v>667</v>
      </c>
      <c r="C668" s="1">
        <v>45447</v>
      </c>
      <c r="D668" s="1">
        <v>45452</v>
      </c>
      <c r="E668" t="s">
        <v>72</v>
      </c>
      <c r="F668" t="s">
        <v>69</v>
      </c>
    </row>
    <row r="669" spans="1:6" x14ac:dyDescent="0.3">
      <c r="A669">
        <v>668</v>
      </c>
      <c r="B669">
        <v>668</v>
      </c>
      <c r="C669" s="1">
        <v>45506</v>
      </c>
      <c r="D669" s="1">
        <v>45508</v>
      </c>
      <c r="E669" t="s">
        <v>70</v>
      </c>
      <c r="F669" t="s">
        <v>69</v>
      </c>
    </row>
    <row r="670" spans="1:6" x14ac:dyDescent="0.3">
      <c r="A670">
        <v>669</v>
      </c>
      <c r="B670">
        <v>669</v>
      </c>
      <c r="C670" s="1">
        <v>45294</v>
      </c>
      <c r="D670" s="1">
        <v>45297</v>
      </c>
      <c r="E670" t="s">
        <v>68</v>
      </c>
      <c r="F670" t="s">
        <v>12</v>
      </c>
    </row>
    <row r="671" spans="1:6" x14ac:dyDescent="0.3">
      <c r="A671">
        <v>670</v>
      </c>
      <c r="B671">
        <v>670</v>
      </c>
      <c r="C671" s="1">
        <v>45514</v>
      </c>
      <c r="D671" s="1">
        <v>45515</v>
      </c>
      <c r="E671" t="s">
        <v>72</v>
      </c>
      <c r="F671" t="s">
        <v>12</v>
      </c>
    </row>
    <row r="672" spans="1:6" x14ac:dyDescent="0.3">
      <c r="A672">
        <v>671</v>
      </c>
      <c r="B672">
        <v>671</v>
      </c>
      <c r="C672" s="1">
        <v>45338</v>
      </c>
      <c r="D672" s="1">
        <v>45345</v>
      </c>
      <c r="E672" t="s">
        <v>72</v>
      </c>
      <c r="F672" t="s">
        <v>12</v>
      </c>
    </row>
    <row r="673" spans="1:6" x14ac:dyDescent="0.3">
      <c r="A673">
        <v>672</v>
      </c>
      <c r="B673">
        <v>672</v>
      </c>
      <c r="C673" s="1">
        <v>45304</v>
      </c>
      <c r="D673" s="1">
        <v>45307</v>
      </c>
      <c r="E673" t="s">
        <v>72</v>
      </c>
      <c r="F673" t="s">
        <v>12</v>
      </c>
    </row>
    <row r="674" spans="1:6" x14ac:dyDescent="0.3">
      <c r="A674">
        <v>673</v>
      </c>
      <c r="B674">
        <v>673</v>
      </c>
      <c r="C674" s="1">
        <v>45498</v>
      </c>
      <c r="D674" s="1">
        <v>45503</v>
      </c>
      <c r="E674" t="s">
        <v>71</v>
      </c>
      <c r="F674" t="s">
        <v>12</v>
      </c>
    </row>
    <row r="675" spans="1:6" x14ac:dyDescent="0.3">
      <c r="A675">
        <v>674</v>
      </c>
      <c r="B675">
        <v>674</v>
      </c>
      <c r="C675" s="1">
        <v>45367</v>
      </c>
      <c r="D675" s="1">
        <v>45375</v>
      </c>
      <c r="E675" t="s">
        <v>72</v>
      </c>
      <c r="F675" t="s">
        <v>69</v>
      </c>
    </row>
    <row r="676" spans="1:6" x14ac:dyDescent="0.3">
      <c r="A676">
        <v>675</v>
      </c>
      <c r="B676">
        <v>675</v>
      </c>
      <c r="C676" s="1">
        <v>45300</v>
      </c>
      <c r="D676" s="1">
        <v>45308</v>
      </c>
      <c r="E676" t="s">
        <v>68</v>
      </c>
      <c r="F676" t="s">
        <v>12</v>
      </c>
    </row>
    <row r="677" spans="1:6" x14ac:dyDescent="0.3">
      <c r="A677">
        <v>676</v>
      </c>
      <c r="B677">
        <v>676</v>
      </c>
      <c r="C677" s="1">
        <v>45612</v>
      </c>
      <c r="D677" s="1">
        <v>45621</v>
      </c>
      <c r="E677" t="s">
        <v>68</v>
      </c>
      <c r="F677" t="s">
        <v>69</v>
      </c>
    </row>
    <row r="678" spans="1:6" x14ac:dyDescent="0.3">
      <c r="A678">
        <v>677</v>
      </c>
      <c r="B678">
        <v>677</v>
      </c>
      <c r="C678" s="1">
        <v>45370</v>
      </c>
      <c r="D678" s="1">
        <v>45378</v>
      </c>
      <c r="E678" t="s">
        <v>68</v>
      </c>
      <c r="F678" t="s">
        <v>69</v>
      </c>
    </row>
    <row r="679" spans="1:6" x14ac:dyDescent="0.3">
      <c r="A679">
        <v>678</v>
      </c>
      <c r="B679">
        <v>678</v>
      </c>
      <c r="C679" s="1">
        <v>45583</v>
      </c>
      <c r="D679" s="1">
        <v>45590</v>
      </c>
      <c r="E679" t="s">
        <v>72</v>
      </c>
      <c r="F679" t="s">
        <v>69</v>
      </c>
    </row>
    <row r="680" spans="1:6" x14ac:dyDescent="0.3">
      <c r="A680">
        <v>679</v>
      </c>
      <c r="B680">
        <v>679</v>
      </c>
      <c r="C680" s="1">
        <v>45316</v>
      </c>
      <c r="D680" s="1">
        <v>45323</v>
      </c>
      <c r="E680" t="s">
        <v>71</v>
      </c>
      <c r="F680" t="s">
        <v>12</v>
      </c>
    </row>
    <row r="681" spans="1:6" x14ac:dyDescent="0.3">
      <c r="A681">
        <v>680</v>
      </c>
      <c r="B681">
        <v>680</v>
      </c>
      <c r="C681" s="1">
        <v>45310</v>
      </c>
      <c r="D681" s="1">
        <v>45315</v>
      </c>
      <c r="E681" t="s">
        <v>70</v>
      </c>
      <c r="F681" t="s">
        <v>12</v>
      </c>
    </row>
    <row r="682" spans="1:6" x14ac:dyDescent="0.3">
      <c r="A682">
        <v>681</v>
      </c>
      <c r="B682">
        <v>681</v>
      </c>
      <c r="C682" s="1">
        <v>45390</v>
      </c>
      <c r="D682" s="1">
        <v>45397</v>
      </c>
      <c r="E682" t="s">
        <v>72</v>
      </c>
      <c r="F682" t="s">
        <v>69</v>
      </c>
    </row>
    <row r="683" spans="1:6" x14ac:dyDescent="0.3">
      <c r="A683">
        <v>682</v>
      </c>
      <c r="B683">
        <v>682</v>
      </c>
      <c r="C683" s="1">
        <v>45625</v>
      </c>
      <c r="D683" s="1">
        <v>45633</v>
      </c>
      <c r="E683" t="s">
        <v>71</v>
      </c>
      <c r="F683" t="s">
        <v>69</v>
      </c>
    </row>
    <row r="684" spans="1:6" x14ac:dyDescent="0.3">
      <c r="A684">
        <v>683</v>
      </c>
      <c r="B684">
        <v>683</v>
      </c>
      <c r="C684" s="1">
        <v>45446</v>
      </c>
      <c r="D684" s="1">
        <v>45453</v>
      </c>
      <c r="E684" t="s">
        <v>72</v>
      </c>
      <c r="F684" t="s">
        <v>69</v>
      </c>
    </row>
    <row r="685" spans="1:6" x14ac:dyDescent="0.3">
      <c r="A685">
        <v>684</v>
      </c>
      <c r="B685">
        <v>684</v>
      </c>
      <c r="C685" s="1">
        <v>45544</v>
      </c>
      <c r="D685" s="1">
        <v>45553</v>
      </c>
      <c r="E685" t="s">
        <v>70</v>
      </c>
      <c r="F685" t="s">
        <v>69</v>
      </c>
    </row>
    <row r="686" spans="1:6" x14ac:dyDescent="0.3">
      <c r="A686">
        <v>685</v>
      </c>
      <c r="B686">
        <v>685</v>
      </c>
      <c r="C686" s="1">
        <v>45303</v>
      </c>
      <c r="D686" s="1">
        <v>45308</v>
      </c>
      <c r="E686" t="s">
        <v>72</v>
      </c>
      <c r="F686" t="s">
        <v>12</v>
      </c>
    </row>
    <row r="687" spans="1:6" x14ac:dyDescent="0.3">
      <c r="A687">
        <v>686</v>
      </c>
      <c r="B687">
        <v>686</v>
      </c>
      <c r="C687" s="1">
        <v>45437</v>
      </c>
      <c r="D687" s="1">
        <v>45438</v>
      </c>
      <c r="E687" t="s">
        <v>72</v>
      </c>
      <c r="F687" t="s">
        <v>69</v>
      </c>
    </row>
    <row r="688" spans="1:6" x14ac:dyDescent="0.3">
      <c r="A688">
        <v>687</v>
      </c>
      <c r="B688">
        <v>687</v>
      </c>
      <c r="C688" s="1">
        <v>45570</v>
      </c>
      <c r="D688" s="1">
        <v>45572</v>
      </c>
      <c r="E688" t="s">
        <v>70</v>
      </c>
      <c r="F688" t="s">
        <v>69</v>
      </c>
    </row>
    <row r="689" spans="1:6" x14ac:dyDescent="0.3">
      <c r="A689">
        <v>688</v>
      </c>
      <c r="B689">
        <v>688</v>
      </c>
      <c r="C689" s="1">
        <v>45420</v>
      </c>
      <c r="D689" s="1">
        <v>45427</v>
      </c>
      <c r="E689" t="s">
        <v>71</v>
      </c>
      <c r="F689" t="s">
        <v>69</v>
      </c>
    </row>
    <row r="690" spans="1:6" x14ac:dyDescent="0.3">
      <c r="A690">
        <v>689</v>
      </c>
      <c r="B690">
        <v>689</v>
      </c>
      <c r="C690" s="1">
        <v>45600</v>
      </c>
      <c r="D690" s="1">
        <v>45605</v>
      </c>
      <c r="E690" t="s">
        <v>68</v>
      </c>
      <c r="F690" t="s">
        <v>69</v>
      </c>
    </row>
    <row r="691" spans="1:6" x14ac:dyDescent="0.3">
      <c r="A691">
        <v>690</v>
      </c>
      <c r="B691">
        <v>690</v>
      </c>
      <c r="C691" s="1">
        <v>45464</v>
      </c>
      <c r="D691" s="1">
        <v>45465</v>
      </c>
      <c r="E691" t="s">
        <v>70</v>
      </c>
      <c r="F691" t="s">
        <v>12</v>
      </c>
    </row>
    <row r="692" spans="1:6" x14ac:dyDescent="0.3">
      <c r="A692">
        <v>691</v>
      </c>
      <c r="B692">
        <v>691</v>
      </c>
      <c r="C692" s="1">
        <v>45531</v>
      </c>
      <c r="D692" s="1">
        <v>45534</v>
      </c>
      <c r="E692" t="s">
        <v>70</v>
      </c>
      <c r="F692" t="s">
        <v>12</v>
      </c>
    </row>
    <row r="693" spans="1:6" x14ac:dyDescent="0.3">
      <c r="A693">
        <v>692</v>
      </c>
      <c r="B693">
        <v>692</v>
      </c>
      <c r="C693" s="1">
        <v>45559</v>
      </c>
      <c r="D693" s="1">
        <v>45566</v>
      </c>
      <c r="E693" t="s">
        <v>70</v>
      </c>
      <c r="F693" t="s">
        <v>12</v>
      </c>
    </row>
    <row r="694" spans="1:6" x14ac:dyDescent="0.3">
      <c r="A694">
        <v>693</v>
      </c>
      <c r="B694">
        <v>693</v>
      </c>
      <c r="C694" s="1">
        <v>45325</v>
      </c>
      <c r="D694" s="1">
        <v>45328</v>
      </c>
      <c r="E694" t="s">
        <v>68</v>
      </c>
      <c r="F694" t="s">
        <v>69</v>
      </c>
    </row>
    <row r="695" spans="1:6" x14ac:dyDescent="0.3">
      <c r="A695">
        <v>694</v>
      </c>
      <c r="B695">
        <v>694</v>
      </c>
      <c r="C695" s="1">
        <v>45558</v>
      </c>
      <c r="D695" s="1">
        <v>45565</v>
      </c>
      <c r="E695" t="s">
        <v>70</v>
      </c>
      <c r="F695" t="s">
        <v>12</v>
      </c>
    </row>
    <row r="696" spans="1:6" x14ac:dyDescent="0.3">
      <c r="A696">
        <v>695</v>
      </c>
      <c r="B696">
        <v>695</v>
      </c>
      <c r="C696" s="1">
        <v>45499</v>
      </c>
      <c r="D696" s="1">
        <v>45501</v>
      </c>
      <c r="E696" t="s">
        <v>68</v>
      </c>
      <c r="F696" t="s">
        <v>69</v>
      </c>
    </row>
    <row r="697" spans="1:6" x14ac:dyDescent="0.3">
      <c r="A697">
        <v>696</v>
      </c>
      <c r="B697">
        <v>696</v>
      </c>
      <c r="C697" s="1">
        <v>45626</v>
      </c>
      <c r="D697" s="1">
        <v>45628</v>
      </c>
      <c r="E697" t="s">
        <v>71</v>
      </c>
      <c r="F697" t="s">
        <v>12</v>
      </c>
    </row>
    <row r="698" spans="1:6" x14ac:dyDescent="0.3">
      <c r="A698">
        <v>697</v>
      </c>
      <c r="B698">
        <v>697</v>
      </c>
      <c r="C698" s="1">
        <v>45592</v>
      </c>
      <c r="D698" s="1">
        <v>45602</v>
      </c>
      <c r="E698" t="s">
        <v>72</v>
      </c>
      <c r="F698" t="s">
        <v>12</v>
      </c>
    </row>
    <row r="699" spans="1:6" x14ac:dyDescent="0.3">
      <c r="A699">
        <v>698</v>
      </c>
      <c r="B699">
        <v>698</v>
      </c>
      <c r="C699" s="1">
        <v>45623</v>
      </c>
      <c r="D699" s="1">
        <v>45627</v>
      </c>
      <c r="E699" t="s">
        <v>70</v>
      </c>
      <c r="F699" t="s">
        <v>69</v>
      </c>
    </row>
    <row r="700" spans="1:6" x14ac:dyDescent="0.3">
      <c r="A700">
        <v>699</v>
      </c>
      <c r="B700">
        <v>699</v>
      </c>
      <c r="C700" s="1">
        <v>45654</v>
      </c>
      <c r="D700" s="1">
        <v>45664</v>
      </c>
      <c r="E700" t="s">
        <v>72</v>
      </c>
      <c r="F700" t="s">
        <v>69</v>
      </c>
    </row>
    <row r="701" spans="1:6" x14ac:dyDescent="0.3">
      <c r="A701">
        <v>700</v>
      </c>
      <c r="B701">
        <v>700</v>
      </c>
      <c r="C701" s="1">
        <v>45423</v>
      </c>
      <c r="D701" s="1">
        <v>45426</v>
      </c>
      <c r="E701" t="s">
        <v>72</v>
      </c>
      <c r="F701" t="s">
        <v>12</v>
      </c>
    </row>
    <row r="702" spans="1:6" x14ac:dyDescent="0.3">
      <c r="A702">
        <v>701</v>
      </c>
      <c r="B702">
        <v>701</v>
      </c>
      <c r="C702" s="1">
        <v>45304</v>
      </c>
      <c r="D702" s="1">
        <v>45305</v>
      </c>
      <c r="E702" t="s">
        <v>70</v>
      </c>
      <c r="F702" t="s">
        <v>69</v>
      </c>
    </row>
    <row r="703" spans="1:6" x14ac:dyDescent="0.3">
      <c r="A703">
        <v>702</v>
      </c>
      <c r="B703">
        <v>702</v>
      </c>
      <c r="C703" s="1">
        <v>45535</v>
      </c>
      <c r="D703" s="1">
        <v>45545</v>
      </c>
      <c r="E703" t="s">
        <v>70</v>
      </c>
      <c r="F703" t="s">
        <v>69</v>
      </c>
    </row>
    <row r="704" spans="1:6" x14ac:dyDescent="0.3">
      <c r="A704">
        <v>703</v>
      </c>
      <c r="B704">
        <v>703</v>
      </c>
      <c r="C704" s="1">
        <v>45632</v>
      </c>
      <c r="D704" s="1">
        <v>45636</v>
      </c>
      <c r="E704" t="s">
        <v>68</v>
      </c>
      <c r="F704" t="s">
        <v>12</v>
      </c>
    </row>
    <row r="705" spans="1:6" x14ac:dyDescent="0.3">
      <c r="A705">
        <v>704</v>
      </c>
      <c r="B705">
        <v>704</v>
      </c>
      <c r="C705" s="1">
        <v>45302</v>
      </c>
      <c r="D705" s="1">
        <v>45308</v>
      </c>
      <c r="E705" t="s">
        <v>72</v>
      </c>
      <c r="F705" t="s">
        <v>69</v>
      </c>
    </row>
    <row r="706" spans="1:6" x14ac:dyDescent="0.3">
      <c r="A706">
        <v>705</v>
      </c>
      <c r="B706">
        <v>705</v>
      </c>
      <c r="C706" s="1">
        <v>45434</v>
      </c>
      <c r="D706" s="1">
        <v>45435</v>
      </c>
      <c r="E706" t="s">
        <v>70</v>
      </c>
      <c r="F706" t="s">
        <v>12</v>
      </c>
    </row>
    <row r="707" spans="1:6" x14ac:dyDescent="0.3">
      <c r="A707">
        <v>706</v>
      </c>
      <c r="B707">
        <v>706</v>
      </c>
      <c r="C707" s="1">
        <v>45297</v>
      </c>
      <c r="D707" s="1">
        <v>45298</v>
      </c>
      <c r="E707" t="s">
        <v>71</v>
      </c>
      <c r="F707" t="s">
        <v>69</v>
      </c>
    </row>
    <row r="708" spans="1:6" x14ac:dyDescent="0.3">
      <c r="A708">
        <v>707</v>
      </c>
      <c r="B708">
        <v>707</v>
      </c>
      <c r="C708" s="1">
        <v>45521</v>
      </c>
      <c r="D708" s="1">
        <v>45529</v>
      </c>
      <c r="E708" t="s">
        <v>71</v>
      </c>
      <c r="F708" t="s">
        <v>12</v>
      </c>
    </row>
    <row r="709" spans="1:6" x14ac:dyDescent="0.3">
      <c r="A709">
        <v>708</v>
      </c>
      <c r="B709">
        <v>708</v>
      </c>
      <c r="C709" s="1">
        <v>45512</v>
      </c>
      <c r="D709" s="1">
        <v>45517</v>
      </c>
      <c r="E709" t="s">
        <v>71</v>
      </c>
      <c r="F709" t="s">
        <v>12</v>
      </c>
    </row>
    <row r="710" spans="1:6" x14ac:dyDescent="0.3">
      <c r="A710">
        <v>709</v>
      </c>
      <c r="B710">
        <v>709</v>
      </c>
      <c r="C710" s="1">
        <v>45583</v>
      </c>
      <c r="D710" s="1">
        <v>45593</v>
      </c>
      <c r="E710" t="s">
        <v>68</v>
      </c>
      <c r="F710" t="s">
        <v>12</v>
      </c>
    </row>
    <row r="711" spans="1:6" x14ac:dyDescent="0.3">
      <c r="A711">
        <v>710</v>
      </c>
      <c r="B711">
        <v>710</v>
      </c>
      <c r="C711" s="1">
        <v>45513</v>
      </c>
      <c r="D711" s="1">
        <v>45522</v>
      </c>
      <c r="E711" t="s">
        <v>70</v>
      </c>
      <c r="F711" t="s">
        <v>69</v>
      </c>
    </row>
    <row r="712" spans="1:6" x14ac:dyDescent="0.3">
      <c r="A712">
        <v>711</v>
      </c>
      <c r="B712">
        <v>711</v>
      </c>
      <c r="C712" s="1">
        <v>45435</v>
      </c>
      <c r="D712" s="1">
        <v>45437</v>
      </c>
      <c r="E712" t="s">
        <v>68</v>
      </c>
      <c r="F712" t="s">
        <v>69</v>
      </c>
    </row>
    <row r="713" spans="1:6" x14ac:dyDescent="0.3">
      <c r="A713">
        <v>712</v>
      </c>
      <c r="B713">
        <v>712</v>
      </c>
      <c r="C713" s="1">
        <v>45430</v>
      </c>
      <c r="D713" s="1">
        <v>45436</v>
      </c>
      <c r="E713" t="s">
        <v>70</v>
      </c>
      <c r="F713" t="s">
        <v>69</v>
      </c>
    </row>
    <row r="714" spans="1:6" x14ac:dyDescent="0.3">
      <c r="A714">
        <v>713</v>
      </c>
      <c r="B714">
        <v>713</v>
      </c>
      <c r="C714" s="1">
        <v>45485</v>
      </c>
      <c r="D714" s="1">
        <v>45495</v>
      </c>
      <c r="E714" t="s">
        <v>71</v>
      </c>
      <c r="F714" t="s">
        <v>12</v>
      </c>
    </row>
    <row r="715" spans="1:6" x14ac:dyDescent="0.3">
      <c r="A715">
        <v>714</v>
      </c>
      <c r="B715">
        <v>714</v>
      </c>
      <c r="C715" s="1">
        <v>45364</v>
      </c>
      <c r="D715" s="1">
        <v>45368</v>
      </c>
      <c r="E715" t="s">
        <v>72</v>
      </c>
      <c r="F715" t="s">
        <v>69</v>
      </c>
    </row>
    <row r="716" spans="1:6" x14ac:dyDescent="0.3">
      <c r="A716">
        <v>715</v>
      </c>
      <c r="B716">
        <v>715</v>
      </c>
      <c r="C716" s="1">
        <v>45375</v>
      </c>
      <c r="D716" s="1">
        <v>45377</v>
      </c>
      <c r="E716" t="s">
        <v>70</v>
      </c>
      <c r="F716" t="s">
        <v>12</v>
      </c>
    </row>
    <row r="717" spans="1:6" x14ac:dyDescent="0.3">
      <c r="A717">
        <v>716</v>
      </c>
      <c r="B717">
        <v>716</v>
      </c>
      <c r="C717" s="1">
        <v>45623</v>
      </c>
      <c r="D717" s="1">
        <v>45628</v>
      </c>
      <c r="E717" t="s">
        <v>71</v>
      </c>
      <c r="F717" t="s">
        <v>69</v>
      </c>
    </row>
    <row r="718" spans="1:6" x14ac:dyDescent="0.3">
      <c r="A718">
        <v>717</v>
      </c>
      <c r="B718">
        <v>717</v>
      </c>
      <c r="C718" s="1">
        <v>45361</v>
      </c>
      <c r="D718" s="1">
        <v>45363</v>
      </c>
      <c r="E718" t="s">
        <v>68</v>
      </c>
      <c r="F718" t="s">
        <v>69</v>
      </c>
    </row>
    <row r="719" spans="1:6" x14ac:dyDescent="0.3">
      <c r="A719">
        <v>718</v>
      </c>
      <c r="B719">
        <v>718</v>
      </c>
      <c r="C719" s="1">
        <v>45627</v>
      </c>
      <c r="D719" s="1">
        <v>45633</v>
      </c>
      <c r="E719" t="s">
        <v>70</v>
      </c>
      <c r="F719" t="s">
        <v>12</v>
      </c>
    </row>
    <row r="720" spans="1:6" x14ac:dyDescent="0.3">
      <c r="A720">
        <v>719</v>
      </c>
      <c r="B720">
        <v>719</v>
      </c>
      <c r="C720" s="1">
        <v>45450</v>
      </c>
      <c r="D720" s="1">
        <v>45456</v>
      </c>
      <c r="E720" t="s">
        <v>68</v>
      </c>
      <c r="F720" t="s">
        <v>12</v>
      </c>
    </row>
    <row r="721" spans="1:6" x14ac:dyDescent="0.3">
      <c r="A721">
        <v>720</v>
      </c>
      <c r="B721">
        <v>720</v>
      </c>
      <c r="C721" s="1">
        <v>45367</v>
      </c>
      <c r="D721" s="1">
        <v>45371</v>
      </c>
      <c r="E721" t="s">
        <v>71</v>
      </c>
      <c r="F721" t="s">
        <v>69</v>
      </c>
    </row>
    <row r="722" spans="1:6" x14ac:dyDescent="0.3">
      <c r="A722">
        <v>721</v>
      </c>
      <c r="B722">
        <v>721</v>
      </c>
      <c r="C722" s="1">
        <v>45466</v>
      </c>
      <c r="D722" s="1">
        <v>45473</v>
      </c>
      <c r="E722" t="s">
        <v>68</v>
      </c>
      <c r="F722" t="s">
        <v>69</v>
      </c>
    </row>
    <row r="723" spans="1:6" x14ac:dyDescent="0.3">
      <c r="A723">
        <v>722</v>
      </c>
      <c r="B723">
        <v>722</v>
      </c>
      <c r="C723" s="1">
        <v>45324</v>
      </c>
      <c r="D723" s="1">
        <v>45334</v>
      </c>
      <c r="E723" t="s">
        <v>71</v>
      </c>
      <c r="F723" t="s">
        <v>12</v>
      </c>
    </row>
    <row r="724" spans="1:6" x14ac:dyDescent="0.3">
      <c r="A724">
        <v>723</v>
      </c>
      <c r="B724">
        <v>723</v>
      </c>
      <c r="C724" s="1">
        <v>45642</v>
      </c>
      <c r="D724" s="1">
        <v>45650</v>
      </c>
      <c r="E724" t="s">
        <v>70</v>
      </c>
      <c r="F724" t="s">
        <v>12</v>
      </c>
    </row>
    <row r="725" spans="1:6" x14ac:dyDescent="0.3">
      <c r="A725">
        <v>724</v>
      </c>
      <c r="B725">
        <v>724</v>
      </c>
      <c r="C725" s="1">
        <v>45484</v>
      </c>
      <c r="D725" s="1">
        <v>45490</v>
      </c>
      <c r="E725" t="s">
        <v>68</v>
      </c>
      <c r="F725" t="s">
        <v>69</v>
      </c>
    </row>
    <row r="726" spans="1:6" x14ac:dyDescent="0.3">
      <c r="A726">
        <v>725</v>
      </c>
      <c r="B726">
        <v>725</v>
      </c>
      <c r="C726" s="1">
        <v>45461</v>
      </c>
      <c r="D726" s="1">
        <v>45471</v>
      </c>
      <c r="E726" t="s">
        <v>71</v>
      </c>
      <c r="F726" t="s">
        <v>69</v>
      </c>
    </row>
    <row r="727" spans="1:6" x14ac:dyDescent="0.3">
      <c r="A727">
        <v>726</v>
      </c>
      <c r="B727">
        <v>726</v>
      </c>
      <c r="C727" s="1">
        <v>45544</v>
      </c>
      <c r="D727" s="1">
        <v>45553</v>
      </c>
      <c r="E727" t="s">
        <v>71</v>
      </c>
      <c r="F727" t="s">
        <v>69</v>
      </c>
    </row>
    <row r="728" spans="1:6" x14ac:dyDescent="0.3">
      <c r="A728">
        <v>727</v>
      </c>
      <c r="B728">
        <v>727</v>
      </c>
      <c r="C728" s="1">
        <v>45589</v>
      </c>
      <c r="D728" s="1">
        <v>45597</v>
      </c>
      <c r="E728" t="s">
        <v>70</v>
      </c>
      <c r="F728" t="s">
        <v>69</v>
      </c>
    </row>
    <row r="729" spans="1:6" x14ac:dyDescent="0.3">
      <c r="A729">
        <v>728</v>
      </c>
      <c r="B729">
        <v>728</v>
      </c>
      <c r="C729" s="1">
        <v>45419</v>
      </c>
      <c r="D729" s="1">
        <v>45425</v>
      </c>
      <c r="E729" t="s">
        <v>72</v>
      </c>
      <c r="F729" t="s">
        <v>69</v>
      </c>
    </row>
    <row r="730" spans="1:6" x14ac:dyDescent="0.3">
      <c r="A730">
        <v>729</v>
      </c>
      <c r="B730">
        <v>729</v>
      </c>
      <c r="C730" s="1">
        <v>45412</v>
      </c>
      <c r="D730" s="1">
        <v>45418</v>
      </c>
      <c r="E730" t="s">
        <v>70</v>
      </c>
      <c r="F730" t="s">
        <v>12</v>
      </c>
    </row>
    <row r="731" spans="1:6" x14ac:dyDescent="0.3">
      <c r="A731">
        <v>730</v>
      </c>
      <c r="B731">
        <v>730</v>
      </c>
      <c r="C731" s="1">
        <v>45612</v>
      </c>
      <c r="D731" s="1">
        <v>45617</v>
      </c>
      <c r="E731" t="s">
        <v>70</v>
      </c>
      <c r="F731" t="s">
        <v>12</v>
      </c>
    </row>
    <row r="732" spans="1:6" x14ac:dyDescent="0.3">
      <c r="A732">
        <v>731</v>
      </c>
      <c r="B732">
        <v>731</v>
      </c>
      <c r="C732" s="1">
        <v>45422</v>
      </c>
      <c r="D732" s="1">
        <v>45431</v>
      </c>
      <c r="E732" t="s">
        <v>70</v>
      </c>
      <c r="F732" t="s">
        <v>69</v>
      </c>
    </row>
    <row r="733" spans="1:6" x14ac:dyDescent="0.3">
      <c r="A733">
        <v>732</v>
      </c>
      <c r="B733">
        <v>732</v>
      </c>
      <c r="C733" s="1">
        <v>45469</v>
      </c>
      <c r="D733" s="1">
        <v>45473</v>
      </c>
      <c r="E733" t="s">
        <v>71</v>
      </c>
      <c r="F733" t="s">
        <v>12</v>
      </c>
    </row>
    <row r="734" spans="1:6" x14ac:dyDescent="0.3">
      <c r="A734">
        <v>733</v>
      </c>
      <c r="B734">
        <v>733</v>
      </c>
      <c r="C734" s="1">
        <v>45370</v>
      </c>
      <c r="D734" s="1">
        <v>45371</v>
      </c>
      <c r="E734" t="s">
        <v>70</v>
      </c>
      <c r="F734" t="s">
        <v>12</v>
      </c>
    </row>
    <row r="735" spans="1:6" x14ac:dyDescent="0.3">
      <c r="A735">
        <v>734</v>
      </c>
      <c r="B735">
        <v>734</v>
      </c>
      <c r="C735" s="1">
        <v>45514</v>
      </c>
      <c r="D735" s="1">
        <v>45519</v>
      </c>
      <c r="E735" t="s">
        <v>71</v>
      </c>
      <c r="F735" t="s">
        <v>69</v>
      </c>
    </row>
    <row r="736" spans="1:6" x14ac:dyDescent="0.3">
      <c r="A736">
        <v>735</v>
      </c>
      <c r="B736">
        <v>735</v>
      </c>
      <c r="C736" s="1">
        <v>45480</v>
      </c>
      <c r="D736" s="1">
        <v>45484</v>
      </c>
      <c r="E736" t="s">
        <v>71</v>
      </c>
      <c r="F736" t="s">
        <v>12</v>
      </c>
    </row>
    <row r="737" spans="1:6" x14ac:dyDescent="0.3">
      <c r="A737">
        <v>736</v>
      </c>
      <c r="B737">
        <v>736</v>
      </c>
      <c r="C737" s="1">
        <v>45424</v>
      </c>
      <c r="D737" s="1">
        <v>45425</v>
      </c>
      <c r="E737" t="s">
        <v>72</v>
      </c>
      <c r="F737" t="s">
        <v>12</v>
      </c>
    </row>
    <row r="738" spans="1:6" x14ac:dyDescent="0.3">
      <c r="A738">
        <v>737</v>
      </c>
      <c r="B738">
        <v>737</v>
      </c>
      <c r="C738" s="1">
        <v>45353</v>
      </c>
      <c r="D738" s="1">
        <v>45358</v>
      </c>
      <c r="E738" t="s">
        <v>72</v>
      </c>
      <c r="F738" t="s">
        <v>12</v>
      </c>
    </row>
    <row r="739" spans="1:6" x14ac:dyDescent="0.3">
      <c r="A739">
        <v>738</v>
      </c>
      <c r="B739">
        <v>738</v>
      </c>
      <c r="C739" s="1">
        <v>45395</v>
      </c>
      <c r="D739" s="1">
        <v>45405</v>
      </c>
      <c r="E739" t="s">
        <v>70</v>
      </c>
      <c r="F739" t="s">
        <v>69</v>
      </c>
    </row>
    <row r="740" spans="1:6" x14ac:dyDescent="0.3">
      <c r="A740">
        <v>739</v>
      </c>
      <c r="B740">
        <v>739</v>
      </c>
      <c r="C740" s="1">
        <v>45605</v>
      </c>
      <c r="D740" s="1">
        <v>45606</v>
      </c>
      <c r="E740" t="s">
        <v>71</v>
      </c>
      <c r="F740" t="s">
        <v>12</v>
      </c>
    </row>
    <row r="741" spans="1:6" x14ac:dyDescent="0.3">
      <c r="A741">
        <v>740</v>
      </c>
      <c r="B741">
        <v>740</v>
      </c>
      <c r="C741" s="1">
        <v>45589</v>
      </c>
      <c r="D741" s="1">
        <v>45599</v>
      </c>
      <c r="E741" t="s">
        <v>68</v>
      </c>
      <c r="F741" t="s">
        <v>12</v>
      </c>
    </row>
    <row r="742" spans="1:6" x14ac:dyDescent="0.3">
      <c r="A742">
        <v>741</v>
      </c>
      <c r="B742">
        <v>741</v>
      </c>
      <c r="C742" s="1">
        <v>45458</v>
      </c>
      <c r="D742" s="1">
        <v>45463</v>
      </c>
      <c r="E742" t="s">
        <v>70</v>
      </c>
      <c r="F742" t="s">
        <v>69</v>
      </c>
    </row>
    <row r="743" spans="1:6" x14ac:dyDescent="0.3">
      <c r="A743">
        <v>742</v>
      </c>
      <c r="B743">
        <v>742</v>
      </c>
      <c r="C743" s="1">
        <v>45618</v>
      </c>
      <c r="D743" s="1">
        <v>45624</v>
      </c>
      <c r="E743" t="s">
        <v>71</v>
      </c>
      <c r="F743" t="s">
        <v>69</v>
      </c>
    </row>
    <row r="744" spans="1:6" x14ac:dyDescent="0.3">
      <c r="A744">
        <v>743</v>
      </c>
      <c r="B744">
        <v>743</v>
      </c>
      <c r="C744" s="1">
        <v>45362</v>
      </c>
      <c r="D744" s="1">
        <v>45369</v>
      </c>
      <c r="E744" t="s">
        <v>68</v>
      </c>
      <c r="F744" t="s">
        <v>12</v>
      </c>
    </row>
    <row r="745" spans="1:6" x14ac:dyDescent="0.3">
      <c r="A745">
        <v>744</v>
      </c>
      <c r="B745">
        <v>744</v>
      </c>
      <c r="C745" s="1">
        <v>45515</v>
      </c>
      <c r="D745" s="1">
        <v>45523</v>
      </c>
      <c r="E745" t="s">
        <v>71</v>
      </c>
      <c r="F745" t="s">
        <v>69</v>
      </c>
    </row>
    <row r="746" spans="1:6" x14ac:dyDescent="0.3">
      <c r="A746">
        <v>745</v>
      </c>
      <c r="B746">
        <v>745</v>
      </c>
      <c r="C746" s="1">
        <v>45492</v>
      </c>
      <c r="D746" s="1">
        <v>45499</v>
      </c>
      <c r="E746" t="s">
        <v>68</v>
      </c>
      <c r="F746" t="s">
        <v>69</v>
      </c>
    </row>
    <row r="747" spans="1:6" x14ac:dyDescent="0.3">
      <c r="A747">
        <v>746</v>
      </c>
      <c r="B747">
        <v>746</v>
      </c>
      <c r="C747" s="1">
        <v>45605</v>
      </c>
      <c r="D747" s="1">
        <v>45608</v>
      </c>
      <c r="E747" t="s">
        <v>71</v>
      </c>
      <c r="F747" t="s">
        <v>69</v>
      </c>
    </row>
    <row r="748" spans="1:6" x14ac:dyDescent="0.3">
      <c r="A748">
        <v>747</v>
      </c>
      <c r="B748">
        <v>747</v>
      </c>
      <c r="C748" s="1">
        <v>45389</v>
      </c>
      <c r="D748" s="1">
        <v>45391</v>
      </c>
      <c r="E748" t="s">
        <v>68</v>
      </c>
      <c r="F748" t="s">
        <v>69</v>
      </c>
    </row>
    <row r="749" spans="1:6" x14ac:dyDescent="0.3">
      <c r="A749">
        <v>748</v>
      </c>
      <c r="B749">
        <v>748</v>
      </c>
      <c r="C749" s="1">
        <v>45421</v>
      </c>
      <c r="D749" s="1">
        <v>45425</v>
      </c>
      <c r="E749" t="s">
        <v>71</v>
      </c>
      <c r="F749" t="s">
        <v>69</v>
      </c>
    </row>
    <row r="750" spans="1:6" x14ac:dyDescent="0.3">
      <c r="A750">
        <v>749</v>
      </c>
      <c r="B750">
        <v>749</v>
      </c>
      <c r="C750" s="1">
        <v>45544</v>
      </c>
      <c r="D750" s="1">
        <v>45545</v>
      </c>
      <c r="E750" t="s">
        <v>68</v>
      </c>
      <c r="F750" t="s">
        <v>12</v>
      </c>
    </row>
    <row r="751" spans="1:6" x14ac:dyDescent="0.3">
      <c r="A751">
        <v>750</v>
      </c>
      <c r="B751">
        <v>750</v>
      </c>
      <c r="C751" s="1">
        <v>45378</v>
      </c>
      <c r="D751" s="1">
        <v>45385</v>
      </c>
      <c r="E751" t="s">
        <v>72</v>
      </c>
      <c r="F751" t="s">
        <v>12</v>
      </c>
    </row>
    <row r="752" spans="1:6" x14ac:dyDescent="0.3">
      <c r="A752">
        <v>751</v>
      </c>
      <c r="B752">
        <v>751</v>
      </c>
      <c r="C752" s="1">
        <v>45569</v>
      </c>
      <c r="D752" s="1">
        <v>45579</v>
      </c>
      <c r="E752" t="s">
        <v>71</v>
      </c>
      <c r="F752" t="s">
        <v>69</v>
      </c>
    </row>
    <row r="753" spans="1:6" x14ac:dyDescent="0.3">
      <c r="A753">
        <v>752</v>
      </c>
      <c r="B753">
        <v>752</v>
      </c>
      <c r="C753" s="1">
        <v>45640</v>
      </c>
      <c r="D753" s="1">
        <v>45650</v>
      </c>
      <c r="E753" t="s">
        <v>72</v>
      </c>
      <c r="F753" t="s">
        <v>12</v>
      </c>
    </row>
    <row r="754" spans="1:6" x14ac:dyDescent="0.3">
      <c r="A754">
        <v>753</v>
      </c>
      <c r="B754">
        <v>753</v>
      </c>
      <c r="C754" s="1">
        <v>45311</v>
      </c>
      <c r="D754" s="1">
        <v>45312</v>
      </c>
      <c r="E754" t="s">
        <v>71</v>
      </c>
      <c r="F754" t="s">
        <v>69</v>
      </c>
    </row>
    <row r="755" spans="1:6" x14ac:dyDescent="0.3">
      <c r="A755">
        <v>754</v>
      </c>
      <c r="B755">
        <v>754</v>
      </c>
      <c r="C755" s="1">
        <v>45609</v>
      </c>
      <c r="D755" s="1">
        <v>45611</v>
      </c>
      <c r="E755" t="s">
        <v>68</v>
      </c>
      <c r="F755" t="s">
        <v>69</v>
      </c>
    </row>
    <row r="756" spans="1:6" x14ac:dyDescent="0.3">
      <c r="A756">
        <v>755</v>
      </c>
      <c r="B756">
        <v>755</v>
      </c>
      <c r="C756" s="1">
        <v>45574</v>
      </c>
      <c r="D756" s="1">
        <v>45576</v>
      </c>
      <c r="E756" t="s">
        <v>72</v>
      </c>
      <c r="F756" t="s">
        <v>12</v>
      </c>
    </row>
    <row r="757" spans="1:6" x14ac:dyDescent="0.3">
      <c r="A757">
        <v>756</v>
      </c>
      <c r="B757">
        <v>756</v>
      </c>
      <c r="C757" s="1">
        <v>45603</v>
      </c>
      <c r="D757" s="1">
        <v>45608</v>
      </c>
      <c r="E757" t="s">
        <v>72</v>
      </c>
      <c r="F757" t="s">
        <v>69</v>
      </c>
    </row>
    <row r="758" spans="1:6" x14ac:dyDescent="0.3">
      <c r="A758">
        <v>757</v>
      </c>
      <c r="B758">
        <v>757</v>
      </c>
      <c r="C758" s="1">
        <v>45417</v>
      </c>
      <c r="D758" s="1">
        <v>45424</v>
      </c>
      <c r="E758" t="s">
        <v>72</v>
      </c>
      <c r="F758" t="s">
        <v>12</v>
      </c>
    </row>
    <row r="759" spans="1:6" x14ac:dyDescent="0.3">
      <c r="A759">
        <v>758</v>
      </c>
      <c r="B759">
        <v>758</v>
      </c>
      <c r="C759" s="1">
        <v>45528</v>
      </c>
      <c r="D759" s="1">
        <v>45538</v>
      </c>
      <c r="E759" t="s">
        <v>70</v>
      </c>
      <c r="F759" t="s">
        <v>69</v>
      </c>
    </row>
    <row r="760" spans="1:6" x14ac:dyDescent="0.3">
      <c r="A760">
        <v>759</v>
      </c>
      <c r="B760">
        <v>759</v>
      </c>
      <c r="C760" s="1">
        <v>45452</v>
      </c>
      <c r="D760" s="1">
        <v>45459</v>
      </c>
      <c r="E760" t="s">
        <v>70</v>
      </c>
      <c r="F760" t="s">
        <v>69</v>
      </c>
    </row>
    <row r="761" spans="1:6" x14ac:dyDescent="0.3">
      <c r="A761">
        <v>760</v>
      </c>
      <c r="B761">
        <v>760</v>
      </c>
      <c r="C761" s="1">
        <v>45607</v>
      </c>
      <c r="D761" s="1">
        <v>45617</v>
      </c>
      <c r="E761" t="s">
        <v>72</v>
      </c>
      <c r="F761" t="s">
        <v>12</v>
      </c>
    </row>
    <row r="762" spans="1:6" x14ac:dyDescent="0.3">
      <c r="A762">
        <v>761</v>
      </c>
      <c r="B762">
        <v>761</v>
      </c>
      <c r="C762" s="1">
        <v>45438</v>
      </c>
      <c r="D762" s="1">
        <v>45446</v>
      </c>
      <c r="E762" t="s">
        <v>68</v>
      </c>
      <c r="F762" t="s">
        <v>69</v>
      </c>
    </row>
    <row r="763" spans="1:6" x14ac:dyDescent="0.3">
      <c r="A763">
        <v>762</v>
      </c>
      <c r="B763">
        <v>762</v>
      </c>
      <c r="C763" s="1">
        <v>45393</v>
      </c>
      <c r="D763" s="1">
        <v>45398</v>
      </c>
      <c r="E763" t="s">
        <v>70</v>
      </c>
      <c r="F763" t="s">
        <v>12</v>
      </c>
    </row>
    <row r="764" spans="1:6" x14ac:dyDescent="0.3">
      <c r="A764">
        <v>763</v>
      </c>
      <c r="B764">
        <v>763</v>
      </c>
      <c r="C764" s="1">
        <v>45544</v>
      </c>
      <c r="D764" s="1">
        <v>45548</v>
      </c>
      <c r="E764" t="s">
        <v>70</v>
      </c>
      <c r="F764" t="s">
        <v>12</v>
      </c>
    </row>
    <row r="765" spans="1:6" x14ac:dyDescent="0.3">
      <c r="A765">
        <v>764</v>
      </c>
      <c r="B765">
        <v>764</v>
      </c>
      <c r="C765" s="1">
        <v>45547</v>
      </c>
      <c r="D765" s="1">
        <v>45553</v>
      </c>
      <c r="E765" t="s">
        <v>68</v>
      </c>
      <c r="F765" t="s">
        <v>12</v>
      </c>
    </row>
    <row r="766" spans="1:6" x14ac:dyDescent="0.3">
      <c r="A766">
        <v>765</v>
      </c>
      <c r="B766">
        <v>765</v>
      </c>
      <c r="C766" s="1">
        <v>45609</v>
      </c>
      <c r="D766" s="1">
        <v>45614</v>
      </c>
      <c r="E766" t="s">
        <v>70</v>
      </c>
      <c r="F766" t="s">
        <v>12</v>
      </c>
    </row>
    <row r="767" spans="1:6" x14ac:dyDescent="0.3">
      <c r="A767">
        <v>766</v>
      </c>
      <c r="B767">
        <v>766</v>
      </c>
      <c r="C767" s="1">
        <v>45584</v>
      </c>
      <c r="D767" s="1">
        <v>45589</v>
      </c>
      <c r="E767" t="s">
        <v>71</v>
      </c>
      <c r="F767" t="s">
        <v>12</v>
      </c>
    </row>
    <row r="768" spans="1:6" x14ac:dyDescent="0.3">
      <c r="A768">
        <v>767</v>
      </c>
      <c r="B768">
        <v>767</v>
      </c>
      <c r="C768" s="1">
        <v>45310</v>
      </c>
      <c r="D768" s="1">
        <v>45314</v>
      </c>
      <c r="E768" t="s">
        <v>72</v>
      </c>
      <c r="F768" t="s">
        <v>12</v>
      </c>
    </row>
    <row r="769" spans="1:6" x14ac:dyDescent="0.3">
      <c r="A769">
        <v>768</v>
      </c>
      <c r="B769">
        <v>768</v>
      </c>
      <c r="C769" s="1">
        <v>45574</v>
      </c>
      <c r="D769" s="1">
        <v>45576</v>
      </c>
      <c r="E769" t="s">
        <v>70</v>
      </c>
      <c r="F769" t="s">
        <v>12</v>
      </c>
    </row>
    <row r="770" spans="1:6" x14ac:dyDescent="0.3">
      <c r="A770">
        <v>769</v>
      </c>
      <c r="B770">
        <v>769</v>
      </c>
      <c r="C770" s="1">
        <v>45468</v>
      </c>
      <c r="D770" s="1">
        <v>45475</v>
      </c>
      <c r="E770" t="s">
        <v>68</v>
      </c>
      <c r="F770" t="s">
        <v>12</v>
      </c>
    </row>
    <row r="771" spans="1:6" x14ac:dyDescent="0.3">
      <c r="A771">
        <v>770</v>
      </c>
      <c r="B771">
        <v>770</v>
      </c>
      <c r="C771" s="1">
        <v>45389</v>
      </c>
      <c r="D771" s="1">
        <v>45396</v>
      </c>
      <c r="E771" t="s">
        <v>70</v>
      </c>
      <c r="F771" t="s">
        <v>69</v>
      </c>
    </row>
    <row r="772" spans="1:6" x14ac:dyDescent="0.3">
      <c r="A772">
        <v>771</v>
      </c>
      <c r="B772">
        <v>771</v>
      </c>
      <c r="C772" s="1">
        <v>45306</v>
      </c>
      <c r="D772" s="1">
        <v>45308</v>
      </c>
      <c r="E772" t="s">
        <v>72</v>
      </c>
      <c r="F772" t="s">
        <v>12</v>
      </c>
    </row>
    <row r="773" spans="1:6" x14ac:dyDescent="0.3">
      <c r="A773">
        <v>772</v>
      </c>
      <c r="B773">
        <v>772</v>
      </c>
      <c r="C773" s="1">
        <v>45472</v>
      </c>
      <c r="D773" s="1">
        <v>45474</v>
      </c>
      <c r="E773" t="s">
        <v>70</v>
      </c>
      <c r="F773" t="s">
        <v>12</v>
      </c>
    </row>
    <row r="774" spans="1:6" x14ac:dyDescent="0.3">
      <c r="A774">
        <v>773</v>
      </c>
      <c r="B774">
        <v>773</v>
      </c>
      <c r="C774" s="1">
        <v>45550</v>
      </c>
      <c r="D774" s="1">
        <v>45552</v>
      </c>
      <c r="E774" t="s">
        <v>72</v>
      </c>
      <c r="F774" t="s">
        <v>69</v>
      </c>
    </row>
    <row r="775" spans="1:6" x14ac:dyDescent="0.3">
      <c r="A775">
        <v>774</v>
      </c>
      <c r="B775">
        <v>774</v>
      </c>
      <c r="C775" s="1">
        <v>45442</v>
      </c>
      <c r="D775" s="1">
        <v>45449</v>
      </c>
      <c r="E775" t="s">
        <v>71</v>
      </c>
      <c r="F775" t="s">
        <v>12</v>
      </c>
    </row>
    <row r="776" spans="1:6" x14ac:dyDescent="0.3">
      <c r="A776">
        <v>775</v>
      </c>
      <c r="B776">
        <v>775</v>
      </c>
      <c r="C776" s="1">
        <v>45525</v>
      </c>
      <c r="D776" s="1">
        <v>45527</v>
      </c>
      <c r="E776" t="s">
        <v>70</v>
      </c>
      <c r="F776" t="s">
        <v>69</v>
      </c>
    </row>
    <row r="777" spans="1:6" x14ac:dyDescent="0.3">
      <c r="A777">
        <v>776</v>
      </c>
      <c r="B777">
        <v>776</v>
      </c>
      <c r="C777" s="1">
        <v>45390</v>
      </c>
      <c r="D777" s="1">
        <v>45394</v>
      </c>
      <c r="E777" t="s">
        <v>72</v>
      </c>
      <c r="F777" t="s">
        <v>69</v>
      </c>
    </row>
    <row r="778" spans="1:6" x14ac:dyDescent="0.3">
      <c r="A778">
        <v>777</v>
      </c>
      <c r="B778">
        <v>777</v>
      </c>
      <c r="C778" s="1">
        <v>45649</v>
      </c>
      <c r="D778" s="1">
        <v>45658</v>
      </c>
      <c r="E778" t="s">
        <v>72</v>
      </c>
      <c r="F778" t="s">
        <v>12</v>
      </c>
    </row>
    <row r="779" spans="1:6" x14ac:dyDescent="0.3">
      <c r="A779">
        <v>778</v>
      </c>
      <c r="B779">
        <v>778</v>
      </c>
      <c r="C779" s="1">
        <v>45380</v>
      </c>
      <c r="D779" s="1">
        <v>45386</v>
      </c>
      <c r="E779" t="s">
        <v>71</v>
      </c>
      <c r="F779" t="s">
        <v>69</v>
      </c>
    </row>
    <row r="780" spans="1:6" x14ac:dyDescent="0.3">
      <c r="A780">
        <v>779</v>
      </c>
      <c r="B780">
        <v>779</v>
      </c>
      <c r="C780" s="1">
        <v>45434</v>
      </c>
      <c r="D780" s="1">
        <v>45440</v>
      </c>
      <c r="E780" t="s">
        <v>71</v>
      </c>
      <c r="F780" t="s">
        <v>12</v>
      </c>
    </row>
    <row r="781" spans="1:6" x14ac:dyDescent="0.3">
      <c r="A781">
        <v>780</v>
      </c>
      <c r="B781">
        <v>780</v>
      </c>
      <c r="C781" s="1">
        <v>45513</v>
      </c>
      <c r="D781" s="1">
        <v>45522</v>
      </c>
      <c r="E781" t="s">
        <v>71</v>
      </c>
      <c r="F781" t="s">
        <v>12</v>
      </c>
    </row>
    <row r="782" spans="1:6" x14ac:dyDescent="0.3">
      <c r="A782">
        <v>781</v>
      </c>
      <c r="B782">
        <v>781</v>
      </c>
      <c r="C782" s="1">
        <v>45600</v>
      </c>
      <c r="D782" s="1">
        <v>45606</v>
      </c>
      <c r="E782" t="s">
        <v>68</v>
      </c>
      <c r="F782" t="s">
        <v>12</v>
      </c>
    </row>
    <row r="783" spans="1:6" x14ac:dyDescent="0.3">
      <c r="A783">
        <v>782</v>
      </c>
      <c r="B783">
        <v>782</v>
      </c>
      <c r="C783" s="1">
        <v>45323</v>
      </c>
      <c r="D783" s="1">
        <v>45327</v>
      </c>
      <c r="E783" t="s">
        <v>70</v>
      </c>
      <c r="F783" t="s">
        <v>12</v>
      </c>
    </row>
    <row r="784" spans="1:6" x14ac:dyDescent="0.3">
      <c r="A784">
        <v>783</v>
      </c>
      <c r="B784">
        <v>783</v>
      </c>
      <c r="C784" s="1">
        <v>45322</v>
      </c>
      <c r="D784" s="1">
        <v>45328</v>
      </c>
      <c r="E784" t="s">
        <v>70</v>
      </c>
      <c r="F784" t="s">
        <v>69</v>
      </c>
    </row>
    <row r="785" spans="1:6" x14ac:dyDescent="0.3">
      <c r="A785">
        <v>784</v>
      </c>
      <c r="B785">
        <v>784</v>
      </c>
      <c r="C785" s="1">
        <v>45603</v>
      </c>
      <c r="D785" s="1">
        <v>45605</v>
      </c>
      <c r="E785" t="s">
        <v>68</v>
      </c>
      <c r="F785" t="s">
        <v>12</v>
      </c>
    </row>
    <row r="786" spans="1:6" x14ac:dyDescent="0.3">
      <c r="A786">
        <v>785</v>
      </c>
      <c r="B786">
        <v>785</v>
      </c>
      <c r="C786" s="1">
        <v>45394</v>
      </c>
      <c r="D786" s="1">
        <v>45400</v>
      </c>
      <c r="E786" t="s">
        <v>72</v>
      </c>
      <c r="F786" t="s">
        <v>12</v>
      </c>
    </row>
    <row r="787" spans="1:6" x14ac:dyDescent="0.3">
      <c r="A787">
        <v>786</v>
      </c>
      <c r="B787">
        <v>786</v>
      </c>
      <c r="C787" s="1">
        <v>45294</v>
      </c>
      <c r="D787" s="1">
        <v>45301</v>
      </c>
      <c r="E787" t="s">
        <v>72</v>
      </c>
      <c r="F787" t="s">
        <v>69</v>
      </c>
    </row>
    <row r="788" spans="1:6" x14ac:dyDescent="0.3">
      <c r="A788">
        <v>787</v>
      </c>
      <c r="B788">
        <v>787</v>
      </c>
      <c r="C788" s="1">
        <v>45381</v>
      </c>
      <c r="D788" s="1">
        <v>45382</v>
      </c>
      <c r="E788" t="s">
        <v>70</v>
      </c>
      <c r="F788" t="s">
        <v>69</v>
      </c>
    </row>
    <row r="789" spans="1:6" x14ac:dyDescent="0.3">
      <c r="A789">
        <v>788</v>
      </c>
      <c r="B789">
        <v>788</v>
      </c>
      <c r="C789" s="1">
        <v>45440</v>
      </c>
      <c r="D789" s="1">
        <v>45445</v>
      </c>
      <c r="E789" t="s">
        <v>70</v>
      </c>
      <c r="F789" t="s">
        <v>12</v>
      </c>
    </row>
    <row r="790" spans="1:6" x14ac:dyDescent="0.3">
      <c r="A790">
        <v>789</v>
      </c>
      <c r="B790">
        <v>789</v>
      </c>
      <c r="C790" s="1">
        <v>45312</v>
      </c>
      <c r="D790" s="1">
        <v>45314</v>
      </c>
      <c r="E790" t="s">
        <v>71</v>
      </c>
      <c r="F790" t="s">
        <v>69</v>
      </c>
    </row>
    <row r="791" spans="1:6" x14ac:dyDescent="0.3">
      <c r="A791">
        <v>790</v>
      </c>
      <c r="B791">
        <v>790</v>
      </c>
      <c r="C791" s="1">
        <v>45503</v>
      </c>
      <c r="D791" s="1">
        <v>45506</v>
      </c>
      <c r="E791" t="s">
        <v>70</v>
      </c>
      <c r="F791" t="s">
        <v>69</v>
      </c>
    </row>
    <row r="792" spans="1:6" x14ac:dyDescent="0.3">
      <c r="A792">
        <v>791</v>
      </c>
      <c r="B792">
        <v>791</v>
      </c>
      <c r="C792" s="1">
        <v>45620</v>
      </c>
      <c r="D792" s="1">
        <v>45625</v>
      </c>
      <c r="E792" t="s">
        <v>70</v>
      </c>
      <c r="F792" t="s">
        <v>12</v>
      </c>
    </row>
    <row r="793" spans="1:6" x14ac:dyDescent="0.3">
      <c r="A793">
        <v>792</v>
      </c>
      <c r="B793">
        <v>792</v>
      </c>
      <c r="C793" s="1">
        <v>45500</v>
      </c>
      <c r="D793" s="1">
        <v>45505</v>
      </c>
      <c r="E793" t="s">
        <v>70</v>
      </c>
      <c r="F793" t="s">
        <v>69</v>
      </c>
    </row>
    <row r="794" spans="1:6" x14ac:dyDescent="0.3">
      <c r="A794">
        <v>793</v>
      </c>
      <c r="B794">
        <v>793</v>
      </c>
      <c r="C794" s="1">
        <v>45653</v>
      </c>
      <c r="D794" s="1">
        <v>45659</v>
      </c>
      <c r="E794" t="s">
        <v>70</v>
      </c>
      <c r="F794" t="s">
        <v>12</v>
      </c>
    </row>
    <row r="795" spans="1:6" x14ac:dyDescent="0.3">
      <c r="A795">
        <v>794</v>
      </c>
      <c r="B795">
        <v>794</v>
      </c>
      <c r="C795" s="1">
        <v>45353</v>
      </c>
      <c r="D795" s="1">
        <v>45356</v>
      </c>
      <c r="E795" t="s">
        <v>71</v>
      </c>
      <c r="F795" t="s">
        <v>12</v>
      </c>
    </row>
    <row r="796" spans="1:6" x14ac:dyDescent="0.3">
      <c r="A796">
        <v>795</v>
      </c>
      <c r="B796">
        <v>795</v>
      </c>
      <c r="C796" s="1">
        <v>45348</v>
      </c>
      <c r="D796" s="1">
        <v>45350</v>
      </c>
      <c r="E796" t="s">
        <v>71</v>
      </c>
      <c r="F796" t="s">
        <v>69</v>
      </c>
    </row>
    <row r="797" spans="1:6" x14ac:dyDescent="0.3">
      <c r="A797">
        <v>796</v>
      </c>
      <c r="B797">
        <v>796</v>
      </c>
      <c r="C797" s="1">
        <v>45423</v>
      </c>
      <c r="D797" s="1">
        <v>45430</v>
      </c>
      <c r="E797" t="s">
        <v>70</v>
      </c>
      <c r="F797" t="s">
        <v>12</v>
      </c>
    </row>
    <row r="798" spans="1:6" x14ac:dyDescent="0.3">
      <c r="A798">
        <v>797</v>
      </c>
      <c r="B798">
        <v>797</v>
      </c>
      <c r="C798" s="1">
        <v>45478</v>
      </c>
      <c r="D798" s="1">
        <v>45486</v>
      </c>
      <c r="E798" t="s">
        <v>72</v>
      </c>
      <c r="F798" t="s">
        <v>69</v>
      </c>
    </row>
    <row r="799" spans="1:6" x14ac:dyDescent="0.3">
      <c r="A799">
        <v>798</v>
      </c>
      <c r="B799">
        <v>798</v>
      </c>
      <c r="C799" s="1">
        <v>45374</v>
      </c>
      <c r="D799" s="1">
        <v>45384</v>
      </c>
      <c r="E799" t="s">
        <v>72</v>
      </c>
      <c r="F799" t="s">
        <v>69</v>
      </c>
    </row>
    <row r="800" spans="1:6" x14ac:dyDescent="0.3">
      <c r="A800">
        <v>799</v>
      </c>
      <c r="B800">
        <v>799</v>
      </c>
      <c r="C800" s="1">
        <v>45467</v>
      </c>
      <c r="D800" s="1">
        <v>45476</v>
      </c>
      <c r="E800" t="s">
        <v>71</v>
      </c>
      <c r="F800" t="s">
        <v>12</v>
      </c>
    </row>
    <row r="801" spans="1:6" x14ac:dyDescent="0.3">
      <c r="A801">
        <v>800</v>
      </c>
      <c r="B801">
        <v>800</v>
      </c>
      <c r="C801" s="1">
        <v>45433</v>
      </c>
      <c r="D801" s="1">
        <v>45434</v>
      </c>
      <c r="E801" t="s">
        <v>68</v>
      </c>
      <c r="F801" t="s">
        <v>69</v>
      </c>
    </row>
    <row r="802" spans="1:6" x14ac:dyDescent="0.3">
      <c r="A802">
        <v>801</v>
      </c>
      <c r="B802">
        <v>801</v>
      </c>
      <c r="C802" s="1">
        <v>45567</v>
      </c>
      <c r="D802" s="1">
        <v>45572</v>
      </c>
      <c r="E802" t="s">
        <v>70</v>
      </c>
      <c r="F802" t="s">
        <v>69</v>
      </c>
    </row>
    <row r="803" spans="1:6" x14ac:dyDescent="0.3">
      <c r="A803">
        <v>802</v>
      </c>
      <c r="B803">
        <v>802</v>
      </c>
      <c r="C803" s="1">
        <v>45547</v>
      </c>
      <c r="D803" s="1">
        <v>45554</v>
      </c>
      <c r="E803" t="s">
        <v>72</v>
      </c>
      <c r="F803" t="s">
        <v>69</v>
      </c>
    </row>
    <row r="804" spans="1:6" x14ac:dyDescent="0.3">
      <c r="A804">
        <v>803</v>
      </c>
      <c r="B804">
        <v>803</v>
      </c>
      <c r="C804" s="1">
        <v>45324</v>
      </c>
      <c r="D804" s="1">
        <v>45326</v>
      </c>
      <c r="E804" t="s">
        <v>72</v>
      </c>
      <c r="F804" t="s">
        <v>12</v>
      </c>
    </row>
    <row r="805" spans="1:6" x14ac:dyDescent="0.3">
      <c r="A805">
        <v>804</v>
      </c>
      <c r="B805">
        <v>804</v>
      </c>
      <c r="C805" s="1">
        <v>45566</v>
      </c>
      <c r="D805" s="1">
        <v>45568</v>
      </c>
      <c r="E805" t="s">
        <v>68</v>
      </c>
      <c r="F805" t="s">
        <v>12</v>
      </c>
    </row>
    <row r="806" spans="1:6" x14ac:dyDescent="0.3">
      <c r="A806">
        <v>805</v>
      </c>
      <c r="B806">
        <v>805</v>
      </c>
      <c r="C806" s="1">
        <v>45344</v>
      </c>
      <c r="D806" s="1">
        <v>45348</v>
      </c>
      <c r="E806" t="s">
        <v>70</v>
      </c>
      <c r="F806" t="s">
        <v>12</v>
      </c>
    </row>
    <row r="807" spans="1:6" x14ac:dyDescent="0.3">
      <c r="A807">
        <v>806</v>
      </c>
      <c r="B807">
        <v>806</v>
      </c>
      <c r="C807" s="1">
        <v>45367</v>
      </c>
      <c r="D807" s="1">
        <v>45374</v>
      </c>
      <c r="E807" t="s">
        <v>71</v>
      </c>
      <c r="F807" t="s">
        <v>12</v>
      </c>
    </row>
    <row r="808" spans="1:6" x14ac:dyDescent="0.3">
      <c r="A808">
        <v>807</v>
      </c>
      <c r="B808">
        <v>807</v>
      </c>
      <c r="C808" s="1">
        <v>45651</v>
      </c>
      <c r="D808" s="1">
        <v>45653</v>
      </c>
      <c r="E808" t="s">
        <v>71</v>
      </c>
      <c r="F808" t="s">
        <v>69</v>
      </c>
    </row>
    <row r="809" spans="1:6" x14ac:dyDescent="0.3">
      <c r="A809">
        <v>808</v>
      </c>
      <c r="B809">
        <v>808</v>
      </c>
      <c r="C809" s="1">
        <v>45565</v>
      </c>
      <c r="D809" s="1">
        <v>45567</v>
      </c>
      <c r="E809" t="s">
        <v>71</v>
      </c>
      <c r="F809" t="s">
        <v>12</v>
      </c>
    </row>
    <row r="810" spans="1:6" x14ac:dyDescent="0.3">
      <c r="A810">
        <v>809</v>
      </c>
      <c r="B810">
        <v>809</v>
      </c>
      <c r="C810" s="1">
        <v>45304</v>
      </c>
      <c r="D810" s="1">
        <v>45307</v>
      </c>
      <c r="E810" t="s">
        <v>71</v>
      </c>
      <c r="F810" t="s">
        <v>12</v>
      </c>
    </row>
    <row r="811" spans="1:6" x14ac:dyDescent="0.3">
      <c r="A811">
        <v>810</v>
      </c>
      <c r="B811">
        <v>810</v>
      </c>
      <c r="C811" s="1">
        <v>45636</v>
      </c>
      <c r="D811" s="1">
        <v>45645</v>
      </c>
      <c r="E811" t="s">
        <v>70</v>
      </c>
      <c r="F811" t="s">
        <v>12</v>
      </c>
    </row>
    <row r="812" spans="1:6" x14ac:dyDescent="0.3">
      <c r="A812">
        <v>811</v>
      </c>
      <c r="B812">
        <v>811</v>
      </c>
      <c r="C812" s="1">
        <v>45458</v>
      </c>
      <c r="D812" s="1">
        <v>45467</v>
      </c>
      <c r="E812" t="s">
        <v>71</v>
      </c>
      <c r="F812" t="s">
        <v>12</v>
      </c>
    </row>
    <row r="813" spans="1:6" x14ac:dyDescent="0.3">
      <c r="A813">
        <v>812</v>
      </c>
      <c r="B813">
        <v>812</v>
      </c>
      <c r="C813" s="1">
        <v>45572</v>
      </c>
      <c r="D813" s="1">
        <v>45573</v>
      </c>
      <c r="E813" t="s">
        <v>71</v>
      </c>
      <c r="F813" t="s">
        <v>69</v>
      </c>
    </row>
    <row r="814" spans="1:6" x14ac:dyDescent="0.3">
      <c r="A814">
        <v>813</v>
      </c>
      <c r="B814">
        <v>813</v>
      </c>
      <c r="C814" s="1">
        <v>45377</v>
      </c>
      <c r="D814" s="1">
        <v>45383</v>
      </c>
      <c r="E814" t="s">
        <v>71</v>
      </c>
      <c r="F814" t="s">
        <v>69</v>
      </c>
    </row>
    <row r="815" spans="1:6" x14ac:dyDescent="0.3">
      <c r="A815">
        <v>814</v>
      </c>
      <c r="B815">
        <v>814</v>
      </c>
      <c r="C815" s="1">
        <v>45441</v>
      </c>
      <c r="D815" s="1">
        <v>45449</v>
      </c>
      <c r="E815" t="s">
        <v>72</v>
      </c>
      <c r="F815" t="s">
        <v>12</v>
      </c>
    </row>
    <row r="816" spans="1:6" x14ac:dyDescent="0.3">
      <c r="A816">
        <v>815</v>
      </c>
      <c r="B816">
        <v>815</v>
      </c>
      <c r="C816" s="1">
        <v>45520</v>
      </c>
      <c r="D816" s="1">
        <v>45524</v>
      </c>
      <c r="E816" t="s">
        <v>71</v>
      </c>
      <c r="F816" t="s">
        <v>69</v>
      </c>
    </row>
    <row r="817" spans="1:6" x14ac:dyDescent="0.3">
      <c r="A817">
        <v>816</v>
      </c>
      <c r="B817">
        <v>816</v>
      </c>
      <c r="C817" s="1">
        <v>45296</v>
      </c>
      <c r="D817" s="1">
        <v>45306</v>
      </c>
      <c r="E817" t="s">
        <v>68</v>
      </c>
      <c r="F817" t="s">
        <v>69</v>
      </c>
    </row>
    <row r="818" spans="1:6" x14ac:dyDescent="0.3">
      <c r="A818">
        <v>817</v>
      </c>
      <c r="B818">
        <v>817</v>
      </c>
      <c r="C818" s="1">
        <v>45375</v>
      </c>
      <c r="D818" s="1">
        <v>45382</v>
      </c>
      <c r="E818" t="s">
        <v>71</v>
      </c>
      <c r="F818" t="s">
        <v>12</v>
      </c>
    </row>
    <row r="819" spans="1:6" x14ac:dyDescent="0.3">
      <c r="A819">
        <v>818</v>
      </c>
      <c r="B819">
        <v>818</v>
      </c>
      <c r="C819" s="1">
        <v>45310</v>
      </c>
      <c r="D819" s="1">
        <v>45318</v>
      </c>
      <c r="E819" t="s">
        <v>72</v>
      </c>
      <c r="F819" t="s">
        <v>69</v>
      </c>
    </row>
    <row r="820" spans="1:6" x14ac:dyDescent="0.3">
      <c r="A820">
        <v>819</v>
      </c>
      <c r="B820">
        <v>819</v>
      </c>
      <c r="C820" s="1">
        <v>45632</v>
      </c>
      <c r="D820" s="1">
        <v>45641</v>
      </c>
      <c r="E820" t="s">
        <v>71</v>
      </c>
      <c r="F820" t="s">
        <v>69</v>
      </c>
    </row>
    <row r="821" spans="1:6" x14ac:dyDescent="0.3">
      <c r="A821">
        <v>820</v>
      </c>
      <c r="B821">
        <v>820</v>
      </c>
      <c r="C821" s="1">
        <v>45515</v>
      </c>
      <c r="D821" s="1">
        <v>45521</v>
      </c>
      <c r="E821" t="s">
        <v>70</v>
      </c>
      <c r="F821" t="s">
        <v>12</v>
      </c>
    </row>
    <row r="822" spans="1:6" x14ac:dyDescent="0.3">
      <c r="A822">
        <v>821</v>
      </c>
      <c r="B822">
        <v>821</v>
      </c>
      <c r="C822" s="1">
        <v>45378</v>
      </c>
      <c r="D822" s="1">
        <v>45385</v>
      </c>
      <c r="E822" t="s">
        <v>72</v>
      </c>
      <c r="F822" t="s">
        <v>12</v>
      </c>
    </row>
    <row r="823" spans="1:6" x14ac:dyDescent="0.3">
      <c r="A823">
        <v>822</v>
      </c>
      <c r="B823">
        <v>822</v>
      </c>
      <c r="C823" s="1">
        <v>45453</v>
      </c>
      <c r="D823" s="1">
        <v>45461</v>
      </c>
      <c r="E823" t="s">
        <v>72</v>
      </c>
      <c r="F823" t="s">
        <v>12</v>
      </c>
    </row>
    <row r="824" spans="1:6" x14ac:dyDescent="0.3">
      <c r="A824">
        <v>823</v>
      </c>
      <c r="B824">
        <v>823</v>
      </c>
      <c r="C824" s="1">
        <v>45488</v>
      </c>
      <c r="D824" s="1">
        <v>45492</v>
      </c>
      <c r="E824" t="s">
        <v>71</v>
      </c>
      <c r="F824" t="s">
        <v>69</v>
      </c>
    </row>
    <row r="825" spans="1:6" x14ac:dyDescent="0.3">
      <c r="A825">
        <v>824</v>
      </c>
      <c r="B825">
        <v>824</v>
      </c>
      <c r="C825" s="1">
        <v>45474</v>
      </c>
      <c r="D825" s="1">
        <v>45478</v>
      </c>
      <c r="E825" t="s">
        <v>68</v>
      </c>
      <c r="F825" t="s">
        <v>69</v>
      </c>
    </row>
    <row r="826" spans="1:6" x14ac:dyDescent="0.3">
      <c r="A826">
        <v>825</v>
      </c>
      <c r="B826">
        <v>825</v>
      </c>
      <c r="C826" s="1">
        <v>45401</v>
      </c>
      <c r="D826" s="1">
        <v>45410</v>
      </c>
      <c r="E826" t="s">
        <v>70</v>
      </c>
      <c r="F826" t="s">
        <v>12</v>
      </c>
    </row>
    <row r="827" spans="1:6" x14ac:dyDescent="0.3">
      <c r="A827">
        <v>826</v>
      </c>
      <c r="B827">
        <v>826</v>
      </c>
      <c r="C827" s="1">
        <v>45320</v>
      </c>
      <c r="D827" s="1">
        <v>45322</v>
      </c>
      <c r="E827" t="s">
        <v>71</v>
      </c>
      <c r="F827" t="s">
        <v>12</v>
      </c>
    </row>
    <row r="828" spans="1:6" x14ac:dyDescent="0.3">
      <c r="A828">
        <v>827</v>
      </c>
      <c r="B828">
        <v>827</v>
      </c>
      <c r="C828" s="1">
        <v>45301</v>
      </c>
      <c r="D828" s="1">
        <v>45309</v>
      </c>
      <c r="E828" t="s">
        <v>68</v>
      </c>
      <c r="F828" t="s">
        <v>12</v>
      </c>
    </row>
    <row r="829" spans="1:6" x14ac:dyDescent="0.3">
      <c r="A829">
        <v>828</v>
      </c>
      <c r="B829">
        <v>828</v>
      </c>
      <c r="C829" s="1">
        <v>45327</v>
      </c>
      <c r="D829" s="1">
        <v>45333</v>
      </c>
      <c r="E829" t="s">
        <v>71</v>
      </c>
      <c r="F829" t="s">
        <v>69</v>
      </c>
    </row>
    <row r="830" spans="1:6" x14ac:dyDescent="0.3">
      <c r="A830">
        <v>829</v>
      </c>
      <c r="B830">
        <v>829</v>
      </c>
      <c r="C830" s="1">
        <v>45515</v>
      </c>
      <c r="D830" s="1">
        <v>45523</v>
      </c>
      <c r="E830" t="s">
        <v>71</v>
      </c>
      <c r="F830" t="s">
        <v>12</v>
      </c>
    </row>
    <row r="831" spans="1:6" x14ac:dyDescent="0.3">
      <c r="A831">
        <v>830</v>
      </c>
      <c r="B831">
        <v>830</v>
      </c>
      <c r="C831" s="1">
        <v>45397</v>
      </c>
      <c r="D831" s="1">
        <v>45399</v>
      </c>
      <c r="E831" t="s">
        <v>70</v>
      </c>
      <c r="F831" t="s">
        <v>12</v>
      </c>
    </row>
    <row r="832" spans="1:6" x14ac:dyDescent="0.3">
      <c r="A832">
        <v>831</v>
      </c>
      <c r="B832">
        <v>831</v>
      </c>
      <c r="C832" s="1">
        <v>45418</v>
      </c>
      <c r="D832" s="1">
        <v>45425</v>
      </c>
      <c r="E832" t="s">
        <v>72</v>
      </c>
      <c r="F832" t="s">
        <v>12</v>
      </c>
    </row>
    <row r="833" spans="1:6" x14ac:dyDescent="0.3">
      <c r="A833">
        <v>832</v>
      </c>
      <c r="B833">
        <v>832</v>
      </c>
      <c r="C833" s="1">
        <v>45386</v>
      </c>
      <c r="D833" s="1">
        <v>45389</v>
      </c>
      <c r="E833" t="s">
        <v>71</v>
      </c>
      <c r="F833" t="s">
        <v>12</v>
      </c>
    </row>
    <row r="834" spans="1:6" x14ac:dyDescent="0.3">
      <c r="A834">
        <v>833</v>
      </c>
      <c r="B834">
        <v>833</v>
      </c>
      <c r="C834" s="1">
        <v>45330</v>
      </c>
      <c r="D834" s="1">
        <v>45337</v>
      </c>
      <c r="E834" t="s">
        <v>71</v>
      </c>
      <c r="F834" t="s">
        <v>12</v>
      </c>
    </row>
    <row r="835" spans="1:6" x14ac:dyDescent="0.3">
      <c r="A835">
        <v>834</v>
      </c>
      <c r="B835">
        <v>834</v>
      </c>
      <c r="C835" s="1">
        <v>45580</v>
      </c>
      <c r="D835" s="1">
        <v>45581</v>
      </c>
      <c r="E835" t="s">
        <v>71</v>
      </c>
      <c r="F835" t="s">
        <v>69</v>
      </c>
    </row>
    <row r="836" spans="1:6" x14ac:dyDescent="0.3">
      <c r="A836">
        <v>835</v>
      </c>
      <c r="B836">
        <v>835</v>
      </c>
      <c r="C836" s="1">
        <v>45644</v>
      </c>
      <c r="D836" s="1">
        <v>45650</v>
      </c>
      <c r="E836" t="s">
        <v>68</v>
      </c>
      <c r="F836" t="s">
        <v>69</v>
      </c>
    </row>
    <row r="837" spans="1:6" x14ac:dyDescent="0.3">
      <c r="A837">
        <v>836</v>
      </c>
      <c r="B837">
        <v>836</v>
      </c>
      <c r="C837" s="1">
        <v>45459</v>
      </c>
      <c r="D837" s="1">
        <v>45464</v>
      </c>
      <c r="E837" t="s">
        <v>70</v>
      </c>
      <c r="F837" t="s">
        <v>69</v>
      </c>
    </row>
    <row r="838" spans="1:6" x14ac:dyDescent="0.3">
      <c r="A838">
        <v>837</v>
      </c>
      <c r="B838">
        <v>837</v>
      </c>
      <c r="C838" s="1">
        <v>45319</v>
      </c>
      <c r="D838" s="1">
        <v>45326</v>
      </c>
      <c r="E838" t="s">
        <v>72</v>
      </c>
      <c r="F838" t="s">
        <v>69</v>
      </c>
    </row>
    <row r="839" spans="1:6" x14ac:dyDescent="0.3">
      <c r="A839">
        <v>838</v>
      </c>
      <c r="B839">
        <v>838</v>
      </c>
      <c r="C839" s="1">
        <v>45525</v>
      </c>
      <c r="D839" s="1">
        <v>45526</v>
      </c>
      <c r="E839" t="s">
        <v>72</v>
      </c>
      <c r="F839" t="s">
        <v>12</v>
      </c>
    </row>
    <row r="840" spans="1:6" x14ac:dyDescent="0.3">
      <c r="A840">
        <v>839</v>
      </c>
      <c r="B840">
        <v>839</v>
      </c>
      <c r="C840" s="1">
        <v>45556</v>
      </c>
      <c r="D840" s="1">
        <v>45566</v>
      </c>
      <c r="E840" t="s">
        <v>72</v>
      </c>
      <c r="F840" t="s">
        <v>12</v>
      </c>
    </row>
    <row r="841" spans="1:6" x14ac:dyDescent="0.3">
      <c r="A841">
        <v>840</v>
      </c>
      <c r="B841">
        <v>840</v>
      </c>
      <c r="C841" s="1">
        <v>45382</v>
      </c>
      <c r="D841" s="1">
        <v>45390</v>
      </c>
      <c r="E841" t="s">
        <v>72</v>
      </c>
      <c r="F841" t="s">
        <v>12</v>
      </c>
    </row>
    <row r="842" spans="1:6" x14ac:dyDescent="0.3">
      <c r="A842">
        <v>841</v>
      </c>
      <c r="B842">
        <v>841</v>
      </c>
      <c r="C842" s="1">
        <v>45328</v>
      </c>
      <c r="D842" s="1">
        <v>45333</v>
      </c>
      <c r="E842" t="s">
        <v>72</v>
      </c>
      <c r="F842" t="s">
        <v>12</v>
      </c>
    </row>
    <row r="843" spans="1:6" x14ac:dyDescent="0.3">
      <c r="A843">
        <v>842</v>
      </c>
      <c r="B843">
        <v>842</v>
      </c>
      <c r="C843" s="1">
        <v>45350</v>
      </c>
      <c r="D843" s="1">
        <v>45352</v>
      </c>
      <c r="E843" t="s">
        <v>72</v>
      </c>
      <c r="F843" t="s">
        <v>69</v>
      </c>
    </row>
    <row r="844" spans="1:6" x14ac:dyDescent="0.3">
      <c r="A844">
        <v>843</v>
      </c>
      <c r="B844">
        <v>843</v>
      </c>
      <c r="C844" s="1">
        <v>45328</v>
      </c>
      <c r="D844" s="1">
        <v>45336</v>
      </c>
      <c r="E844" t="s">
        <v>70</v>
      </c>
      <c r="F844" t="s">
        <v>12</v>
      </c>
    </row>
    <row r="845" spans="1:6" x14ac:dyDescent="0.3">
      <c r="A845">
        <v>844</v>
      </c>
      <c r="B845">
        <v>844</v>
      </c>
      <c r="C845" s="1">
        <v>45612</v>
      </c>
      <c r="D845" s="1">
        <v>45614</v>
      </c>
      <c r="E845" t="s">
        <v>72</v>
      </c>
      <c r="F845" t="s">
        <v>12</v>
      </c>
    </row>
    <row r="846" spans="1:6" x14ac:dyDescent="0.3">
      <c r="A846">
        <v>845</v>
      </c>
      <c r="B846">
        <v>845</v>
      </c>
      <c r="C846" s="1">
        <v>45487</v>
      </c>
      <c r="D846" s="1">
        <v>45497</v>
      </c>
      <c r="E846" t="s">
        <v>72</v>
      </c>
      <c r="F846" t="s">
        <v>12</v>
      </c>
    </row>
    <row r="847" spans="1:6" x14ac:dyDescent="0.3">
      <c r="A847">
        <v>846</v>
      </c>
      <c r="B847">
        <v>846</v>
      </c>
      <c r="C847" s="1">
        <v>45321</v>
      </c>
      <c r="D847" s="1">
        <v>45328</v>
      </c>
      <c r="E847" t="s">
        <v>71</v>
      </c>
      <c r="F847" t="s">
        <v>12</v>
      </c>
    </row>
    <row r="848" spans="1:6" x14ac:dyDescent="0.3">
      <c r="A848">
        <v>847</v>
      </c>
      <c r="B848">
        <v>847</v>
      </c>
      <c r="C848" s="1">
        <v>45552</v>
      </c>
      <c r="D848" s="1">
        <v>45559</v>
      </c>
      <c r="E848" t="s">
        <v>71</v>
      </c>
      <c r="F848" t="s">
        <v>12</v>
      </c>
    </row>
    <row r="849" spans="1:6" x14ac:dyDescent="0.3">
      <c r="A849">
        <v>848</v>
      </c>
      <c r="B849">
        <v>848</v>
      </c>
      <c r="C849" s="1">
        <v>45473</v>
      </c>
      <c r="D849" s="1">
        <v>45477</v>
      </c>
      <c r="E849" t="s">
        <v>70</v>
      </c>
      <c r="F849" t="s">
        <v>12</v>
      </c>
    </row>
    <row r="850" spans="1:6" x14ac:dyDescent="0.3">
      <c r="A850">
        <v>849</v>
      </c>
      <c r="B850">
        <v>849</v>
      </c>
      <c r="C850" s="1">
        <v>45487</v>
      </c>
      <c r="D850" s="1">
        <v>45490</v>
      </c>
      <c r="E850" t="s">
        <v>70</v>
      </c>
      <c r="F850" t="s">
        <v>12</v>
      </c>
    </row>
    <row r="851" spans="1:6" x14ac:dyDescent="0.3">
      <c r="A851">
        <v>850</v>
      </c>
      <c r="B851">
        <v>850</v>
      </c>
      <c r="C851" s="1">
        <v>45653</v>
      </c>
      <c r="D851" s="1">
        <v>45658</v>
      </c>
      <c r="E851" t="s">
        <v>71</v>
      </c>
      <c r="F851" t="s">
        <v>69</v>
      </c>
    </row>
    <row r="852" spans="1:6" x14ac:dyDescent="0.3">
      <c r="A852">
        <v>851</v>
      </c>
      <c r="B852">
        <v>851</v>
      </c>
      <c r="C852" s="1">
        <v>45383</v>
      </c>
      <c r="D852" s="1">
        <v>45386</v>
      </c>
      <c r="E852" t="s">
        <v>70</v>
      </c>
      <c r="F852" t="s">
        <v>69</v>
      </c>
    </row>
    <row r="853" spans="1:6" x14ac:dyDescent="0.3">
      <c r="A853">
        <v>852</v>
      </c>
      <c r="B853">
        <v>852</v>
      </c>
      <c r="C853" s="1">
        <v>45339</v>
      </c>
      <c r="D853" s="1">
        <v>45349</v>
      </c>
      <c r="E853" t="s">
        <v>70</v>
      </c>
      <c r="F853" t="s">
        <v>12</v>
      </c>
    </row>
    <row r="854" spans="1:6" x14ac:dyDescent="0.3">
      <c r="A854">
        <v>853</v>
      </c>
      <c r="B854">
        <v>853</v>
      </c>
      <c r="C854" s="1">
        <v>45358</v>
      </c>
      <c r="D854" s="1">
        <v>45365</v>
      </c>
      <c r="E854" t="s">
        <v>71</v>
      </c>
      <c r="F854" t="s">
        <v>12</v>
      </c>
    </row>
    <row r="855" spans="1:6" x14ac:dyDescent="0.3">
      <c r="A855">
        <v>854</v>
      </c>
      <c r="B855">
        <v>854</v>
      </c>
      <c r="C855" s="1">
        <v>45315</v>
      </c>
      <c r="D855" s="1">
        <v>45321</v>
      </c>
      <c r="E855" t="s">
        <v>70</v>
      </c>
      <c r="F855" t="s">
        <v>12</v>
      </c>
    </row>
    <row r="856" spans="1:6" x14ac:dyDescent="0.3">
      <c r="A856">
        <v>855</v>
      </c>
      <c r="B856">
        <v>855</v>
      </c>
      <c r="C856" s="1">
        <v>45609</v>
      </c>
      <c r="D856" s="1">
        <v>45619</v>
      </c>
      <c r="E856" t="s">
        <v>72</v>
      </c>
      <c r="F856" t="s">
        <v>12</v>
      </c>
    </row>
    <row r="857" spans="1:6" x14ac:dyDescent="0.3">
      <c r="A857">
        <v>856</v>
      </c>
      <c r="B857">
        <v>856</v>
      </c>
      <c r="C857" s="1">
        <v>45501</v>
      </c>
      <c r="D857" s="1">
        <v>45505</v>
      </c>
      <c r="E857" t="s">
        <v>70</v>
      </c>
      <c r="F857" t="s">
        <v>69</v>
      </c>
    </row>
    <row r="858" spans="1:6" x14ac:dyDescent="0.3">
      <c r="A858">
        <v>857</v>
      </c>
      <c r="B858">
        <v>857</v>
      </c>
      <c r="C858" s="1">
        <v>45513</v>
      </c>
      <c r="D858" s="1">
        <v>45519</v>
      </c>
      <c r="E858" t="s">
        <v>68</v>
      </c>
      <c r="F858" t="s">
        <v>12</v>
      </c>
    </row>
    <row r="859" spans="1:6" x14ac:dyDescent="0.3">
      <c r="A859">
        <v>858</v>
      </c>
      <c r="B859">
        <v>858</v>
      </c>
      <c r="C859" s="1">
        <v>45391</v>
      </c>
      <c r="D859" s="1">
        <v>45398</v>
      </c>
      <c r="E859" t="s">
        <v>70</v>
      </c>
      <c r="F859" t="s">
        <v>69</v>
      </c>
    </row>
    <row r="860" spans="1:6" x14ac:dyDescent="0.3">
      <c r="A860">
        <v>859</v>
      </c>
      <c r="B860">
        <v>859</v>
      </c>
      <c r="C860" s="1">
        <v>45547</v>
      </c>
      <c r="D860" s="1">
        <v>45551</v>
      </c>
      <c r="E860" t="s">
        <v>68</v>
      </c>
      <c r="F860" t="s">
        <v>12</v>
      </c>
    </row>
    <row r="861" spans="1:6" x14ac:dyDescent="0.3">
      <c r="A861">
        <v>860</v>
      </c>
      <c r="B861">
        <v>860</v>
      </c>
      <c r="C861" s="1">
        <v>45603</v>
      </c>
      <c r="D861" s="1">
        <v>45609</v>
      </c>
      <c r="E861" t="s">
        <v>72</v>
      </c>
      <c r="F861" t="s">
        <v>69</v>
      </c>
    </row>
    <row r="862" spans="1:6" x14ac:dyDescent="0.3">
      <c r="A862">
        <v>861</v>
      </c>
      <c r="B862">
        <v>861</v>
      </c>
      <c r="C862" s="1">
        <v>45399</v>
      </c>
      <c r="D862" s="1">
        <v>45408</v>
      </c>
      <c r="E862" t="s">
        <v>72</v>
      </c>
      <c r="F862" t="s">
        <v>12</v>
      </c>
    </row>
    <row r="863" spans="1:6" x14ac:dyDescent="0.3">
      <c r="A863">
        <v>862</v>
      </c>
      <c r="B863">
        <v>862</v>
      </c>
      <c r="C863" s="1">
        <v>45325</v>
      </c>
      <c r="D863" s="1">
        <v>45335</v>
      </c>
      <c r="E863" t="s">
        <v>70</v>
      </c>
      <c r="F863" t="s">
        <v>69</v>
      </c>
    </row>
    <row r="864" spans="1:6" x14ac:dyDescent="0.3">
      <c r="A864">
        <v>863</v>
      </c>
      <c r="B864">
        <v>863</v>
      </c>
      <c r="C864" s="1">
        <v>45504</v>
      </c>
      <c r="D864" s="1">
        <v>45508</v>
      </c>
      <c r="E864" t="s">
        <v>68</v>
      </c>
      <c r="F864" t="s">
        <v>12</v>
      </c>
    </row>
    <row r="865" spans="1:6" x14ac:dyDescent="0.3">
      <c r="A865">
        <v>864</v>
      </c>
      <c r="B865">
        <v>864</v>
      </c>
      <c r="C865" s="1">
        <v>45584</v>
      </c>
      <c r="D865" s="1">
        <v>45585</v>
      </c>
      <c r="E865" t="s">
        <v>72</v>
      </c>
      <c r="F865" t="s">
        <v>12</v>
      </c>
    </row>
    <row r="866" spans="1:6" x14ac:dyDescent="0.3">
      <c r="A866">
        <v>865</v>
      </c>
      <c r="B866">
        <v>865</v>
      </c>
      <c r="C866" s="1">
        <v>45639</v>
      </c>
      <c r="D866" s="1">
        <v>45640</v>
      </c>
      <c r="E866" t="s">
        <v>72</v>
      </c>
      <c r="F866" t="s">
        <v>69</v>
      </c>
    </row>
    <row r="867" spans="1:6" x14ac:dyDescent="0.3">
      <c r="A867">
        <v>866</v>
      </c>
      <c r="B867">
        <v>866</v>
      </c>
      <c r="C867" s="1">
        <v>45539</v>
      </c>
      <c r="D867" s="1">
        <v>45544</v>
      </c>
      <c r="E867" t="s">
        <v>71</v>
      </c>
      <c r="F867" t="s">
        <v>12</v>
      </c>
    </row>
    <row r="868" spans="1:6" x14ac:dyDescent="0.3">
      <c r="A868">
        <v>867</v>
      </c>
      <c r="B868">
        <v>867</v>
      </c>
      <c r="C868" s="1">
        <v>45476</v>
      </c>
      <c r="D868" s="1">
        <v>45479</v>
      </c>
      <c r="E868" t="s">
        <v>68</v>
      </c>
      <c r="F868" t="s">
        <v>69</v>
      </c>
    </row>
    <row r="869" spans="1:6" x14ac:dyDescent="0.3">
      <c r="A869">
        <v>868</v>
      </c>
      <c r="B869">
        <v>868</v>
      </c>
      <c r="C869" s="1">
        <v>45405</v>
      </c>
      <c r="D869" s="1">
        <v>45407</v>
      </c>
      <c r="E869" t="s">
        <v>68</v>
      </c>
      <c r="F869" t="s">
        <v>69</v>
      </c>
    </row>
    <row r="870" spans="1:6" x14ac:dyDescent="0.3">
      <c r="A870">
        <v>869</v>
      </c>
      <c r="B870">
        <v>869</v>
      </c>
      <c r="C870" s="1">
        <v>45582</v>
      </c>
      <c r="D870" s="1">
        <v>45590</v>
      </c>
      <c r="E870" t="s">
        <v>68</v>
      </c>
      <c r="F870" t="s">
        <v>12</v>
      </c>
    </row>
    <row r="871" spans="1:6" x14ac:dyDescent="0.3">
      <c r="A871">
        <v>870</v>
      </c>
      <c r="B871">
        <v>870</v>
      </c>
      <c r="C871" s="1">
        <v>45657</v>
      </c>
      <c r="D871" s="1">
        <v>45667</v>
      </c>
      <c r="E871" t="s">
        <v>72</v>
      </c>
      <c r="F871" t="s">
        <v>12</v>
      </c>
    </row>
    <row r="872" spans="1:6" x14ac:dyDescent="0.3">
      <c r="A872">
        <v>871</v>
      </c>
      <c r="B872">
        <v>871</v>
      </c>
      <c r="C872" s="1">
        <v>45625</v>
      </c>
      <c r="D872" s="1">
        <v>45632</v>
      </c>
      <c r="E872" t="s">
        <v>70</v>
      </c>
      <c r="F872" t="s">
        <v>69</v>
      </c>
    </row>
    <row r="873" spans="1:6" x14ac:dyDescent="0.3">
      <c r="A873">
        <v>872</v>
      </c>
      <c r="B873">
        <v>872</v>
      </c>
      <c r="C873" s="1">
        <v>45322</v>
      </c>
      <c r="D873" s="1">
        <v>45326</v>
      </c>
      <c r="E873" t="s">
        <v>70</v>
      </c>
      <c r="F873" t="s">
        <v>69</v>
      </c>
    </row>
    <row r="874" spans="1:6" x14ac:dyDescent="0.3">
      <c r="A874">
        <v>873</v>
      </c>
      <c r="B874">
        <v>873</v>
      </c>
      <c r="C874" s="1">
        <v>45628</v>
      </c>
      <c r="D874" s="1">
        <v>45631</v>
      </c>
      <c r="E874" t="s">
        <v>68</v>
      </c>
      <c r="F874" t="s">
        <v>69</v>
      </c>
    </row>
    <row r="875" spans="1:6" x14ac:dyDescent="0.3">
      <c r="A875">
        <v>874</v>
      </c>
      <c r="B875">
        <v>874</v>
      </c>
      <c r="C875" s="1">
        <v>45421</v>
      </c>
      <c r="D875" s="1">
        <v>45427</v>
      </c>
      <c r="E875" t="s">
        <v>72</v>
      </c>
      <c r="F875" t="s">
        <v>12</v>
      </c>
    </row>
    <row r="876" spans="1:6" x14ac:dyDescent="0.3">
      <c r="A876">
        <v>875</v>
      </c>
      <c r="B876">
        <v>875</v>
      </c>
      <c r="C876" s="1">
        <v>45452</v>
      </c>
      <c r="D876" s="1">
        <v>45454</v>
      </c>
      <c r="E876" t="s">
        <v>70</v>
      </c>
      <c r="F876" t="s">
        <v>12</v>
      </c>
    </row>
    <row r="877" spans="1:6" x14ac:dyDescent="0.3">
      <c r="A877">
        <v>876</v>
      </c>
      <c r="B877">
        <v>876</v>
      </c>
      <c r="C877" s="1">
        <v>45432</v>
      </c>
      <c r="D877" s="1">
        <v>45438</v>
      </c>
      <c r="E877" t="s">
        <v>71</v>
      </c>
      <c r="F877" t="s">
        <v>12</v>
      </c>
    </row>
    <row r="878" spans="1:6" x14ac:dyDescent="0.3">
      <c r="A878">
        <v>877</v>
      </c>
      <c r="B878">
        <v>877</v>
      </c>
      <c r="C878" s="1">
        <v>45353</v>
      </c>
      <c r="D878" s="1">
        <v>45356</v>
      </c>
      <c r="E878" t="s">
        <v>71</v>
      </c>
      <c r="F878" t="s">
        <v>12</v>
      </c>
    </row>
    <row r="879" spans="1:6" x14ac:dyDescent="0.3">
      <c r="A879">
        <v>878</v>
      </c>
      <c r="B879">
        <v>878</v>
      </c>
      <c r="C879" s="1">
        <v>45642</v>
      </c>
      <c r="D879" s="1">
        <v>45652</v>
      </c>
      <c r="E879" t="s">
        <v>68</v>
      </c>
      <c r="F879" t="s">
        <v>69</v>
      </c>
    </row>
    <row r="880" spans="1:6" x14ac:dyDescent="0.3">
      <c r="A880">
        <v>879</v>
      </c>
      <c r="B880">
        <v>879</v>
      </c>
      <c r="C880" s="1">
        <v>45366</v>
      </c>
      <c r="D880" s="1">
        <v>45373</v>
      </c>
      <c r="E880" t="s">
        <v>71</v>
      </c>
      <c r="F880" t="s">
        <v>12</v>
      </c>
    </row>
    <row r="881" spans="1:6" x14ac:dyDescent="0.3">
      <c r="A881">
        <v>880</v>
      </c>
      <c r="B881">
        <v>880</v>
      </c>
      <c r="C881" s="1">
        <v>45571</v>
      </c>
      <c r="D881" s="1">
        <v>45573</v>
      </c>
      <c r="E881" t="s">
        <v>70</v>
      </c>
      <c r="F881" t="s">
        <v>69</v>
      </c>
    </row>
    <row r="882" spans="1:6" x14ac:dyDescent="0.3">
      <c r="A882">
        <v>881</v>
      </c>
      <c r="B882">
        <v>881</v>
      </c>
      <c r="C882" s="1">
        <v>45403</v>
      </c>
      <c r="D882" s="1">
        <v>45407</v>
      </c>
      <c r="E882" t="s">
        <v>72</v>
      </c>
      <c r="F882" t="s">
        <v>12</v>
      </c>
    </row>
    <row r="883" spans="1:6" x14ac:dyDescent="0.3">
      <c r="A883">
        <v>882</v>
      </c>
      <c r="B883">
        <v>882</v>
      </c>
      <c r="C883" s="1">
        <v>45386</v>
      </c>
      <c r="D883" s="1">
        <v>45396</v>
      </c>
      <c r="E883" t="s">
        <v>72</v>
      </c>
      <c r="F883" t="s">
        <v>69</v>
      </c>
    </row>
    <row r="884" spans="1:6" x14ac:dyDescent="0.3">
      <c r="A884">
        <v>883</v>
      </c>
      <c r="B884">
        <v>883</v>
      </c>
      <c r="C884" s="1">
        <v>45359</v>
      </c>
      <c r="D884" s="1">
        <v>45360</v>
      </c>
      <c r="E884" t="s">
        <v>71</v>
      </c>
      <c r="F884" t="s">
        <v>69</v>
      </c>
    </row>
    <row r="885" spans="1:6" x14ac:dyDescent="0.3">
      <c r="A885">
        <v>884</v>
      </c>
      <c r="B885">
        <v>884</v>
      </c>
      <c r="C885" s="1">
        <v>45418</v>
      </c>
      <c r="D885" s="1">
        <v>45420</v>
      </c>
      <c r="E885" t="s">
        <v>71</v>
      </c>
      <c r="F885" t="s">
        <v>12</v>
      </c>
    </row>
    <row r="886" spans="1:6" x14ac:dyDescent="0.3">
      <c r="A886">
        <v>885</v>
      </c>
      <c r="B886">
        <v>885</v>
      </c>
      <c r="C886" s="1">
        <v>45355</v>
      </c>
      <c r="D886" s="1">
        <v>45361</v>
      </c>
      <c r="E886" t="s">
        <v>72</v>
      </c>
      <c r="F886" t="s">
        <v>69</v>
      </c>
    </row>
    <row r="887" spans="1:6" x14ac:dyDescent="0.3">
      <c r="A887">
        <v>886</v>
      </c>
      <c r="B887">
        <v>886</v>
      </c>
      <c r="C887" s="1">
        <v>45342</v>
      </c>
      <c r="D887" s="1">
        <v>45344</v>
      </c>
      <c r="E887" t="s">
        <v>72</v>
      </c>
      <c r="F887" t="s">
        <v>69</v>
      </c>
    </row>
    <row r="888" spans="1:6" x14ac:dyDescent="0.3">
      <c r="A888">
        <v>887</v>
      </c>
      <c r="B888">
        <v>887</v>
      </c>
      <c r="C888" s="1">
        <v>45437</v>
      </c>
      <c r="D888" s="1">
        <v>45442</v>
      </c>
      <c r="E888" t="s">
        <v>68</v>
      </c>
      <c r="F888" t="s">
        <v>69</v>
      </c>
    </row>
    <row r="889" spans="1:6" x14ac:dyDescent="0.3">
      <c r="A889">
        <v>888</v>
      </c>
      <c r="B889">
        <v>888</v>
      </c>
      <c r="C889" s="1">
        <v>45302</v>
      </c>
      <c r="D889" s="1">
        <v>45311</v>
      </c>
      <c r="E889" t="s">
        <v>72</v>
      </c>
      <c r="F889" t="s">
        <v>12</v>
      </c>
    </row>
    <row r="890" spans="1:6" x14ac:dyDescent="0.3">
      <c r="A890">
        <v>889</v>
      </c>
      <c r="B890">
        <v>889</v>
      </c>
      <c r="C890" s="1">
        <v>45638</v>
      </c>
      <c r="D890" s="1">
        <v>45647</v>
      </c>
      <c r="E890" t="s">
        <v>70</v>
      </c>
      <c r="F890" t="s">
        <v>12</v>
      </c>
    </row>
    <row r="891" spans="1:6" x14ac:dyDescent="0.3">
      <c r="A891">
        <v>890</v>
      </c>
      <c r="B891">
        <v>890</v>
      </c>
      <c r="C891" s="1">
        <v>45502</v>
      </c>
      <c r="D891" s="1">
        <v>45512</v>
      </c>
      <c r="E891" t="s">
        <v>71</v>
      </c>
      <c r="F891" t="s">
        <v>69</v>
      </c>
    </row>
    <row r="892" spans="1:6" x14ac:dyDescent="0.3">
      <c r="A892">
        <v>891</v>
      </c>
      <c r="B892">
        <v>891</v>
      </c>
      <c r="C892" s="1">
        <v>45537</v>
      </c>
      <c r="D892" s="1">
        <v>45545</v>
      </c>
      <c r="E892" t="s">
        <v>68</v>
      </c>
      <c r="F892" t="s">
        <v>69</v>
      </c>
    </row>
    <row r="893" spans="1:6" x14ac:dyDescent="0.3">
      <c r="A893">
        <v>892</v>
      </c>
      <c r="B893">
        <v>892</v>
      </c>
      <c r="C893" s="1">
        <v>45374</v>
      </c>
      <c r="D893" s="1">
        <v>45375</v>
      </c>
      <c r="E893" t="s">
        <v>70</v>
      </c>
      <c r="F893" t="s">
        <v>12</v>
      </c>
    </row>
    <row r="894" spans="1:6" x14ac:dyDescent="0.3">
      <c r="A894">
        <v>893</v>
      </c>
      <c r="B894">
        <v>893</v>
      </c>
      <c r="C894" s="1">
        <v>45364</v>
      </c>
      <c r="D894" s="1">
        <v>45365</v>
      </c>
      <c r="E894" t="s">
        <v>71</v>
      </c>
      <c r="F894" t="s">
        <v>12</v>
      </c>
    </row>
    <row r="895" spans="1:6" x14ac:dyDescent="0.3">
      <c r="A895">
        <v>894</v>
      </c>
      <c r="B895">
        <v>894</v>
      </c>
      <c r="C895" s="1">
        <v>45392</v>
      </c>
      <c r="D895" s="1">
        <v>45398</v>
      </c>
      <c r="E895" t="s">
        <v>71</v>
      </c>
      <c r="F895" t="s">
        <v>69</v>
      </c>
    </row>
    <row r="896" spans="1:6" x14ac:dyDescent="0.3">
      <c r="A896">
        <v>895</v>
      </c>
      <c r="B896">
        <v>895</v>
      </c>
      <c r="C896" s="1">
        <v>45621</v>
      </c>
      <c r="D896" s="1">
        <v>45624</v>
      </c>
      <c r="E896" t="s">
        <v>72</v>
      </c>
      <c r="F896" t="s">
        <v>69</v>
      </c>
    </row>
    <row r="897" spans="1:6" x14ac:dyDescent="0.3">
      <c r="A897">
        <v>896</v>
      </c>
      <c r="B897">
        <v>896</v>
      </c>
      <c r="C897" s="1">
        <v>45636</v>
      </c>
      <c r="D897" s="1">
        <v>45643</v>
      </c>
      <c r="E897" t="s">
        <v>71</v>
      </c>
      <c r="F897" t="s">
        <v>12</v>
      </c>
    </row>
    <row r="898" spans="1:6" x14ac:dyDescent="0.3">
      <c r="A898">
        <v>897</v>
      </c>
      <c r="B898">
        <v>897</v>
      </c>
      <c r="C898" s="1">
        <v>45414</v>
      </c>
      <c r="D898" s="1">
        <v>45422</v>
      </c>
      <c r="E898" t="s">
        <v>72</v>
      </c>
      <c r="F898" t="s">
        <v>69</v>
      </c>
    </row>
    <row r="899" spans="1:6" x14ac:dyDescent="0.3">
      <c r="A899">
        <v>898</v>
      </c>
      <c r="B899">
        <v>898</v>
      </c>
      <c r="C899" s="1">
        <v>45422</v>
      </c>
      <c r="D899" s="1">
        <v>45424</v>
      </c>
      <c r="E899" t="s">
        <v>71</v>
      </c>
      <c r="F899" t="s">
        <v>69</v>
      </c>
    </row>
    <row r="900" spans="1:6" x14ac:dyDescent="0.3">
      <c r="A900">
        <v>899</v>
      </c>
      <c r="B900">
        <v>899</v>
      </c>
      <c r="C900" s="1">
        <v>45331</v>
      </c>
      <c r="D900" s="1">
        <v>45341</v>
      </c>
      <c r="E900" t="s">
        <v>68</v>
      </c>
      <c r="F900" t="s">
        <v>12</v>
      </c>
    </row>
    <row r="901" spans="1:6" x14ac:dyDescent="0.3">
      <c r="A901">
        <v>900</v>
      </c>
      <c r="B901">
        <v>900</v>
      </c>
      <c r="C901" s="1">
        <v>45396</v>
      </c>
      <c r="D901" s="1">
        <v>45401</v>
      </c>
      <c r="E901" t="s">
        <v>68</v>
      </c>
      <c r="F901" t="s">
        <v>69</v>
      </c>
    </row>
    <row r="902" spans="1:6" x14ac:dyDescent="0.3">
      <c r="A902">
        <v>901</v>
      </c>
      <c r="B902">
        <v>901</v>
      </c>
      <c r="C902" s="1">
        <v>45549</v>
      </c>
      <c r="D902" s="1">
        <v>45558</v>
      </c>
      <c r="E902" t="s">
        <v>71</v>
      </c>
      <c r="F902" t="s">
        <v>12</v>
      </c>
    </row>
    <row r="903" spans="1:6" x14ac:dyDescent="0.3">
      <c r="A903">
        <v>902</v>
      </c>
      <c r="B903">
        <v>902</v>
      </c>
      <c r="C903" s="1">
        <v>45326</v>
      </c>
      <c r="D903" s="1">
        <v>45327</v>
      </c>
      <c r="E903" t="s">
        <v>71</v>
      </c>
      <c r="F903" t="s">
        <v>69</v>
      </c>
    </row>
    <row r="904" spans="1:6" x14ac:dyDescent="0.3">
      <c r="A904">
        <v>903</v>
      </c>
      <c r="B904">
        <v>903</v>
      </c>
      <c r="C904" s="1">
        <v>45392</v>
      </c>
      <c r="D904" s="1">
        <v>45399</v>
      </c>
      <c r="E904" t="s">
        <v>71</v>
      </c>
      <c r="F904" t="s">
        <v>69</v>
      </c>
    </row>
    <row r="905" spans="1:6" x14ac:dyDescent="0.3">
      <c r="A905">
        <v>904</v>
      </c>
      <c r="B905">
        <v>904</v>
      </c>
      <c r="C905" s="1">
        <v>45610</v>
      </c>
      <c r="D905" s="1">
        <v>45620</v>
      </c>
      <c r="E905" t="s">
        <v>71</v>
      </c>
      <c r="F905" t="s">
        <v>69</v>
      </c>
    </row>
    <row r="906" spans="1:6" x14ac:dyDescent="0.3">
      <c r="A906">
        <v>905</v>
      </c>
      <c r="B906">
        <v>905</v>
      </c>
      <c r="C906" s="1">
        <v>45480</v>
      </c>
      <c r="D906" s="1">
        <v>45482</v>
      </c>
      <c r="E906" t="s">
        <v>70</v>
      </c>
      <c r="F906" t="s">
        <v>12</v>
      </c>
    </row>
    <row r="907" spans="1:6" x14ac:dyDescent="0.3">
      <c r="A907">
        <v>906</v>
      </c>
      <c r="B907">
        <v>906</v>
      </c>
      <c r="C907" s="1">
        <v>45322</v>
      </c>
      <c r="D907" s="1">
        <v>45328</v>
      </c>
      <c r="E907" t="s">
        <v>72</v>
      </c>
      <c r="F907" t="s">
        <v>69</v>
      </c>
    </row>
    <row r="908" spans="1:6" x14ac:dyDescent="0.3">
      <c r="A908">
        <v>907</v>
      </c>
      <c r="B908">
        <v>907</v>
      </c>
      <c r="C908" s="1">
        <v>45421</v>
      </c>
      <c r="D908" s="1">
        <v>45424</v>
      </c>
      <c r="E908" t="s">
        <v>68</v>
      </c>
      <c r="F908" t="s">
        <v>69</v>
      </c>
    </row>
    <row r="909" spans="1:6" x14ac:dyDescent="0.3">
      <c r="A909">
        <v>908</v>
      </c>
      <c r="B909">
        <v>908</v>
      </c>
      <c r="C909" s="1">
        <v>45302</v>
      </c>
      <c r="D909" s="1">
        <v>45304</v>
      </c>
      <c r="E909" t="s">
        <v>72</v>
      </c>
      <c r="F909" t="s">
        <v>69</v>
      </c>
    </row>
    <row r="910" spans="1:6" x14ac:dyDescent="0.3">
      <c r="A910">
        <v>909</v>
      </c>
      <c r="B910">
        <v>909</v>
      </c>
      <c r="C910" s="1">
        <v>45374</v>
      </c>
      <c r="D910" s="1">
        <v>45383</v>
      </c>
      <c r="E910" t="s">
        <v>68</v>
      </c>
      <c r="F910" t="s">
        <v>69</v>
      </c>
    </row>
    <row r="911" spans="1:6" x14ac:dyDescent="0.3">
      <c r="A911">
        <v>910</v>
      </c>
      <c r="B911">
        <v>910</v>
      </c>
      <c r="C911" s="1">
        <v>45327</v>
      </c>
      <c r="D911" s="1">
        <v>45333</v>
      </c>
      <c r="E911" t="s">
        <v>72</v>
      </c>
      <c r="F911" t="s">
        <v>12</v>
      </c>
    </row>
    <row r="912" spans="1:6" x14ac:dyDescent="0.3">
      <c r="A912">
        <v>911</v>
      </c>
      <c r="B912">
        <v>911</v>
      </c>
      <c r="C912" s="1">
        <v>45558</v>
      </c>
      <c r="D912" s="1">
        <v>45563</v>
      </c>
      <c r="E912" t="s">
        <v>71</v>
      </c>
      <c r="F912" t="s">
        <v>12</v>
      </c>
    </row>
    <row r="913" spans="1:6" x14ac:dyDescent="0.3">
      <c r="A913">
        <v>912</v>
      </c>
      <c r="B913">
        <v>912</v>
      </c>
      <c r="C913" s="1">
        <v>45521</v>
      </c>
      <c r="D913" s="1">
        <v>45522</v>
      </c>
      <c r="E913" t="s">
        <v>71</v>
      </c>
      <c r="F913" t="s">
        <v>12</v>
      </c>
    </row>
    <row r="914" spans="1:6" x14ac:dyDescent="0.3">
      <c r="A914">
        <v>913</v>
      </c>
      <c r="B914">
        <v>913</v>
      </c>
      <c r="C914" s="1">
        <v>45385</v>
      </c>
      <c r="D914" s="1">
        <v>45395</v>
      </c>
      <c r="E914" t="s">
        <v>68</v>
      </c>
      <c r="F914" t="s">
        <v>69</v>
      </c>
    </row>
    <row r="915" spans="1:6" x14ac:dyDescent="0.3">
      <c r="A915">
        <v>914</v>
      </c>
      <c r="B915">
        <v>914</v>
      </c>
      <c r="C915" s="1">
        <v>45559</v>
      </c>
      <c r="D915" s="1">
        <v>45562</v>
      </c>
      <c r="E915" t="s">
        <v>71</v>
      </c>
      <c r="F915" t="s">
        <v>12</v>
      </c>
    </row>
    <row r="916" spans="1:6" x14ac:dyDescent="0.3">
      <c r="A916">
        <v>915</v>
      </c>
      <c r="B916">
        <v>915</v>
      </c>
      <c r="C916" s="1">
        <v>45326</v>
      </c>
      <c r="D916" s="1">
        <v>45333</v>
      </c>
      <c r="E916" t="s">
        <v>68</v>
      </c>
      <c r="F916" t="s">
        <v>12</v>
      </c>
    </row>
    <row r="917" spans="1:6" x14ac:dyDescent="0.3">
      <c r="A917">
        <v>916</v>
      </c>
      <c r="B917">
        <v>916</v>
      </c>
      <c r="C917" s="1">
        <v>45453</v>
      </c>
      <c r="D917" s="1">
        <v>45455</v>
      </c>
      <c r="E917" t="s">
        <v>70</v>
      </c>
      <c r="F917" t="s">
        <v>12</v>
      </c>
    </row>
    <row r="918" spans="1:6" x14ac:dyDescent="0.3">
      <c r="A918">
        <v>917</v>
      </c>
      <c r="B918">
        <v>917</v>
      </c>
      <c r="C918" s="1">
        <v>45636</v>
      </c>
      <c r="D918" s="1">
        <v>45638</v>
      </c>
      <c r="E918" t="s">
        <v>72</v>
      </c>
      <c r="F918" t="s">
        <v>69</v>
      </c>
    </row>
    <row r="919" spans="1:6" x14ac:dyDescent="0.3">
      <c r="A919">
        <v>918</v>
      </c>
      <c r="B919">
        <v>918</v>
      </c>
      <c r="C919" s="1">
        <v>45548</v>
      </c>
      <c r="D919" s="1">
        <v>45557</v>
      </c>
      <c r="E919" t="s">
        <v>71</v>
      </c>
      <c r="F919" t="s">
        <v>69</v>
      </c>
    </row>
    <row r="920" spans="1:6" x14ac:dyDescent="0.3">
      <c r="A920">
        <v>919</v>
      </c>
      <c r="B920">
        <v>919</v>
      </c>
      <c r="C920" s="1">
        <v>45489</v>
      </c>
      <c r="D920" s="1">
        <v>45499</v>
      </c>
      <c r="E920" t="s">
        <v>71</v>
      </c>
      <c r="F920" t="s">
        <v>69</v>
      </c>
    </row>
    <row r="921" spans="1:6" x14ac:dyDescent="0.3">
      <c r="A921">
        <v>920</v>
      </c>
      <c r="B921">
        <v>920</v>
      </c>
      <c r="C921" s="1">
        <v>45465</v>
      </c>
      <c r="D921" s="1">
        <v>45469</v>
      </c>
      <c r="E921" t="s">
        <v>72</v>
      </c>
      <c r="F921" t="s">
        <v>12</v>
      </c>
    </row>
    <row r="922" spans="1:6" x14ac:dyDescent="0.3">
      <c r="A922">
        <v>921</v>
      </c>
      <c r="B922">
        <v>921</v>
      </c>
      <c r="C922" s="1">
        <v>45338</v>
      </c>
      <c r="D922" s="1">
        <v>45342</v>
      </c>
      <c r="E922" t="s">
        <v>71</v>
      </c>
      <c r="F922" t="s">
        <v>69</v>
      </c>
    </row>
    <row r="923" spans="1:6" x14ac:dyDescent="0.3">
      <c r="A923">
        <v>922</v>
      </c>
      <c r="B923">
        <v>922</v>
      </c>
      <c r="C923" s="1">
        <v>45496</v>
      </c>
      <c r="D923" s="1">
        <v>45501</v>
      </c>
      <c r="E923" t="s">
        <v>72</v>
      </c>
      <c r="F923" t="s">
        <v>12</v>
      </c>
    </row>
    <row r="924" spans="1:6" x14ac:dyDescent="0.3">
      <c r="A924">
        <v>923</v>
      </c>
      <c r="B924">
        <v>923</v>
      </c>
      <c r="C924" s="1">
        <v>45320</v>
      </c>
      <c r="D924" s="1">
        <v>45328</v>
      </c>
      <c r="E924" t="s">
        <v>70</v>
      </c>
      <c r="F924" t="s">
        <v>69</v>
      </c>
    </row>
    <row r="925" spans="1:6" x14ac:dyDescent="0.3">
      <c r="A925">
        <v>924</v>
      </c>
      <c r="B925">
        <v>924</v>
      </c>
      <c r="C925" s="1">
        <v>45531</v>
      </c>
      <c r="D925" s="1">
        <v>45533</v>
      </c>
      <c r="E925" t="s">
        <v>72</v>
      </c>
      <c r="F925" t="s">
        <v>69</v>
      </c>
    </row>
    <row r="926" spans="1:6" x14ac:dyDescent="0.3">
      <c r="A926">
        <v>925</v>
      </c>
      <c r="B926">
        <v>925</v>
      </c>
      <c r="C926" s="1">
        <v>45638</v>
      </c>
      <c r="D926" s="1">
        <v>45648</v>
      </c>
      <c r="E926" t="s">
        <v>68</v>
      </c>
      <c r="F926" t="s">
        <v>69</v>
      </c>
    </row>
    <row r="927" spans="1:6" x14ac:dyDescent="0.3">
      <c r="A927">
        <v>926</v>
      </c>
      <c r="B927">
        <v>926</v>
      </c>
      <c r="C927" s="1">
        <v>45308</v>
      </c>
      <c r="D927" s="1">
        <v>45315</v>
      </c>
      <c r="E927" t="s">
        <v>71</v>
      </c>
      <c r="F927" t="s">
        <v>69</v>
      </c>
    </row>
    <row r="928" spans="1:6" x14ac:dyDescent="0.3">
      <c r="A928">
        <v>927</v>
      </c>
      <c r="B928">
        <v>927</v>
      </c>
      <c r="C928" s="1">
        <v>45337</v>
      </c>
      <c r="D928" s="1">
        <v>45345</v>
      </c>
      <c r="E928" t="s">
        <v>72</v>
      </c>
      <c r="F928" t="s">
        <v>69</v>
      </c>
    </row>
    <row r="929" spans="1:6" x14ac:dyDescent="0.3">
      <c r="A929">
        <v>928</v>
      </c>
      <c r="B929">
        <v>928</v>
      </c>
      <c r="C929" s="1">
        <v>45510</v>
      </c>
      <c r="D929" s="1">
        <v>45516</v>
      </c>
      <c r="E929" t="s">
        <v>68</v>
      </c>
      <c r="F929" t="s">
        <v>69</v>
      </c>
    </row>
    <row r="930" spans="1:6" x14ac:dyDescent="0.3">
      <c r="A930">
        <v>929</v>
      </c>
      <c r="B930">
        <v>929</v>
      </c>
      <c r="C930" s="1">
        <v>45421</v>
      </c>
      <c r="D930" s="1">
        <v>45425</v>
      </c>
      <c r="E930" t="s">
        <v>70</v>
      </c>
      <c r="F930" t="s">
        <v>69</v>
      </c>
    </row>
    <row r="931" spans="1:6" x14ac:dyDescent="0.3">
      <c r="A931">
        <v>930</v>
      </c>
      <c r="B931">
        <v>930</v>
      </c>
      <c r="C931" s="1">
        <v>45554</v>
      </c>
      <c r="D931" s="1">
        <v>45564</v>
      </c>
      <c r="E931" t="s">
        <v>70</v>
      </c>
      <c r="F931" t="s">
        <v>69</v>
      </c>
    </row>
    <row r="932" spans="1:6" x14ac:dyDescent="0.3">
      <c r="A932">
        <v>931</v>
      </c>
      <c r="B932">
        <v>931</v>
      </c>
      <c r="C932" s="1">
        <v>45390</v>
      </c>
      <c r="D932" s="1">
        <v>45392</v>
      </c>
      <c r="E932" t="s">
        <v>68</v>
      </c>
      <c r="F932" t="s">
        <v>12</v>
      </c>
    </row>
    <row r="933" spans="1:6" x14ac:dyDescent="0.3">
      <c r="A933">
        <v>932</v>
      </c>
      <c r="B933">
        <v>932</v>
      </c>
      <c r="C933" s="1">
        <v>45577</v>
      </c>
      <c r="D933" s="1">
        <v>45584</v>
      </c>
      <c r="E933" t="s">
        <v>70</v>
      </c>
      <c r="F933" t="s">
        <v>12</v>
      </c>
    </row>
    <row r="934" spans="1:6" x14ac:dyDescent="0.3">
      <c r="A934">
        <v>933</v>
      </c>
      <c r="B934">
        <v>933</v>
      </c>
      <c r="C934" s="1">
        <v>45462</v>
      </c>
      <c r="D934" s="1">
        <v>45463</v>
      </c>
      <c r="E934" t="s">
        <v>71</v>
      </c>
      <c r="F934" t="s">
        <v>69</v>
      </c>
    </row>
    <row r="935" spans="1:6" x14ac:dyDescent="0.3">
      <c r="A935">
        <v>934</v>
      </c>
      <c r="B935">
        <v>934</v>
      </c>
      <c r="C935" s="1">
        <v>45618</v>
      </c>
      <c r="D935" s="1">
        <v>45628</v>
      </c>
      <c r="E935" t="s">
        <v>68</v>
      </c>
      <c r="F935" t="s">
        <v>12</v>
      </c>
    </row>
    <row r="936" spans="1:6" x14ac:dyDescent="0.3">
      <c r="A936">
        <v>935</v>
      </c>
      <c r="B936">
        <v>935</v>
      </c>
      <c r="C936" s="1">
        <v>45546</v>
      </c>
      <c r="D936" s="1">
        <v>45547</v>
      </c>
      <c r="E936" t="s">
        <v>71</v>
      </c>
      <c r="F936" t="s">
        <v>12</v>
      </c>
    </row>
    <row r="937" spans="1:6" x14ac:dyDescent="0.3">
      <c r="A937">
        <v>936</v>
      </c>
      <c r="B937">
        <v>936</v>
      </c>
      <c r="C937" s="1">
        <v>45464</v>
      </c>
      <c r="D937" s="1">
        <v>45473</v>
      </c>
      <c r="E937" t="s">
        <v>72</v>
      </c>
      <c r="F937" t="s">
        <v>69</v>
      </c>
    </row>
    <row r="938" spans="1:6" x14ac:dyDescent="0.3">
      <c r="A938">
        <v>937</v>
      </c>
      <c r="B938">
        <v>937</v>
      </c>
      <c r="C938" s="1">
        <v>45357</v>
      </c>
      <c r="D938" s="1">
        <v>45363</v>
      </c>
      <c r="E938" t="s">
        <v>68</v>
      </c>
      <c r="F938" t="s">
        <v>12</v>
      </c>
    </row>
    <row r="939" spans="1:6" x14ac:dyDescent="0.3">
      <c r="A939">
        <v>938</v>
      </c>
      <c r="B939">
        <v>938</v>
      </c>
      <c r="C939" s="1">
        <v>45654</v>
      </c>
      <c r="D939" s="1">
        <v>45659</v>
      </c>
      <c r="E939" t="s">
        <v>72</v>
      </c>
      <c r="F939" t="s">
        <v>69</v>
      </c>
    </row>
    <row r="940" spans="1:6" x14ac:dyDescent="0.3">
      <c r="A940">
        <v>939</v>
      </c>
      <c r="B940">
        <v>939</v>
      </c>
      <c r="C940" s="1">
        <v>45479</v>
      </c>
      <c r="D940" s="1">
        <v>45481</v>
      </c>
      <c r="E940" t="s">
        <v>68</v>
      </c>
      <c r="F940" t="s">
        <v>69</v>
      </c>
    </row>
    <row r="941" spans="1:6" x14ac:dyDescent="0.3">
      <c r="A941">
        <v>940</v>
      </c>
      <c r="B941">
        <v>940</v>
      </c>
      <c r="C941" s="1">
        <v>45463</v>
      </c>
      <c r="D941" s="1">
        <v>45469</v>
      </c>
      <c r="E941" t="s">
        <v>70</v>
      </c>
      <c r="F941" t="s">
        <v>69</v>
      </c>
    </row>
    <row r="942" spans="1:6" x14ac:dyDescent="0.3">
      <c r="A942">
        <v>941</v>
      </c>
      <c r="B942">
        <v>941</v>
      </c>
      <c r="C942" s="1">
        <v>45387</v>
      </c>
      <c r="D942" s="1">
        <v>45394</v>
      </c>
      <c r="E942" t="s">
        <v>70</v>
      </c>
      <c r="F942" t="s">
        <v>12</v>
      </c>
    </row>
    <row r="943" spans="1:6" x14ac:dyDescent="0.3">
      <c r="A943">
        <v>942</v>
      </c>
      <c r="B943">
        <v>942</v>
      </c>
      <c r="C943" s="1">
        <v>45444</v>
      </c>
      <c r="D943" s="1">
        <v>45451</v>
      </c>
      <c r="E943" t="s">
        <v>71</v>
      </c>
      <c r="F943" t="s">
        <v>12</v>
      </c>
    </row>
    <row r="944" spans="1:6" x14ac:dyDescent="0.3">
      <c r="A944">
        <v>943</v>
      </c>
      <c r="B944">
        <v>943</v>
      </c>
      <c r="C944" s="1">
        <v>45541</v>
      </c>
      <c r="D944" s="1">
        <v>45550</v>
      </c>
      <c r="E944" t="s">
        <v>71</v>
      </c>
      <c r="F944" t="s">
        <v>69</v>
      </c>
    </row>
    <row r="945" spans="1:6" x14ac:dyDescent="0.3">
      <c r="A945">
        <v>944</v>
      </c>
      <c r="B945">
        <v>944</v>
      </c>
      <c r="C945" s="1">
        <v>45386</v>
      </c>
      <c r="D945" s="1">
        <v>45387</v>
      </c>
      <c r="E945" t="s">
        <v>71</v>
      </c>
      <c r="F945" t="s">
        <v>69</v>
      </c>
    </row>
    <row r="946" spans="1:6" x14ac:dyDescent="0.3">
      <c r="A946">
        <v>945</v>
      </c>
      <c r="B946">
        <v>945</v>
      </c>
      <c r="C946" s="1">
        <v>45349</v>
      </c>
      <c r="D946" s="1">
        <v>45352</v>
      </c>
      <c r="E946" t="s">
        <v>70</v>
      </c>
      <c r="F946" t="s">
        <v>69</v>
      </c>
    </row>
    <row r="947" spans="1:6" x14ac:dyDescent="0.3">
      <c r="A947">
        <v>946</v>
      </c>
      <c r="B947">
        <v>946</v>
      </c>
      <c r="C947" s="1">
        <v>45572</v>
      </c>
      <c r="D947" s="1">
        <v>45576</v>
      </c>
      <c r="E947" t="s">
        <v>71</v>
      </c>
      <c r="F947" t="s">
        <v>69</v>
      </c>
    </row>
    <row r="948" spans="1:6" x14ac:dyDescent="0.3">
      <c r="A948">
        <v>947</v>
      </c>
      <c r="B948">
        <v>947</v>
      </c>
      <c r="C948" s="1">
        <v>45543</v>
      </c>
      <c r="D948" s="1">
        <v>45545</v>
      </c>
      <c r="E948" t="s">
        <v>70</v>
      </c>
      <c r="F948" t="s">
        <v>12</v>
      </c>
    </row>
    <row r="949" spans="1:6" x14ac:dyDescent="0.3">
      <c r="A949">
        <v>948</v>
      </c>
      <c r="B949">
        <v>948</v>
      </c>
      <c r="C949" s="1">
        <v>45640</v>
      </c>
      <c r="D949" s="1">
        <v>45641</v>
      </c>
      <c r="E949" t="s">
        <v>72</v>
      </c>
      <c r="F949" t="s">
        <v>69</v>
      </c>
    </row>
    <row r="950" spans="1:6" x14ac:dyDescent="0.3">
      <c r="A950">
        <v>949</v>
      </c>
      <c r="B950">
        <v>949</v>
      </c>
      <c r="C950" s="1">
        <v>45533</v>
      </c>
      <c r="D950" s="1">
        <v>45543</v>
      </c>
      <c r="E950" t="s">
        <v>72</v>
      </c>
      <c r="F950" t="s">
        <v>69</v>
      </c>
    </row>
    <row r="951" spans="1:6" x14ac:dyDescent="0.3">
      <c r="A951">
        <v>950</v>
      </c>
      <c r="B951">
        <v>950</v>
      </c>
      <c r="C951" s="1">
        <v>45419</v>
      </c>
      <c r="D951" s="1">
        <v>45426</v>
      </c>
      <c r="E951" t="s">
        <v>68</v>
      </c>
      <c r="F951" t="s">
        <v>12</v>
      </c>
    </row>
    <row r="952" spans="1:6" x14ac:dyDescent="0.3">
      <c r="A952">
        <v>951</v>
      </c>
      <c r="B952">
        <v>951</v>
      </c>
      <c r="C952" s="1">
        <v>45393</v>
      </c>
      <c r="D952" s="1">
        <v>45395</v>
      </c>
      <c r="E952" t="s">
        <v>71</v>
      </c>
      <c r="F952" t="s">
        <v>69</v>
      </c>
    </row>
    <row r="953" spans="1:6" x14ac:dyDescent="0.3">
      <c r="A953">
        <v>952</v>
      </c>
      <c r="B953">
        <v>952</v>
      </c>
      <c r="C953" s="1">
        <v>45490</v>
      </c>
      <c r="D953" s="1">
        <v>45500</v>
      </c>
      <c r="E953" t="s">
        <v>68</v>
      </c>
      <c r="F953" t="s">
        <v>12</v>
      </c>
    </row>
    <row r="954" spans="1:6" x14ac:dyDescent="0.3">
      <c r="A954">
        <v>953</v>
      </c>
      <c r="B954">
        <v>953</v>
      </c>
      <c r="C954" s="1">
        <v>45390</v>
      </c>
      <c r="D954" s="1">
        <v>45400</v>
      </c>
      <c r="E954" t="s">
        <v>70</v>
      </c>
      <c r="F954" t="s">
        <v>12</v>
      </c>
    </row>
    <row r="955" spans="1:6" x14ac:dyDescent="0.3">
      <c r="A955">
        <v>954</v>
      </c>
      <c r="B955">
        <v>954</v>
      </c>
      <c r="C955" s="1">
        <v>45533</v>
      </c>
      <c r="D955" s="1">
        <v>45534</v>
      </c>
      <c r="E955" t="s">
        <v>70</v>
      </c>
      <c r="F955" t="s">
        <v>69</v>
      </c>
    </row>
    <row r="956" spans="1:6" x14ac:dyDescent="0.3">
      <c r="A956">
        <v>955</v>
      </c>
      <c r="B956">
        <v>955</v>
      </c>
      <c r="C956" s="1">
        <v>45431</v>
      </c>
      <c r="D956" s="1">
        <v>45441</v>
      </c>
      <c r="E956" t="s">
        <v>72</v>
      </c>
      <c r="F956" t="s">
        <v>69</v>
      </c>
    </row>
    <row r="957" spans="1:6" x14ac:dyDescent="0.3">
      <c r="A957">
        <v>956</v>
      </c>
      <c r="B957">
        <v>956</v>
      </c>
      <c r="C957" s="1">
        <v>45563</v>
      </c>
      <c r="D957" s="1">
        <v>45566</v>
      </c>
      <c r="E957" t="s">
        <v>70</v>
      </c>
      <c r="F957" t="s">
        <v>12</v>
      </c>
    </row>
    <row r="958" spans="1:6" x14ac:dyDescent="0.3">
      <c r="A958">
        <v>957</v>
      </c>
      <c r="B958">
        <v>957</v>
      </c>
      <c r="C958" s="1">
        <v>45503</v>
      </c>
      <c r="D958" s="1">
        <v>45509</v>
      </c>
      <c r="E958" t="s">
        <v>68</v>
      </c>
      <c r="F958" t="s">
        <v>69</v>
      </c>
    </row>
    <row r="959" spans="1:6" x14ac:dyDescent="0.3">
      <c r="A959">
        <v>958</v>
      </c>
      <c r="B959">
        <v>958</v>
      </c>
      <c r="C959" s="1">
        <v>45294</v>
      </c>
      <c r="D959" s="1">
        <v>45303</v>
      </c>
      <c r="E959" t="s">
        <v>68</v>
      </c>
      <c r="F959" t="s">
        <v>12</v>
      </c>
    </row>
    <row r="960" spans="1:6" x14ac:dyDescent="0.3">
      <c r="A960">
        <v>959</v>
      </c>
      <c r="B960">
        <v>959</v>
      </c>
      <c r="C960" s="1">
        <v>45484</v>
      </c>
      <c r="D960" s="1">
        <v>45485</v>
      </c>
      <c r="E960" t="s">
        <v>68</v>
      </c>
      <c r="F960" t="s">
        <v>69</v>
      </c>
    </row>
    <row r="961" spans="1:6" x14ac:dyDescent="0.3">
      <c r="A961">
        <v>960</v>
      </c>
      <c r="B961">
        <v>960</v>
      </c>
      <c r="C961" s="1">
        <v>45576</v>
      </c>
      <c r="D961" s="1">
        <v>45582</v>
      </c>
      <c r="E961" t="s">
        <v>68</v>
      </c>
      <c r="F961" t="s">
        <v>12</v>
      </c>
    </row>
    <row r="962" spans="1:6" x14ac:dyDescent="0.3">
      <c r="A962">
        <v>961</v>
      </c>
      <c r="B962">
        <v>961</v>
      </c>
      <c r="C962" s="1">
        <v>45590</v>
      </c>
      <c r="D962" s="1">
        <v>45598</v>
      </c>
      <c r="E962" t="s">
        <v>71</v>
      </c>
      <c r="F962" t="s">
        <v>12</v>
      </c>
    </row>
    <row r="963" spans="1:6" x14ac:dyDescent="0.3">
      <c r="A963">
        <v>962</v>
      </c>
      <c r="B963">
        <v>962</v>
      </c>
      <c r="C963" s="1">
        <v>45378</v>
      </c>
      <c r="D963" s="1">
        <v>45380</v>
      </c>
      <c r="E963" t="s">
        <v>71</v>
      </c>
      <c r="F963" t="s">
        <v>69</v>
      </c>
    </row>
    <row r="964" spans="1:6" x14ac:dyDescent="0.3">
      <c r="A964">
        <v>963</v>
      </c>
      <c r="B964">
        <v>963</v>
      </c>
      <c r="C964" s="1">
        <v>45365</v>
      </c>
      <c r="D964" s="1">
        <v>45369</v>
      </c>
      <c r="E964" t="s">
        <v>68</v>
      </c>
      <c r="F964" t="s">
        <v>69</v>
      </c>
    </row>
    <row r="965" spans="1:6" x14ac:dyDescent="0.3">
      <c r="A965">
        <v>964</v>
      </c>
      <c r="B965">
        <v>964</v>
      </c>
      <c r="C965" s="1">
        <v>45474</v>
      </c>
      <c r="D965" s="1">
        <v>45484</v>
      </c>
      <c r="E965" t="s">
        <v>70</v>
      </c>
      <c r="F965" t="s">
        <v>12</v>
      </c>
    </row>
    <row r="966" spans="1:6" x14ac:dyDescent="0.3">
      <c r="A966">
        <v>965</v>
      </c>
      <c r="B966">
        <v>965</v>
      </c>
      <c r="C966" s="1">
        <v>45607</v>
      </c>
      <c r="D966" s="1">
        <v>45611</v>
      </c>
      <c r="E966" t="s">
        <v>68</v>
      </c>
      <c r="F966" t="s">
        <v>69</v>
      </c>
    </row>
    <row r="967" spans="1:6" x14ac:dyDescent="0.3">
      <c r="A967">
        <v>966</v>
      </c>
      <c r="B967">
        <v>966</v>
      </c>
      <c r="C967" s="1">
        <v>45306</v>
      </c>
      <c r="D967" s="1">
        <v>45315</v>
      </c>
      <c r="E967" t="s">
        <v>68</v>
      </c>
      <c r="F967" t="s">
        <v>12</v>
      </c>
    </row>
    <row r="968" spans="1:6" x14ac:dyDescent="0.3">
      <c r="A968">
        <v>967</v>
      </c>
      <c r="B968">
        <v>967</v>
      </c>
      <c r="C968" s="1">
        <v>45601</v>
      </c>
      <c r="D968" s="1">
        <v>45610</v>
      </c>
      <c r="E968" t="s">
        <v>71</v>
      </c>
      <c r="F968" t="s">
        <v>12</v>
      </c>
    </row>
    <row r="969" spans="1:6" x14ac:dyDescent="0.3">
      <c r="A969">
        <v>968</v>
      </c>
      <c r="B969">
        <v>968</v>
      </c>
      <c r="C969" s="1">
        <v>45519</v>
      </c>
      <c r="D969" s="1">
        <v>45521</v>
      </c>
      <c r="E969" t="s">
        <v>71</v>
      </c>
      <c r="F969" t="s">
        <v>12</v>
      </c>
    </row>
    <row r="970" spans="1:6" x14ac:dyDescent="0.3">
      <c r="A970">
        <v>969</v>
      </c>
      <c r="B970">
        <v>969</v>
      </c>
      <c r="C970" s="1">
        <v>45539</v>
      </c>
      <c r="D970" s="1">
        <v>45546</v>
      </c>
      <c r="E970" t="s">
        <v>68</v>
      </c>
      <c r="F970" t="s">
        <v>69</v>
      </c>
    </row>
    <row r="971" spans="1:6" x14ac:dyDescent="0.3">
      <c r="A971">
        <v>970</v>
      </c>
      <c r="B971">
        <v>970</v>
      </c>
      <c r="C971" s="1">
        <v>45338</v>
      </c>
      <c r="D971" s="1">
        <v>45339</v>
      </c>
      <c r="E971" t="s">
        <v>70</v>
      </c>
      <c r="F971" t="s">
        <v>12</v>
      </c>
    </row>
    <row r="972" spans="1:6" x14ac:dyDescent="0.3">
      <c r="A972">
        <v>971</v>
      </c>
      <c r="B972">
        <v>971</v>
      </c>
      <c r="C972" s="1">
        <v>45442</v>
      </c>
      <c r="D972" s="1">
        <v>45443</v>
      </c>
      <c r="E972" t="s">
        <v>70</v>
      </c>
      <c r="F972" t="s">
        <v>12</v>
      </c>
    </row>
    <row r="973" spans="1:6" x14ac:dyDescent="0.3">
      <c r="A973">
        <v>972</v>
      </c>
      <c r="B973">
        <v>972</v>
      </c>
      <c r="C973" s="1">
        <v>45347</v>
      </c>
      <c r="D973" s="1">
        <v>45354</v>
      </c>
      <c r="E973" t="s">
        <v>70</v>
      </c>
      <c r="F973" t="s">
        <v>69</v>
      </c>
    </row>
    <row r="974" spans="1:6" x14ac:dyDescent="0.3">
      <c r="A974">
        <v>973</v>
      </c>
      <c r="B974">
        <v>973</v>
      </c>
      <c r="C974" s="1">
        <v>45321</v>
      </c>
      <c r="D974" s="1">
        <v>45325</v>
      </c>
      <c r="E974" t="s">
        <v>70</v>
      </c>
      <c r="F974" t="s">
        <v>69</v>
      </c>
    </row>
    <row r="975" spans="1:6" x14ac:dyDescent="0.3">
      <c r="A975">
        <v>974</v>
      </c>
      <c r="B975">
        <v>974</v>
      </c>
      <c r="C975" s="1">
        <v>45424</v>
      </c>
      <c r="D975" s="1">
        <v>45434</v>
      </c>
      <c r="E975" t="s">
        <v>68</v>
      </c>
      <c r="F975" t="s">
        <v>69</v>
      </c>
    </row>
    <row r="976" spans="1:6" x14ac:dyDescent="0.3">
      <c r="A976">
        <v>975</v>
      </c>
      <c r="B976">
        <v>975</v>
      </c>
      <c r="C976" s="1">
        <v>45342</v>
      </c>
      <c r="D976" s="1">
        <v>45346</v>
      </c>
      <c r="E976" t="s">
        <v>68</v>
      </c>
      <c r="F976" t="s">
        <v>69</v>
      </c>
    </row>
    <row r="977" spans="1:6" x14ac:dyDescent="0.3">
      <c r="A977">
        <v>976</v>
      </c>
      <c r="B977">
        <v>976</v>
      </c>
      <c r="C977" s="1">
        <v>45336</v>
      </c>
      <c r="D977" s="1">
        <v>45339</v>
      </c>
      <c r="E977" t="s">
        <v>72</v>
      </c>
      <c r="F977" t="s">
        <v>69</v>
      </c>
    </row>
    <row r="978" spans="1:6" x14ac:dyDescent="0.3">
      <c r="A978">
        <v>977</v>
      </c>
      <c r="B978">
        <v>977</v>
      </c>
      <c r="C978" s="1">
        <v>45435</v>
      </c>
      <c r="D978" s="1">
        <v>45443</v>
      </c>
      <c r="E978" t="s">
        <v>68</v>
      </c>
      <c r="F978" t="s">
        <v>69</v>
      </c>
    </row>
    <row r="979" spans="1:6" x14ac:dyDescent="0.3">
      <c r="A979">
        <v>978</v>
      </c>
      <c r="B979">
        <v>978</v>
      </c>
      <c r="C979" s="1">
        <v>45458</v>
      </c>
      <c r="D979" s="1">
        <v>45462</v>
      </c>
      <c r="E979" t="s">
        <v>68</v>
      </c>
      <c r="F979" t="s">
        <v>12</v>
      </c>
    </row>
    <row r="980" spans="1:6" x14ac:dyDescent="0.3">
      <c r="A980">
        <v>979</v>
      </c>
      <c r="B980">
        <v>979</v>
      </c>
      <c r="C980" s="1">
        <v>45559</v>
      </c>
      <c r="D980" s="1">
        <v>45568</v>
      </c>
      <c r="E980" t="s">
        <v>71</v>
      </c>
      <c r="F980" t="s">
        <v>12</v>
      </c>
    </row>
    <row r="981" spans="1:6" x14ac:dyDescent="0.3">
      <c r="A981">
        <v>980</v>
      </c>
      <c r="B981">
        <v>980</v>
      </c>
      <c r="C981" s="1">
        <v>45583</v>
      </c>
      <c r="D981" s="1">
        <v>45587</v>
      </c>
      <c r="E981" t="s">
        <v>72</v>
      </c>
      <c r="F981" t="s">
        <v>69</v>
      </c>
    </row>
    <row r="982" spans="1:6" x14ac:dyDescent="0.3">
      <c r="A982">
        <v>981</v>
      </c>
      <c r="B982">
        <v>981</v>
      </c>
      <c r="C982" s="1">
        <v>45468</v>
      </c>
      <c r="D982" s="1">
        <v>45476</v>
      </c>
      <c r="E982" t="s">
        <v>72</v>
      </c>
      <c r="F982" t="s">
        <v>69</v>
      </c>
    </row>
    <row r="983" spans="1:6" x14ac:dyDescent="0.3">
      <c r="A983">
        <v>982</v>
      </c>
      <c r="B983">
        <v>982</v>
      </c>
      <c r="C983" s="1">
        <v>45472</v>
      </c>
      <c r="D983" s="1">
        <v>45480</v>
      </c>
      <c r="E983" t="s">
        <v>68</v>
      </c>
      <c r="F983" t="s">
        <v>69</v>
      </c>
    </row>
    <row r="984" spans="1:6" x14ac:dyDescent="0.3">
      <c r="A984">
        <v>983</v>
      </c>
      <c r="B984">
        <v>983</v>
      </c>
      <c r="C984" s="1">
        <v>45386</v>
      </c>
      <c r="D984" s="1">
        <v>45394</v>
      </c>
      <c r="E984" t="s">
        <v>71</v>
      </c>
      <c r="F984" t="s">
        <v>12</v>
      </c>
    </row>
    <row r="985" spans="1:6" x14ac:dyDescent="0.3">
      <c r="A985">
        <v>984</v>
      </c>
      <c r="B985">
        <v>984</v>
      </c>
      <c r="C985" s="1">
        <v>45329</v>
      </c>
      <c r="D985" s="1">
        <v>45336</v>
      </c>
      <c r="E985" t="s">
        <v>71</v>
      </c>
      <c r="F985" t="s">
        <v>12</v>
      </c>
    </row>
    <row r="986" spans="1:6" x14ac:dyDescent="0.3">
      <c r="A986">
        <v>985</v>
      </c>
      <c r="B986">
        <v>985</v>
      </c>
      <c r="C986" s="1">
        <v>45357</v>
      </c>
      <c r="D986" s="1">
        <v>45365</v>
      </c>
      <c r="E986" t="s">
        <v>71</v>
      </c>
      <c r="F986" t="s">
        <v>69</v>
      </c>
    </row>
    <row r="987" spans="1:6" x14ac:dyDescent="0.3">
      <c r="A987">
        <v>986</v>
      </c>
      <c r="B987">
        <v>986</v>
      </c>
      <c r="C987" s="1">
        <v>45356</v>
      </c>
      <c r="D987" s="1">
        <v>45357</v>
      </c>
      <c r="E987" t="s">
        <v>70</v>
      </c>
      <c r="F987" t="s">
        <v>12</v>
      </c>
    </row>
    <row r="988" spans="1:6" x14ac:dyDescent="0.3">
      <c r="A988">
        <v>987</v>
      </c>
      <c r="B988">
        <v>987</v>
      </c>
      <c r="C988" s="1">
        <v>45423</v>
      </c>
      <c r="D988" s="1">
        <v>45424</v>
      </c>
      <c r="E988" t="s">
        <v>70</v>
      </c>
      <c r="F988" t="s">
        <v>12</v>
      </c>
    </row>
    <row r="989" spans="1:6" x14ac:dyDescent="0.3">
      <c r="A989">
        <v>988</v>
      </c>
      <c r="B989">
        <v>988</v>
      </c>
      <c r="C989" s="1">
        <v>45376</v>
      </c>
      <c r="D989" s="1">
        <v>45385</v>
      </c>
      <c r="E989" t="s">
        <v>71</v>
      </c>
      <c r="F989" t="s">
        <v>12</v>
      </c>
    </row>
    <row r="990" spans="1:6" x14ac:dyDescent="0.3">
      <c r="A990">
        <v>989</v>
      </c>
      <c r="B990">
        <v>989</v>
      </c>
      <c r="C990" s="1">
        <v>45445</v>
      </c>
      <c r="D990" s="1">
        <v>45446</v>
      </c>
      <c r="E990" t="s">
        <v>68</v>
      </c>
      <c r="F990" t="s">
        <v>12</v>
      </c>
    </row>
    <row r="991" spans="1:6" x14ac:dyDescent="0.3">
      <c r="A991">
        <v>990</v>
      </c>
      <c r="B991">
        <v>990</v>
      </c>
      <c r="C991" s="1">
        <v>45297</v>
      </c>
      <c r="D991" s="1">
        <v>45299</v>
      </c>
      <c r="E991" t="s">
        <v>71</v>
      </c>
      <c r="F991" t="s">
        <v>69</v>
      </c>
    </row>
    <row r="992" spans="1:6" x14ac:dyDescent="0.3">
      <c r="A992">
        <v>991</v>
      </c>
      <c r="B992">
        <v>991</v>
      </c>
      <c r="C992" s="1">
        <v>45404</v>
      </c>
      <c r="D992" s="1">
        <v>45406</v>
      </c>
      <c r="E992" t="s">
        <v>68</v>
      </c>
      <c r="F992" t="s">
        <v>12</v>
      </c>
    </row>
    <row r="993" spans="1:6" x14ac:dyDescent="0.3">
      <c r="A993">
        <v>992</v>
      </c>
      <c r="B993">
        <v>992</v>
      </c>
      <c r="C993" s="1">
        <v>45593</v>
      </c>
      <c r="D993" s="1">
        <v>45603</v>
      </c>
      <c r="E993" t="s">
        <v>68</v>
      </c>
      <c r="F993" t="s">
        <v>12</v>
      </c>
    </row>
    <row r="994" spans="1:6" x14ac:dyDescent="0.3">
      <c r="A994">
        <v>993</v>
      </c>
      <c r="B994">
        <v>993</v>
      </c>
      <c r="C994" s="1">
        <v>45563</v>
      </c>
      <c r="D994" s="1">
        <v>45571</v>
      </c>
      <c r="E994" t="s">
        <v>71</v>
      </c>
      <c r="F994" t="s">
        <v>69</v>
      </c>
    </row>
    <row r="995" spans="1:6" x14ac:dyDescent="0.3">
      <c r="A995">
        <v>994</v>
      </c>
      <c r="B995">
        <v>994</v>
      </c>
      <c r="C995" s="1">
        <v>45498</v>
      </c>
      <c r="D995" s="1">
        <v>45500</v>
      </c>
      <c r="E995" t="s">
        <v>68</v>
      </c>
      <c r="F995" t="s">
        <v>69</v>
      </c>
    </row>
    <row r="996" spans="1:6" x14ac:dyDescent="0.3">
      <c r="A996">
        <v>995</v>
      </c>
      <c r="B996">
        <v>995</v>
      </c>
      <c r="C996" s="1">
        <v>45632</v>
      </c>
      <c r="D996" s="1">
        <v>45634</v>
      </c>
      <c r="E996" t="s">
        <v>70</v>
      </c>
      <c r="F996" t="s">
        <v>69</v>
      </c>
    </row>
    <row r="997" spans="1:6" x14ac:dyDescent="0.3">
      <c r="A997">
        <v>996</v>
      </c>
      <c r="B997">
        <v>996</v>
      </c>
      <c r="C997" s="1">
        <v>45471</v>
      </c>
      <c r="D997" s="1">
        <v>45472</v>
      </c>
      <c r="E997" t="s">
        <v>72</v>
      </c>
      <c r="F997" t="s">
        <v>69</v>
      </c>
    </row>
    <row r="998" spans="1:6" x14ac:dyDescent="0.3">
      <c r="A998">
        <v>997</v>
      </c>
      <c r="B998">
        <v>997</v>
      </c>
      <c r="C998" s="1">
        <v>45507</v>
      </c>
      <c r="D998" s="1">
        <v>45511</v>
      </c>
      <c r="E998" t="s">
        <v>71</v>
      </c>
      <c r="F998" t="s">
        <v>69</v>
      </c>
    </row>
    <row r="999" spans="1:6" x14ac:dyDescent="0.3">
      <c r="A999">
        <v>998</v>
      </c>
      <c r="B999">
        <v>998</v>
      </c>
      <c r="C999" s="1">
        <v>45589</v>
      </c>
      <c r="D999" s="1">
        <v>45592</v>
      </c>
      <c r="E999" t="s">
        <v>72</v>
      </c>
      <c r="F999" t="s">
        <v>12</v>
      </c>
    </row>
    <row r="1000" spans="1:6" x14ac:dyDescent="0.3">
      <c r="A1000">
        <v>999</v>
      </c>
      <c r="B1000">
        <v>999</v>
      </c>
      <c r="C1000" s="1">
        <v>45395</v>
      </c>
      <c r="D1000" s="1">
        <v>45403</v>
      </c>
      <c r="E1000" t="s">
        <v>68</v>
      </c>
      <c r="F1000" t="s">
        <v>12</v>
      </c>
    </row>
    <row r="1001" spans="1:6" x14ac:dyDescent="0.3">
      <c r="A1001">
        <v>1000</v>
      </c>
      <c r="B1001">
        <v>1000</v>
      </c>
      <c r="C1001" s="1">
        <v>45524</v>
      </c>
      <c r="D1001" s="1">
        <v>45532</v>
      </c>
      <c r="E1001" t="s">
        <v>68</v>
      </c>
      <c r="F1001" t="s">
        <v>12</v>
      </c>
    </row>
    <row r="1002" spans="1:6" x14ac:dyDescent="0.3">
      <c r="A1002">
        <v>1001</v>
      </c>
      <c r="B1002">
        <v>1001</v>
      </c>
      <c r="C1002" s="1">
        <v>45511</v>
      </c>
      <c r="D1002" s="1">
        <v>45516</v>
      </c>
      <c r="E1002" t="s">
        <v>70</v>
      </c>
      <c r="F1002" t="s">
        <v>12</v>
      </c>
    </row>
    <row r="1003" spans="1:6" x14ac:dyDescent="0.3">
      <c r="A1003">
        <v>1002</v>
      </c>
      <c r="B1003">
        <v>1002</v>
      </c>
      <c r="C1003" s="1">
        <v>45553</v>
      </c>
      <c r="D1003" s="1">
        <v>45556</v>
      </c>
      <c r="E1003" t="s">
        <v>70</v>
      </c>
      <c r="F1003" t="s">
        <v>12</v>
      </c>
    </row>
    <row r="1004" spans="1:6" x14ac:dyDescent="0.3">
      <c r="A1004">
        <v>1003</v>
      </c>
      <c r="B1004">
        <v>1003</v>
      </c>
      <c r="C1004" s="1">
        <v>45372</v>
      </c>
      <c r="D1004" s="1">
        <v>45377</v>
      </c>
      <c r="E1004" t="s">
        <v>68</v>
      </c>
      <c r="F1004" t="s">
        <v>12</v>
      </c>
    </row>
    <row r="1005" spans="1:6" x14ac:dyDescent="0.3">
      <c r="A1005">
        <v>1004</v>
      </c>
      <c r="B1005">
        <v>1004</v>
      </c>
      <c r="C1005" s="1">
        <v>45572</v>
      </c>
      <c r="D1005" s="1">
        <v>45577</v>
      </c>
      <c r="E1005" t="s">
        <v>72</v>
      </c>
      <c r="F1005" t="s">
        <v>69</v>
      </c>
    </row>
    <row r="1006" spans="1:6" x14ac:dyDescent="0.3">
      <c r="A1006">
        <v>1005</v>
      </c>
      <c r="B1006">
        <v>1005</v>
      </c>
      <c r="C1006" s="1">
        <v>45387</v>
      </c>
      <c r="D1006" s="1">
        <v>45388</v>
      </c>
      <c r="E1006" t="s">
        <v>68</v>
      </c>
      <c r="F1006" t="s">
        <v>69</v>
      </c>
    </row>
    <row r="1007" spans="1:6" x14ac:dyDescent="0.3">
      <c r="A1007">
        <v>1006</v>
      </c>
      <c r="B1007">
        <v>1006</v>
      </c>
      <c r="C1007" s="1">
        <v>45560</v>
      </c>
      <c r="D1007" s="1">
        <v>45563</v>
      </c>
      <c r="E1007" t="s">
        <v>68</v>
      </c>
      <c r="F1007" t="s">
        <v>69</v>
      </c>
    </row>
    <row r="1008" spans="1:6" x14ac:dyDescent="0.3">
      <c r="A1008">
        <v>1007</v>
      </c>
      <c r="B1008">
        <v>1007</v>
      </c>
      <c r="C1008" s="1">
        <v>45389</v>
      </c>
      <c r="D1008" s="1">
        <v>45395</v>
      </c>
      <c r="E1008" t="s">
        <v>70</v>
      </c>
      <c r="F1008" t="s">
        <v>69</v>
      </c>
    </row>
    <row r="1009" spans="1:6" x14ac:dyDescent="0.3">
      <c r="A1009">
        <v>1008</v>
      </c>
      <c r="B1009">
        <v>1008</v>
      </c>
      <c r="C1009" s="1">
        <v>45544</v>
      </c>
      <c r="D1009" s="1">
        <v>45547</v>
      </c>
      <c r="E1009" t="s">
        <v>71</v>
      </c>
      <c r="F1009" t="s">
        <v>12</v>
      </c>
    </row>
    <row r="1010" spans="1:6" x14ac:dyDescent="0.3">
      <c r="A1010">
        <v>1009</v>
      </c>
      <c r="B1010">
        <v>1009</v>
      </c>
      <c r="C1010" s="1">
        <v>45633</v>
      </c>
      <c r="D1010" s="1">
        <v>45643</v>
      </c>
      <c r="E1010" t="s">
        <v>68</v>
      </c>
      <c r="F1010" t="s">
        <v>69</v>
      </c>
    </row>
    <row r="1011" spans="1:6" x14ac:dyDescent="0.3">
      <c r="A1011">
        <v>1010</v>
      </c>
      <c r="B1011">
        <v>1010</v>
      </c>
      <c r="C1011" s="1">
        <v>45458</v>
      </c>
      <c r="D1011" s="1">
        <v>45464</v>
      </c>
      <c r="E1011" t="s">
        <v>70</v>
      </c>
      <c r="F1011" t="s">
        <v>12</v>
      </c>
    </row>
    <row r="1012" spans="1:6" x14ac:dyDescent="0.3">
      <c r="A1012">
        <v>1011</v>
      </c>
      <c r="B1012">
        <v>1011</v>
      </c>
      <c r="C1012" s="1">
        <v>45297</v>
      </c>
      <c r="D1012" s="1">
        <v>45302</v>
      </c>
      <c r="E1012" t="s">
        <v>68</v>
      </c>
      <c r="F1012" t="s">
        <v>12</v>
      </c>
    </row>
    <row r="1013" spans="1:6" x14ac:dyDescent="0.3">
      <c r="A1013">
        <v>1012</v>
      </c>
      <c r="B1013">
        <v>1012</v>
      </c>
      <c r="C1013" s="1">
        <v>45649</v>
      </c>
      <c r="D1013" s="1">
        <v>45653</v>
      </c>
      <c r="E1013" t="s">
        <v>71</v>
      </c>
      <c r="F1013" t="s">
        <v>69</v>
      </c>
    </row>
    <row r="1014" spans="1:6" x14ac:dyDescent="0.3">
      <c r="A1014">
        <v>1013</v>
      </c>
      <c r="B1014">
        <v>1013</v>
      </c>
      <c r="C1014" s="1">
        <v>45342</v>
      </c>
      <c r="D1014" s="1">
        <v>45348</v>
      </c>
      <c r="E1014" t="s">
        <v>71</v>
      </c>
      <c r="F1014" t="s">
        <v>69</v>
      </c>
    </row>
    <row r="1015" spans="1:6" x14ac:dyDescent="0.3">
      <c r="A1015">
        <v>1014</v>
      </c>
      <c r="B1015">
        <v>1014</v>
      </c>
      <c r="C1015" s="1">
        <v>45452</v>
      </c>
      <c r="D1015" s="1">
        <v>45461</v>
      </c>
      <c r="E1015" t="s">
        <v>71</v>
      </c>
      <c r="F1015" t="s">
        <v>12</v>
      </c>
    </row>
    <row r="1016" spans="1:6" x14ac:dyDescent="0.3">
      <c r="A1016">
        <v>1015</v>
      </c>
      <c r="B1016">
        <v>1015</v>
      </c>
      <c r="C1016" s="1">
        <v>45294</v>
      </c>
      <c r="D1016" s="1">
        <v>45304</v>
      </c>
      <c r="E1016" t="s">
        <v>71</v>
      </c>
      <c r="F1016" t="s">
        <v>69</v>
      </c>
    </row>
    <row r="1017" spans="1:6" x14ac:dyDescent="0.3">
      <c r="A1017">
        <v>1016</v>
      </c>
      <c r="B1017">
        <v>1016</v>
      </c>
      <c r="C1017" s="1">
        <v>45444</v>
      </c>
      <c r="D1017" s="1">
        <v>45453</v>
      </c>
      <c r="E1017" t="s">
        <v>71</v>
      </c>
      <c r="F1017" t="s">
        <v>12</v>
      </c>
    </row>
    <row r="1018" spans="1:6" x14ac:dyDescent="0.3">
      <c r="A1018">
        <v>1017</v>
      </c>
      <c r="B1018">
        <v>1017</v>
      </c>
      <c r="C1018" s="1">
        <v>45307</v>
      </c>
      <c r="D1018" s="1">
        <v>45317</v>
      </c>
      <c r="E1018" t="s">
        <v>71</v>
      </c>
      <c r="F1018" t="s">
        <v>69</v>
      </c>
    </row>
    <row r="1019" spans="1:6" x14ac:dyDescent="0.3">
      <c r="A1019">
        <v>1018</v>
      </c>
      <c r="B1019">
        <v>1018</v>
      </c>
      <c r="C1019" s="1">
        <v>45591</v>
      </c>
      <c r="D1019" s="1">
        <v>45598</v>
      </c>
      <c r="E1019" t="s">
        <v>68</v>
      </c>
      <c r="F1019" t="s">
        <v>12</v>
      </c>
    </row>
    <row r="1020" spans="1:6" x14ac:dyDescent="0.3">
      <c r="A1020">
        <v>1019</v>
      </c>
      <c r="B1020">
        <v>1019</v>
      </c>
      <c r="C1020" s="1">
        <v>45389</v>
      </c>
      <c r="D1020" s="1">
        <v>45393</v>
      </c>
      <c r="E1020" t="s">
        <v>72</v>
      </c>
      <c r="F1020" t="s">
        <v>69</v>
      </c>
    </row>
    <row r="1021" spans="1:6" x14ac:dyDescent="0.3">
      <c r="A1021">
        <v>1020</v>
      </c>
      <c r="B1021">
        <v>1020</v>
      </c>
      <c r="C1021" s="1">
        <v>45329</v>
      </c>
      <c r="D1021" s="1">
        <v>45338</v>
      </c>
      <c r="E1021" t="s">
        <v>71</v>
      </c>
      <c r="F1021" t="s">
        <v>12</v>
      </c>
    </row>
    <row r="1022" spans="1:6" x14ac:dyDescent="0.3">
      <c r="A1022">
        <v>1021</v>
      </c>
      <c r="B1022">
        <v>1021</v>
      </c>
      <c r="C1022" s="1">
        <v>45486</v>
      </c>
      <c r="D1022" s="1">
        <v>45496</v>
      </c>
      <c r="E1022" t="s">
        <v>72</v>
      </c>
      <c r="F1022" t="s">
        <v>12</v>
      </c>
    </row>
    <row r="1023" spans="1:6" x14ac:dyDescent="0.3">
      <c r="A1023">
        <v>1022</v>
      </c>
      <c r="B1023">
        <v>1022</v>
      </c>
      <c r="C1023" s="1">
        <v>45550</v>
      </c>
      <c r="D1023" s="1">
        <v>45556</v>
      </c>
      <c r="E1023" t="s">
        <v>72</v>
      </c>
      <c r="F1023" t="s">
        <v>12</v>
      </c>
    </row>
    <row r="1024" spans="1:6" x14ac:dyDescent="0.3">
      <c r="A1024">
        <v>1023</v>
      </c>
      <c r="B1024">
        <v>1023</v>
      </c>
      <c r="C1024" s="1">
        <v>45490</v>
      </c>
      <c r="D1024" s="1">
        <v>45493</v>
      </c>
      <c r="E1024" t="s">
        <v>72</v>
      </c>
      <c r="F1024" t="s">
        <v>12</v>
      </c>
    </row>
    <row r="1025" spans="1:6" x14ac:dyDescent="0.3">
      <c r="A1025">
        <v>1024</v>
      </c>
      <c r="B1025">
        <v>1024</v>
      </c>
      <c r="C1025" s="1">
        <v>45623</v>
      </c>
      <c r="D1025" s="1">
        <v>45627</v>
      </c>
      <c r="E1025" t="s">
        <v>71</v>
      </c>
      <c r="F1025" t="s">
        <v>12</v>
      </c>
    </row>
    <row r="1026" spans="1:6" x14ac:dyDescent="0.3">
      <c r="A1026">
        <v>1025</v>
      </c>
      <c r="B1026">
        <v>1025</v>
      </c>
      <c r="C1026" s="1">
        <v>45654</v>
      </c>
      <c r="D1026" s="1">
        <v>45662</v>
      </c>
      <c r="E1026" t="s">
        <v>72</v>
      </c>
      <c r="F1026" t="s">
        <v>12</v>
      </c>
    </row>
    <row r="1027" spans="1:6" x14ac:dyDescent="0.3">
      <c r="A1027">
        <v>1026</v>
      </c>
      <c r="B1027">
        <v>1026</v>
      </c>
      <c r="C1027" s="1">
        <v>45522</v>
      </c>
      <c r="D1027" s="1">
        <v>45526</v>
      </c>
      <c r="E1027" t="s">
        <v>70</v>
      </c>
      <c r="F1027" t="s">
        <v>12</v>
      </c>
    </row>
    <row r="1028" spans="1:6" x14ac:dyDescent="0.3">
      <c r="A1028">
        <v>1027</v>
      </c>
      <c r="B1028">
        <v>1027</v>
      </c>
      <c r="C1028" s="1">
        <v>45550</v>
      </c>
      <c r="D1028" s="1">
        <v>45556</v>
      </c>
      <c r="E1028" t="s">
        <v>68</v>
      </c>
      <c r="F1028" t="s">
        <v>69</v>
      </c>
    </row>
    <row r="1029" spans="1:6" x14ac:dyDescent="0.3">
      <c r="A1029">
        <v>1028</v>
      </c>
      <c r="B1029">
        <v>1028</v>
      </c>
      <c r="C1029" s="1">
        <v>45432</v>
      </c>
      <c r="D1029" s="1">
        <v>45433</v>
      </c>
      <c r="E1029" t="s">
        <v>68</v>
      </c>
      <c r="F1029" t="s">
        <v>69</v>
      </c>
    </row>
    <row r="1030" spans="1:6" x14ac:dyDescent="0.3">
      <c r="A1030">
        <v>1029</v>
      </c>
      <c r="B1030">
        <v>1029</v>
      </c>
      <c r="C1030" s="1">
        <v>45358</v>
      </c>
      <c r="D1030" s="1">
        <v>45363</v>
      </c>
      <c r="E1030" t="s">
        <v>71</v>
      </c>
      <c r="F1030" t="s">
        <v>69</v>
      </c>
    </row>
    <row r="1031" spans="1:6" x14ac:dyDescent="0.3">
      <c r="A1031">
        <v>1030</v>
      </c>
      <c r="B1031">
        <v>1030</v>
      </c>
      <c r="C1031" s="1">
        <v>45440</v>
      </c>
      <c r="D1031" s="1">
        <v>45442</v>
      </c>
      <c r="E1031" t="s">
        <v>68</v>
      </c>
      <c r="F1031" t="s">
        <v>12</v>
      </c>
    </row>
    <row r="1032" spans="1:6" x14ac:dyDescent="0.3">
      <c r="A1032">
        <v>1031</v>
      </c>
      <c r="B1032">
        <v>1031</v>
      </c>
      <c r="C1032" s="1">
        <v>45555</v>
      </c>
      <c r="D1032" s="1">
        <v>45557</v>
      </c>
      <c r="E1032" t="s">
        <v>71</v>
      </c>
      <c r="F1032" t="s">
        <v>69</v>
      </c>
    </row>
    <row r="1033" spans="1:6" x14ac:dyDescent="0.3">
      <c r="A1033">
        <v>1032</v>
      </c>
      <c r="B1033">
        <v>1032</v>
      </c>
      <c r="C1033" s="1">
        <v>45506</v>
      </c>
      <c r="D1033" s="1">
        <v>45507</v>
      </c>
      <c r="E1033" t="s">
        <v>71</v>
      </c>
      <c r="F1033" t="s">
        <v>12</v>
      </c>
    </row>
    <row r="1034" spans="1:6" x14ac:dyDescent="0.3">
      <c r="A1034">
        <v>1033</v>
      </c>
      <c r="B1034">
        <v>1033</v>
      </c>
      <c r="C1034" s="1">
        <v>45424</v>
      </c>
      <c r="D1034" s="1">
        <v>45425</v>
      </c>
      <c r="E1034" t="s">
        <v>71</v>
      </c>
      <c r="F1034" t="s">
        <v>69</v>
      </c>
    </row>
    <row r="1035" spans="1:6" x14ac:dyDescent="0.3">
      <c r="A1035">
        <v>1034</v>
      </c>
      <c r="B1035">
        <v>1034</v>
      </c>
      <c r="C1035" s="1">
        <v>45454</v>
      </c>
      <c r="D1035" s="1">
        <v>45461</v>
      </c>
      <c r="E1035" t="s">
        <v>68</v>
      </c>
      <c r="F1035" t="s">
        <v>12</v>
      </c>
    </row>
    <row r="1036" spans="1:6" x14ac:dyDescent="0.3">
      <c r="A1036">
        <v>1035</v>
      </c>
      <c r="B1036">
        <v>1035</v>
      </c>
      <c r="C1036" s="1">
        <v>45608</v>
      </c>
      <c r="D1036" s="1">
        <v>45611</v>
      </c>
      <c r="E1036" t="s">
        <v>70</v>
      </c>
      <c r="F1036" t="s">
        <v>12</v>
      </c>
    </row>
    <row r="1037" spans="1:6" x14ac:dyDescent="0.3">
      <c r="A1037">
        <v>1036</v>
      </c>
      <c r="B1037">
        <v>1036</v>
      </c>
      <c r="C1037" s="1">
        <v>45353</v>
      </c>
      <c r="D1037" s="1">
        <v>45363</v>
      </c>
      <c r="E1037" t="s">
        <v>71</v>
      </c>
      <c r="F1037" t="s">
        <v>12</v>
      </c>
    </row>
    <row r="1038" spans="1:6" x14ac:dyDescent="0.3">
      <c r="A1038">
        <v>1037</v>
      </c>
      <c r="B1038">
        <v>1037</v>
      </c>
      <c r="C1038" s="1">
        <v>45437</v>
      </c>
      <c r="D1038" s="1">
        <v>45446</v>
      </c>
      <c r="E1038" t="s">
        <v>68</v>
      </c>
      <c r="F1038" t="s">
        <v>12</v>
      </c>
    </row>
    <row r="1039" spans="1:6" x14ac:dyDescent="0.3">
      <c r="A1039">
        <v>1038</v>
      </c>
      <c r="B1039">
        <v>1038</v>
      </c>
      <c r="C1039" s="1">
        <v>45458</v>
      </c>
      <c r="D1039" s="1">
        <v>45465</v>
      </c>
      <c r="E1039" t="s">
        <v>70</v>
      </c>
      <c r="F1039" t="s">
        <v>69</v>
      </c>
    </row>
    <row r="1040" spans="1:6" x14ac:dyDescent="0.3">
      <c r="A1040">
        <v>1039</v>
      </c>
      <c r="B1040">
        <v>1039</v>
      </c>
      <c r="C1040" s="1">
        <v>45454</v>
      </c>
      <c r="D1040" s="1">
        <v>45461</v>
      </c>
      <c r="E1040" t="s">
        <v>68</v>
      </c>
      <c r="F1040" t="s">
        <v>69</v>
      </c>
    </row>
    <row r="1041" spans="1:6" x14ac:dyDescent="0.3">
      <c r="A1041">
        <v>1040</v>
      </c>
      <c r="B1041">
        <v>1040</v>
      </c>
      <c r="C1041" s="1">
        <v>45515</v>
      </c>
      <c r="D1041" s="1">
        <v>45522</v>
      </c>
      <c r="E1041" t="s">
        <v>70</v>
      </c>
      <c r="F1041" t="s">
        <v>12</v>
      </c>
    </row>
    <row r="1042" spans="1:6" x14ac:dyDescent="0.3">
      <c r="A1042">
        <v>1041</v>
      </c>
      <c r="B1042">
        <v>1041</v>
      </c>
      <c r="C1042" s="1">
        <v>45474</v>
      </c>
      <c r="D1042" s="1">
        <v>45481</v>
      </c>
      <c r="E1042" t="s">
        <v>72</v>
      </c>
      <c r="F1042" t="s">
        <v>69</v>
      </c>
    </row>
    <row r="1043" spans="1:6" x14ac:dyDescent="0.3">
      <c r="A1043">
        <v>1042</v>
      </c>
      <c r="B1043">
        <v>1042</v>
      </c>
      <c r="C1043" s="1">
        <v>45393</v>
      </c>
      <c r="D1043" s="1">
        <v>45398</v>
      </c>
      <c r="E1043" t="s">
        <v>70</v>
      </c>
      <c r="F1043" t="s">
        <v>69</v>
      </c>
    </row>
    <row r="1044" spans="1:6" x14ac:dyDescent="0.3">
      <c r="A1044">
        <v>1043</v>
      </c>
      <c r="B1044">
        <v>1043</v>
      </c>
      <c r="C1044" s="1">
        <v>45432</v>
      </c>
      <c r="D1044" s="1">
        <v>45433</v>
      </c>
      <c r="E1044" t="s">
        <v>70</v>
      </c>
      <c r="F1044" t="s">
        <v>12</v>
      </c>
    </row>
    <row r="1045" spans="1:6" x14ac:dyDescent="0.3">
      <c r="A1045">
        <v>1044</v>
      </c>
      <c r="B1045">
        <v>1044</v>
      </c>
      <c r="C1045" s="1">
        <v>45657</v>
      </c>
      <c r="D1045" s="1">
        <v>45661</v>
      </c>
      <c r="E1045" t="s">
        <v>71</v>
      </c>
      <c r="F1045" t="s">
        <v>12</v>
      </c>
    </row>
    <row r="1046" spans="1:6" x14ac:dyDescent="0.3">
      <c r="A1046">
        <v>1045</v>
      </c>
      <c r="B1046">
        <v>1045</v>
      </c>
      <c r="C1046" s="1">
        <v>45458</v>
      </c>
      <c r="D1046" s="1">
        <v>45460</v>
      </c>
      <c r="E1046" t="s">
        <v>70</v>
      </c>
      <c r="F1046" t="s">
        <v>12</v>
      </c>
    </row>
    <row r="1047" spans="1:6" x14ac:dyDescent="0.3">
      <c r="A1047">
        <v>1046</v>
      </c>
      <c r="B1047">
        <v>1046</v>
      </c>
      <c r="C1047" s="1">
        <v>45410</v>
      </c>
      <c r="D1047" s="1">
        <v>45413</v>
      </c>
      <c r="E1047" t="s">
        <v>70</v>
      </c>
      <c r="F1047" t="s">
        <v>69</v>
      </c>
    </row>
    <row r="1048" spans="1:6" x14ac:dyDescent="0.3">
      <c r="A1048">
        <v>1047</v>
      </c>
      <c r="B1048">
        <v>1047</v>
      </c>
      <c r="C1048" s="1">
        <v>45608</v>
      </c>
      <c r="D1048" s="1">
        <v>45609</v>
      </c>
      <c r="E1048" t="s">
        <v>70</v>
      </c>
      <c r="F1048" t="s">
        <v>69</v>
      </c>
    </row>
    <row r="1049" spans="1:6" x14ac:dyDescent="0.3">
      <c r="A1049">
        <v>1048</v>
      </c>
      <c r="B1049">
        <v>1048</v>
      </c>
      <c r="C1049" s="1">
        <v>45391</v>
      </c>
      <c r="D1049" s="1">
        <v>45396</v>
      </c>
      <c r="E1049" t="s">
        <v>72</v>
      </c>
      <c r="F1049" t="s">
        <v>12</v>
      </c>
    </row>
    <row r="1050" spans="1:6" x14ac:dyDescent="0.3">
      <c r="A1050">
        <v>1049</v>
      </c>
      <c r="B1050">
        <v>1049</v>
      </c>
      <c r="C1050" s="1">
        <v>45601</v>
      </c>
      <c r="D1050" s="1">
        <v>45603</v>
      </c>
      <c r="E1050" t="s">
        <v>68</v>
      </c>
      <c r="F1050" t="s">
        <v>12</v>
      </c>
    </row>
    <row r="1051" spans="1:6" x14ac:dyDescent="0.3">
      <c r="A1051">
        <v>1050</v>
      </c>
      <c r="B1051">
        <v>1050</v>
      </c>
      <c r="C1051" s="1">
        <v>45578</v>
      </c>
      <c r="D1051" s="1">
        <v>45581</v>
      </c>
      <c r="E1051" t="s">
        <v>72</v>
      </c>
      <c r="F1051" t="s">
        <v>12</v>
      </c>
    </row>
    <row r="1052" spans="1:6" x14ac:dyDescent="0.3">
      <c r="A1052">
        <v>1051</v>
      </c>
      <c r="B1052">
        <v>1051</v>
      </c>
      <c r="C1052" s="1">
        <v>45651</v>
      </c>
      <c r="D1052" s="1">
        <v>45660</v>
      </c>
      <c r="E1052" t="s">
        <v>70</v>
      </c>
      <c r="F1052" t="s">
        <v>69</v>
      </c>
    </row>
    <row r="1053" spans="1:6" x14ac:dyDescent="0.3">
      <c r="A1053">
        <v>1052</v>
      </c>
      <c r="B1053">
        <v>1052</v>
      </c>
      <c r="C1053" s="1">
        <v>45496</v>
      </c>
      <c r="D1053" s="1">
        <v>45497</v>
      </c>
      <c r="E1053" t="s">
        <v>72</v>
      </c>
      <c r="F1053" t="s">
        <v>12</v>
      </c>
    </row>
    <row r="1054" spans="1:6" x14ac:dyDescent="0.3">
      <c r="A1054">
        <v>1053</v>
      </c>
      <c r="B1054">
        <v>1053</v>
      </c>
      <c r="C1054" s="1">
        <v>45414</v>
      </c>
      <c r="D1054" s="1">
        <v>45415</v>
      </c>
      <c r="E1054" t="s">
        <v>71</v>
      </c>
      <c r="F1054" t="s">
        <v>69</v>
      </c>
    </row>
    <row r="1055" spans="1:6" x14ac:dyDescent="0.3">
      <c r="A1055">
        <v>1054</v>
      </c>
      <c r="B1055">
        <v>1054</v>
      </c>
      <c r="C1055" s="1">
        <v>45403</v>
      </c>
      <c r="D1055" s="1">
        <v>45410</v>
      </c>
      <c r="E1055" t="s">
        <v>70</v>
      </c>
      <c r="F1055" t="s">
        <v>69</v>
      </c>
    </row>
    <row r="1056" spans="1:6" x14ac:dyDescent="0.3">
      <c r="A1056">
        <v>1055</v>
      </c>
      <c r="B1056">
        <v>1055</v>
      </c>
      <c r="C1056" s="1">
        <v>45644</v>
      </c>
      <c r="D1056" s="1">
        <v>45652</v>
      </c>
      <c r="E1056" t="s">
        <v>68</v>
      </c>
      <c r="F1056" t="s">
        <v>69</v>
      </c>
    </row>
    <row r="1057" spans="1:6" x14ac:dyDescent="0.3">
      <c r="A1057">
        <v>1056</v>
      </c>
      <c r="B1057">
        <v>1056</v>
      </c>
      <c r="C1057" s="1">
        <v>45652</v>
      </c>
      <c r="D1057" s="1">
        <v>45655</v>
      </c>
      <c r="E1057" t="s">
        <v>72</v>
      </c>
      <c r="F1057" t="s">
        <v>12</v>
      </c>
    </row>
    <row r="1058" spans="1:6" x14ac:dyDescent="0.3">
      <c r="A1058">
        <v>1057</v>
      </c>
      <c r="B1058">
        <v>1057</v>
      </c>
      <c r="C1058" s="1">
        <v>45549</v>
      </c>
      <c r="D1058" s="1">
        <v>45556</v>
      </c>
      <c r="E1058" t="s">
        <v>71</v>
      </c>
      <c r="F1058" t="s">
        <v>69</v>
      </c>
    </row>
    <row r="1059" spans="1:6" x14ac:dyDescent="0.3">
      <c r="A1059">
        <v>1058</v>
      </c>
      <c r="B1059">
        <v>1058</v>
      </c>
      <c r="C1059" s="1">
        <v>45632</v>
      </c>
      <c r="D1059" s="1">
        <v>45636</v>
      </c>
      <c r="E1059" t="s">
        <v>72</v>
      </c>
      <c r="F1059" t="s">
        <v>12</v>
      </c>
    </row>
    <row r="1060" spans="1:6" x14ac:dyDescent="0.3">
      <c r="A1060">
        <v>1059</v>
      </c>
      <c r="B1060">
        <v>1059</v>
      </c>
      <c r="C1060" s="1">
        <v>45611</v>
      </c>
      <c r="D1060" s="1">
        <v>45614</v>
      </c>
      <c r="E1060" t="s">
        <v>71</v>
      </c>
      <c r="F1060" t="s">
        <v>69</v>
      </c>
    </row>
    <row r="1061" spans="1:6" x14ac:dyDescent="0.3">
      <c r="A1061">
        <v>1060</v>
      </c>
      <c r="B1061">
        <v>1060</v>
      </c>
      <c r="C1061" s="1">
        <v>45320</v>
      </c>
      <c r="D1061" s="1">
        <v>45325</v>
      </c>
      <c r="E1061" t="s">
        <v>71</v>
      </c>
      <c r="F1061" t="s">
        <v>12</v>
      </c>
    </row>
    <row r="1062" spans="1:6" x14ac:dyDescent="0.3">
      <c r="A1062">
        <v>1061</v>
      </c>
      <c r="B1062">
        <v>1061</v>
      </c>
      <c r="C1062" s="1">
        <v>45632</v>
      </c>
      <c r="D1062" s="1">
        <v>45642</v>
      </c>
      <c r="E1062" t="s">
        <v>71</v>
      </c>
      <c r="F1062" t="s">
        <v>12</v>
      </c>
    </row>
    <row r="1063" spans="1:6" x14ac:dyDescent="0.3">
      <c r="A1063">
        <v>1062</v>
      </c>
      <c r="B1063">
        <v>1062</v>
      </c>
      <c r="C1063" s="1">
        <v>45387</v>
      </c>
      <c r="D1063" s="1">
        <v>45393</v>
      </c>
      <c r="E1063" t="s">
        <v>70</v>
      </c>
      <c r="F1063" t="s">
        <v>69</v>
      </c>
    </row>
    <row r="1064" spans="1:6" x14ac:dyDescent="0.3">
      <c r="A1064">
        <v>1063</v>
      </c>
      <c r="B1064">
        <v>1063</v>
      </c>
      <c r="C1064" s="1">
        <v>45634</v>
      </c>
      <c r="D1064" s="1">
        <v>45640</v>
      </c>
      <c r="E1064" t="s">
        <v>72</v>
      </c>
      <c r="F1064" t="s">
        <v>69</v>
      </c>
    </row>
    <row r="1065" spans="1:6" x14ac:dyDescent="0.3">
      <c r="A1065">
        <v>1064</v>
      </c>
      <c r="B1065">
        <v>1064</v>
      </c>
      <c r="C1065" s="1">
        <v>45456</v>
      </c>
      <c r="D1065" s="1">
        <v>45460</v>
      </c>
      <c r="E1065" t="s">
        <v>68</v>
      </c>
      <c r="F1065" t="s">
        <v>69</v>
      </c>
    </row>
    <row r="1066" spans="1:6" x14ac:dyDescent="0.3">
      <c r="A1066">
        <v>1065</v>
      </c>
      <c r="B1066">
        <v>1065</v>
      </c>
      <c r="C1066" s="1">
        <v>45455</v>
      </c>
      <c r="D1066" s="1">
        <v>45464</v>
      </c>
      <c r="E1066" t="s">
        <v>68</v>
      </c>
      <c r="F1066" t="s">
        <v>69</v>
      </c>
    </row>
    <row r="1067" spans="1:6" x14ac:dyDescent="0.3">
      <c r="A1067">
        <v>1066</v>
      </c>
      <c r="B1067">
        <v>1066</v>
      </c>
      <c r="C1067" s="1">
        <v>45320</v>
      </c>
      <c r="D1067" s="1">
        <v>45326</v>
      </c>
      <c r="E1067" t="s">
        <v>68</v>
      </c>
      <c r="F1067" t="s">
        <v>69</v>
      </c>
    </row>
    <row r="1068" spans="1:6" x14ac:dyDescent="0.3">
      <c r="A1068">
        <v>1067</v>
      </c>
      <c r="B1068">
        <v>1067</v>
      </c>
      <c r="C1068" s="1">
        <v>45397</v>
      </c>
      <c r="D1068" s="1">
        <v>45406</v>
      </c>
      <c r="E1068" t="s">
        <v>68</v>
      </c>
      <c r="F1068" t="s">
        <v>12</v>
      </c>
    </row>
    <row r="1069" spans="1:6" x14ac:dyDescent="0.3">
      <c r="A1069">
        <v>1068</v>
      </c>
      <c r="B1069">
        <v>1068</v>
      </c>
      <c r="C1069" s="1">
        <v>45469</v>
      </c>
      <c r="D1069" s="1">
        <v>45471</v>
      </c>
      <c r="E1069" t="s">
        <v>70</v>
      </c>
      <c r="F1069" t="s">
        <v>12</v>
      </c>
    </row>
    <row r="1070" spans="1:6" x14ac:dyDescent="0.3">
      <c r="A1070">
        <v>1069</v>
      </c>
      <c r="B1070">
        <v>1069</v>
      </c>
      <c r="C1070" s="1">
        <v>45450</v>
      </c>
      <c r="D1070" s="1">
        <v>45454</v>
      </c>
      <c r="E1070" t="s">
        <v>70</v>
      </c>
      <c r="F1070" t="s">
        <v>12</v>
      </c>
    </row>
    <row r="1071" spans="1:6" x14ac:dyDescent="0.3">
      <c r="A1071">
        <v>1070</v>
      </c>
      <c r="B1071">
        <v>1070</v>
      </c>
      <c r="C1071" s="1">
        <v>45346</v>
      </c>
      <c r="D1071" s="1">
        <v>45352</v>
      </c>
      <c r="E1071" t="s">
        <v>68</v>
      </c>
      <c r="F1071" t="s">
        <v>12</v>
      </c>
    </row>
    <row r="1072" spans="1:6" x14ac:dyDescent="0.3">
      <c r="A1072">
        <v>1071</v>
      </c>
      <c r="B1072">
        <v>1071</v>
      </c>
      <c r="C1072" s="1">
        <v>45388</v>
      </c>
      <c r="D1072" s="1">
        <v>45391</v>
      </c>
      <c r="E1072" t="s">
        <v>70</v>
      </c>
      <c r="F1072" t="s">
        <v>12</v>
      </c>
    </row>
    <row r="1073" spans="1:6" x14ac:dyDescent="0.3">
      <c r="A1073">
        <v>1072</v>
      </c>
      <c r="B1073">
        <v>1072</v>
      </c>
      <c r="C1073" s="1">
        <v>45522</v>
      </c>
      <c r="D1073" s="1">
        <v>45528</v>
      </c>
      <c r="E1073" t="s">
        <v>68</v>
      </c>
      <c r="F1073" t="s">
        <v>12</v>
      </c>
    </row>
    <row r="1074" spans="1:6" x14ac:dyDescent="0.3">
      <c r="A1074">
        <v>1073</v>
      </c>
      <c r="B1074">
        <v>1073</v>
      </c>
      <c r="C1074" s="1">
        <v>45540</v>
      </c>
      <c r="D1074" s="1">
        <v>45543</v>
      </c>
      <c r="E1074" t="s">
        <v>70</v>
      </c>
      <c r="F1074" t="s">
        <v>12</v>
      </c>
    </row>
    <row r="1075" spans="1:6" x14ac:dyDescent="0.3">
      <c r="A1075">
        <v>1074</v>
      </c>
      <c r="B1075">
        <v>1074</v>
      </c>
      <c r="C1075" s="1">
        <v>45303</v>
      </c>
      <c r="D1075" s="1">
        <v>45308</v>
      </c>
      <c r="E1075" t="s">
        <v>68</v>
      </c>
      <c r="F1075" t="s">
        <v>12</v>
      </c>
    </row>
    <row r="1076" spans="1:6" x14ac:dyDescent="0.3">
      <c r="A1076">
        <v>1075</v>
      </c>
      <c r="B1076">
        <v>1075</v>
      </c>
      <c r="C1076" s="1">
        <v>45434</v>
      </c>
      <c r="D1076" s="1">
        <v>45439</v>
      </c>
      <c r="E1076" t="s">
        <v>72</v>
      </c>
      <c r="F1076" t="s">
        <v>12</v>
      </c>
    </row>
    <row r="1077" spans="1:6" x14ac:dyDescent="0.3">
      <c r="A1077">
        <v>1076</v>
      </c>
      <c r="B1077">
        <v>1076</v>
      </c>
      <c r="C1077" s="1">
        <v>45520</v>
      </c>
      <c r="D1077" s="1">
        <v>45524</v>
      </c>
      <c r="E1077" t="s">
        <v>70</v>
      </c>
      <c r="F1077" t="s">
        <v>12</v>
      </c>
    </row>
    <row r="1078" spans="1:6" x14ac:dyDescent="0.3">
      <c r="A1078">
        <v>1077</v>
      </c>
      <c r="B1078">
        <v>1077</v>
      </c>
      <c r="C1078" s="1">
        <v>45310</v>
      </c>
      <c r="D1078" s="1">
        <v>45313</v>
      </c>
      <c r="E1078" t="s">
        <v>72</v>
      </c>
      <c r="F1078" t="s">
        <v>12</v>
      </c>
    </row>
    <row r="1079" spans="1:6" x14ac:dyDescent="0.3">
      <c r="A1079">
        <v>1078</v>
      </c>
      <c r="B1079">
        <v>1078</v>
      </c>
      <c r="C1079" s="1">
        <v>45387</v>
      </c>
      <c r="D1079" s="1">
        <v>45389</v>
      </c>
      <c r="E1079" t="s">
        <v>71</v>
      </c>
      <c r="F1079" t="s">
        <v>12</v>
      </c>
    </row>
    <row r="1080" spans="1:6" x14ac:dyDescent="0.3">
      <c r="A1080">
        <v>1079</v>
      </c>
      <c r="B1080">
        <v>1079</v>
      </c>
      <c r="C1080" s="1">
        <v>45424</v>
      </c>
      <c r="D1080" s="1">
        <v>45428</v>
      </c>
      <c r="E1080" t="s">
        <v>68</v>
      </c>
      <c r="F1080" t="s">
        <v>69</v>
      </c>
    </row>
    <row r="1081" spans="1:6" x14ac:dyDescent="0.3">
      <c r="A1081">
        <v>1080</v>
      </c>
      <c r="B1081">
        <v>1080</v>
      </c>
      <c r="C1081" s="1">
        <v>45484</v>
      </c>
      <c r="D1081" s="1">
        <v>45491</v>
      </c>
      <c r="E1081" t="s">
        <v>72</v>
      </c>
      <c r="F1081" t="s">
        <v>12</v>
      </c>
    </row>
    <row r="1082" spans="1:6" x14ac:dyDescent="0.3">
      <c r="A1082">
        <v>1081</v>
      </c>
      <c r="B1082">
        <v>1081</v>
      </c>
      <c r="C1082" s="1">
        <v>45636</v>
      </c>
      <c r="D1082" s="1">
        <v>45645</v>
      </c>
      <c r="E1082" t="s">
        <v>71</v>
      </c>
      <c r="F1082" t="s">
        <v>12</v>
      </c>
    </row>
    <row r="1083" spans="1:6" x14ac:dyDescent="0.3">
      <c r="A1083">
        <v>1082</v>
      </c>
      <c r="B1083">
        <v>1082</v>
      </c>
      <c r="C1083" s="1">
        <v>45325</v>
      </c>
      <c r="D1083" s="1">
        <v>45334</v>
      </c>
      <c r="E1083" t="s">
        <v>70</v>
      </c>
      <c r="F1083" t="s">
        <v>12</v>
      </c>
    </row>
    <row r="1084" spans="1:6" x14ac:dyDescent="0.3">
      <c r="A1084">
        <v>1083</v>
      </c>
      <c r="B1084">
        <v>1083</v>
      </c>
      <c r="C1084" s="1">
        <v>45409</v>
      </c>
      <c r="D1084" s="1">
        <v>45419</v>
      </c>
      <c r="E1084" t="s">
        <v>68</v>
      </c>
      <c r="F1084" t="s">
        <v>12</v>
      </c>
    </row>
    <row r="1085" spans="1:6" x14ac:dyDescent="0.3">
      <c r="A1085">
        <v>1084</v>
      </c>
      <c r="B1085">
        <v>1084</v>
      </c>
      <c r="C1085" s="1">
        <v>45570</v>
      </c>
      <c r="D1085" s="1">
        <v>45571</v>
      </c>
      <c r="E1085" t="s">
        <v>72</v>
      </c>
      <c r="F1085" t="s">
        <v>12</v>
      </c>
    </row>
    <row r="1086" spans="1:6" x14ac:dyDescent="0.3">
      <c r="A1086">
        <v>1085</v>
      </c>
      <c r="B1086">
        <v>1085</v>
      </c>
      <c r="C1086" s="1">
        <v>45517</v>
      </c>
      <c r="D1086" s="1">
        <v>45527</v>
      </c>
      <c r="E1086" t="s">
        <v>68</v>
      </c>
      <c r="F1086" t="s">
        <v>69</v>
      </c>
    </row>
    <row r="1087" spans="1:6" x14ac:dyDescent="0.3">
      <c r="A1087">
        <v>1086</v>
      </c>
      <c r="B1087">
        <v>1086</v>
      </c>
      <c r="C1087" s="1">
        <v>45439</v>
      </c>
      <c r="D1087" s="1">
        <v>45445</v>
      </c>
      <c r="E1087" t="s">
        <v>71</v>
      </c>
      <c r="F1087" t="s">
        <v>12</v>
      </c>
    </row>
    <row r="1088" spans="1:6" x14ac:dyDescent="0.3">
      <c r="A1088">
        <v>1087</v>
      </c>
      <c r="B1088">
        <v>1087</v>
      </c>
      <c r="C1088" s="1">
        <v>45293</v>
      </c>
      <c r="D1088" s="1">
        <v>45298</v>
      </c>
      <c r="E1088" t="s">
        <v>72</v>
      </c>
      <c r="F1088" t="s">
        <v>12</v>
      </c>
    </row>
    <row r="1089" spans="1:6" x14ac:dyDescent="0.3">
      <c r="A1089">
        <v>1088</v>
      </c>
      <c r="B1089">
        <v>1088</v>
      </c>
      <c r="C1089" s="1">
        <v>45482</v>
      </c>
      <c r="D1089" s="1">
        <v>45486</v>
      </c>
      <c r="E1089" t="s">
        <v>71</v>
      </c>
      <c r="F1089" t="s">
        <v>69</v>
      </c>
    </row>
    <row r="1090" spans="1:6" x14ac:dyDescent="0.3">
      <c r="A1090">
        <v>1089</v>
      </c>
      <c r="B1090">
        <v>1089</v>
      </c>
      <c r="C1090" s="1">
        <v>45579</v>
      </c>
      <c r="D1090" s="1">
        <v>45583</v>
      </c>
      <c r="E1090" t="s">
        <v>68</v>
      </c>
      <c r="F1090" t="s">
        <v>69</v>
      </c>
    </row>
    <row r="1091" spans="1:6" x14ac:dyDescent="0.3">
      <c r="A1091">
        <v>1090</v>
      </c>
      <c r="B1091">
        <v>1090</v>
      </c>
      <c r="C1091" s="1">
        <v>45565</v>
      </c>
      <c r="D1091" s="1">
        <v>45571</v>
      </c>
      <c r="E1091" t="s">
        <v>68</v>
      </c>
      <c r="F1091" t="s">
        <v>69</v>
      </c>
    </row>
    <row r="1092" spans="1:6" x14ac:dyDescent="0.3">
      <c r="A1092">
        <v>1091</v>
      </c>
      <c r="B1092">
        <v>1091</v>
      </c>
      <c r="C1092" s="1">
        <v>45304</v>
      </c>
      <c r="D1092" s="1">
        <v>45309</v>
      </c>
      <c r="E1092" t="s">
        <v>71</v>
      </c>
      <c r="F1092" t="s">
        <v>12</v>
      </c>
    </row>
    <row r="1093" spans="1:6" x14ac:dyDescent="0.3">
      <c r="A1093">
        <v>1092</v>
      </c>
      <c r="B1093">
        <v>1092</v>
      </c>
      <c r="C1093" s="1">
        <v>45516</v>
      </c>
      <c r="D1093" s="1">
        <v>45518</v>
      </c>
      <c r="E1093" t="s">
        <v>70</v>
      </c>
      <c r="F1093" t="s">
        <v>69</v>
      </c>
    </row>
    <row r="1094" spans="1:6" x14ac:dyDescent="0.3">
      <c r="A1094">
        <v>1093</v>
      </c>
      <c r="B1094">
        <v>1093</v>
      </c>
      <c r="C1094" s="1">
        <v>45452</v>
      </c>
      <c r="D1094" s="1">
        <v>45456</v>
      </c>
      <c r="E1094" t="s">
        <v>70</v>
      </c>
      <c r="F1094" t="s">
        <v>12</v>
      </c>
    </row>
    <row r="1095" spans="1:6" x14ac:dyDescent="0.3">
      <c r="A1095">
        <v>1094</v>
      </c>
      <c r="B1095">
        <v>1094</v>
      </c>
      <c r="C1095" s="1">
        <v>45486</v>
      </c>
      <c r="D1095" s="1">
        <v>45494</v>
      </c>
      <c r="E1095" t="s">
        <v>72</v>
      </c>
      <c r="F1095" t="s">
        <v>12</v>
      </c>
    </row>
    <row r="1096" spans="1:6" x14ac:dyDescent="0.3">
      <c r="A1096">
        <v>1095</v>
      </c>
      <c r="B1096">
        <v>1095</v>
      </c>
      <c r="C1096" s="1">
        <v>45413</v>
      </c>
      <c r="D1096" s="1">
        <v>45419</v>
      </c>
      <c r="E1096" t="s">
        <v>70</v>
      </c>
      <c r="F1096" t="s">
        <v>12</v>
      </c>
    </row>
    <row r="1097" spans="1:6" x14ac:dyDescent="0.3">
      <c r="A1097">
        <v>1096</v>
      </c>
      <c r="B1097">
        <v>1096</v>
      </c>
      <c r="C1097" s="1">
        <v>45531</v>
      </c>
      <c r="D1097" s="1">
        <v>45536</v>
      </c>
      <c r="E1097" t="s">
        <v>72</v>
      </c>
      <c r="F1097" t="s">
        <v>69</v>
      </c>
    </row>
    <row r="1098" spans="1:6" x14ac:dyDescent="0.3">
      <c r="A1098">
        <v>1097</v>
      </c>
      <c r="B1098">
        <v>1097</v>
      </c>
      <c r="C1098" s="1">
        <v>45429</v>
      </c>
      <c r="D1098" s="1">
        <v>45430</v>
      </c>
      <c r="E1098" t="s">
        <v>70</v>
      </c>
      <c r="F1098" t="s">
        <v>69</v>
      </c>
    </row>
    <row r="1099" spans="1:6" x14ac:dyDescent="0.3">
      <c r="A1099">
        <v>1098</v>
      </c>
      <c r="B1099">
        <v>1098</v>
      </c>
      <c r="C1099" s="1">
        <v>45637</v>
      </c>
      <c r="D1099" s="1">
        <v>45640</v>
      </c>
      <c r="E1099" t="s">
        <v>71</v>
      </c>
      <c r="F1099" t="s">
        <v>12</v>
      </c>
    </row>
    <row r="1100" spans="1:6" x14ac:dyDescent="0.3">
      <c r="A1100">
        <v>1099</v>
      </c>
      <c r="B1100">
        <v>1099</v>
      </c>
      <c r="C1100" s="1">
        <v>45345</v>
      </c>
      <c r="D1100" s="1">
        <v>45347</v>
      </c>
      <c r="E1100" t="s">
        <v>72</v>
      </c>
      <c r="F1100" t="s">
        <v>12</v>
      </c>
    </row>
    <row r="1101" spans="1:6" x14ac:dyDescent="0.3">
      <c r="A1101">
        <v>1100</v>
      </c>
      <c r="B1101">
        <v>1100</v>
      </c>
      <c r="C1101" s="1">
        <v>45479</v>
      </c>
      <c r="D1101" s="1">
        <v>45487</v>
      </c>
      <c r="E1101" t="s">
        <v>72</v>
      </c>
      <c r="F1101" t="s">
        <v>69</v>
      </c>
    </row>
    <row r="1102" spans="1:6" x14ac:dyDescent="0.3">
      <c r="A1102">
        <v>1101</v>
      </c>
      <c r="B1102">
        <v>1101</v>
      </c>
      <c r="C1102" s="1">
        <v>45448</v>
      </c>
      <c r="D1102" s="1">
        <v>45456</v>
      </c>
      <c r="E1102" t="s">
        <v>70</v>
      </c>
      <c r="F1102" t="s">
        <v>12</v>
      </c>
    </row>
    <row r="1103" spans="1:6" x14ac:dyDescent="0.3">
      <c r="A1103">
        <v>1102</v>
      </c>
      <c r="B1103">
        <v>1102</v>
      </c>
      <c r="C1103" s="1">
        <v>45614</v>
      </c>
      <c r="D1103" s="1">
        <v>45623</v>
      </c>
      <c r="E1103" t="s">
        <v>72</v>
      </c>
      <c r="F1103" t="s">
        <v>69</v>
      </c>
    </row>
    <row r="1104" spans="1:6" x14ac:dyDescent="0.3">
      <c r="A1104">
        <v>1103</v>
      </c>
      <c r="B1104">
        <v>1103</v>
      </c>
      <c r="C1104" s="1">
        <v>45320</v>
      </c>
      <c r="D1104" s="1">
        <v>45325</v>
      </c>
      <c r="E1104" t="s">
        <v>68</v>
      </c>
      <c r="F1104" t="s">
        <v>12</v>
      </c>
    </row>
    <row r="1105" spans="1:6" x14ac:dyDescent="0.3">
      <c r="A1105">
        <v>1104</v>
      </c>
      <c r="B1105">
        <v>1104</v>
      </c>
      <c r="C1105" s="1">
        <v>45486</v>
      </c>
      <c r="D1105" s="1">
        <v>45492</v>
      </c>
      <c r="E1105" t="s">
        <v>71</v>
      </c>
      <c r="F1105" t="s">
        <v>12</v>
      </c>
    </row>
    <row r="1106" spans="1:6" x14ac:dyDescent="0.3">
      <c r="A1106">
        <v>1105</v>
      </c>
      <c r="B1106">
        <v>1105</v>
      </c>
      <c r="C1106" s="1">
        <v>45436</v>
      </c>
      <c r="D1106" s="1">
        <v>45439</v>
      </c>
      <c r="E1106" t="s">
        <v>72</v>
      </c>
      <c r="F1106" t="s">
        <v>12</v>
      </c>
    </row>
    <row r="1107" spans="1:6" x14ac:dyDescent="0.3">
      <c r="A1107">
        <v>1106</v>
      </c>
      <c r="B1107">
        <v>1106</v>
      </c>
      <c r="C1107" s="1">
        <v>45573</v>
      </c>
      <c r="D1107" s="1">
        <v>45575</v>
      </c>
      <c r="E1107" t="s">
        <v>68</v>
      </c>
      <c r="F1107" t="s">
        <v>69</v>
      </c>
    </row>
    <row r="1108" spans="1:6" x14ac:dyDescent="0.3">
      <c r="A1108">
        <v>1107</v>
      </c>
      <c r="B1108">
        <v>1107</v>
      </c>
      <c r="C1108" s="1">
        <v>45478</v>
      </c>
      <c r="D1108" s="1">
        <v>45482</v>
      </c>
      <c r="E1108" t="s">
        <v>72</v>
      </c>
      <c r="F1108" t="s">
        <v>69</v>
      </c>
    </row>
    <row r="1109" spans="1:6" x14ac:dyDescent="0.3">
      <c r="A1109">
        <v>1108</v>
      </c>
      <c r="B1109">
        <v>1108</v>
      </c>
      <c r="C1109" s="1">
        <v>45454</v>
      </c>
      <c r="D1109" s="1">
        <v>45462</v>
      </c>
      <c r="E1109" t="s">
        <v>70</v>
      </c>
      <c r="F1109" t="s">
        <v>12</v>
      </c>
    </row>
    <row r="1110" spans="1:6" x14ac:dyDescent="0.3">
      <c r="A1110">
        <v>1109</v>
      </c>
      <c r="B1110">
        <v>1109</v>
      </c>
      <c r="C1110" s="1">
        <v>45292</v>
      </c>
      <c r="D1110" s="1">
        <v>45300</v>
      </c>
      <c r="E1110" t="s">
        <v>72</v>
      </c>
      <c r="F1110" t="s">
        <v>12</v>
      </c>
    </row>
    <row r="1111" spans="1:6" x14ac:dyDescent="0.3">
      <c r="A1111">
        <v>1110</v>
      </c>
      <c r="B1111">
        <v>1110</v>
      </c>
      <c r="C1111" s="1">
        <v>45454</v>
      </c>
      <c r="D1111" s="1">
        <v>45463</v>
      </c>
      <c r="E1111" t="s">
        <v>71</v>
      </c>
      <c r="F1111" t="s">
        <v>69</v>
      </c>
    </row>
    <row r="1112" spans="1:6" x14ac:dyDescent="0.3">
      <c r="A1112">
        <v>1111</v>
      </c>
      <c r="B1112">
        <v>1111</v>
      </c>
      <c r="C1112" s="1">
        <v>45301</v>
      </c>
      <c r="D1112" s="1">
        <v>45306</v>
      </c>
      <c r="E1112" t="s">
        <v>72</v>
      </c>
      <c r="F1112" t="s">
        <v>12</v>
      </c>
    </row>
    <row r="1113" spans="1:6" x14ac:dyDescent="0.3">
      <c r="A1113">
        <v>1112</v>
      </c>
      <c r="B1113">
        <v>1112</v>
      </c>
      <c r="C1113" s="1">
        <v>45337</v>
      </c>
      <c r="D1113" s="1">
        <v>45339</v>
      </c>
      <c r="E1113" t="s">
        <v>72</v>
      </c>
      <c r="F1113" t="s">
        <v>69</v>
      </c>
    </row>
    <row r="1114" spans="1:6" x14ac:dyDescent="0.3">
      <c r="A1114">
        <v>1113</v>
      </c>
      <c r="B1114">
        <v>1113</v>
      </c>
      <c r="C1114" s="1">
        <v>45620</v>
      </c>
      <c r="D1114" s="1">
        <v>45621</v>
      </c>
      <c r="E1114" t="s">
        <v>68</v>
      </c>
      <c r="F1114" t="s">
        <v>69</v>
      </c>
    </row>
    <row r="1115" spans="1:6" x14ac:dyDescent="0.3">
      <c r="A1115">
        <v>1114</v>
      </c>
      <c r="B1115">
        <v>1114</v>
      </c>
      <c r="C1115" s="1">
        <v>45313</v>
      </c>
      <c r="D1115" s="1">
        <v>45321</v>
      </c>
      <c r="E1115" t="s">
        <v>72</v>
      </c>
      <c r="F1115" t="s">
        <v>12</v>
      </c>
    </row>
    <row r="1116" spans="1:6" x14ac:dyDescent="0.3">
      <c r="A1116">
        <v>1115</v>
      </c>
      <c r="B1116">
        <v>1115</v>
      </c>
      <c r="C1116" s="1">
        <v>45650</v>
      </c>
      <c r="D1116" s="1">
        <v>45653</v>
      </c>
      <c r="E1116" t="s">
        <v>68</v>
      </c>
      <c r="F1116" t="s">
        <v>69</v>
      </c>
    </row>
    <row r="1117" spans="1:6" x14ac:dyDescent="0.3">
      <c r="A1117">
        <v>1116</v>
      </c>
      <c r="B1117">
        <v>1116</v>
      </c>
      <c r="C1117" s="1">
        <v>45554</v>
      </c>
      <c r="D1117" s="1">
        <v>45555</v>
      </c>
      <c r="E1117" t="s">
        <v>72</v>
      </c>
      <c r="F1117" t="s">
        <v>12</v>
      </c>
    </row>
    <row r="1118" spans="1:6" x14ac:dyDescent="0.3">
      <c r="A1118">
        <v>1117</v>
      </c>
      <c r="B1118">
        <v>1117</v>
      </c>
      <c r="C1118" s="1">
        <v>45409</v>
      </c>
      <c r="D1118" s="1">
        <v>45414</v>
      </c>
      <c r="E1118" t="s">
        <v>72</v>
      </c>
      <c r="F1118" t="s">
        <v>69</v>
      </c>
    </row>
    <row r="1119" spans="1:6" x14ac:dyDescent="0.3">
      <c r="A1119">
        <v>1118</v>
      </c>
      <c r="B1119">
        <v>1118</v>
      </c>
      <c r="C1119" s="1">
        <v>45339</v>
      </c>
      <c r="D1119" s="1">
        <v>45341</v>
      </c>
      <c r="E1119" t="s">
        <v>68</v>
      </c>
      <c r="F1119" t="s">
        <v>69</v>
      </c>
    </row>
    <row r="1120" spans="1:6" x14ac:dyDescent="0.3">
      <c r="A1120">
        <v>1119</v>
      </c>
      <c r="B1120">
        <v>1119</v>
      </c>
      <c r="C1120" s="1">
        <v>45460</v>
      </c>
      <c r="D1120" s="1">
        <v>45461</v>
      </c>
      <c r="E1120" t="s">
        <v>70</v>
      </c>
      <c r="F1120" t="s">
        <v>69</v>
      </c>
    </row>
    <row r="1121" spans="1:6" x14ac:dyDescent="0.3">
      <c r="A1121">
        <v>1120</v>
      </c>
      <c r="B1121">
        <v>1120</v>
      </c>
      <c r="C1121" s="1">
        <v>45434</v>
      </c>
      <c r="D1121" s="1">
        <v>45435</v>
      </c>
      <c r="E1121" t="s">
        <v>72</v>
      </c>
      <c r="F1121" t="s">
        <v>12</v>
      </c>
    </row>
    <row r="1122" spans="1:6" x14ac:dyDescent="0.3">
      <c r="A1122">
        <v>1121</v>
      </c>
      <c r="B1122">
        <v>1121</v>
      </c>
      <c r="C1122" s="1">
        <v>45419</v>
      </c>
      <c r="D1122" s="1">
        <v>45426</v>
      </c>
      <c r="E1122" t="s">
        <v>72</v>
      </c>
      <c r="F1122" t="s">
        <v>69</v>
      </c>
    </row>
    <row r="1123" spans="1:6" x14ac:dyDescent="0.3">
      <c r="A1123">
        <v>1122</v>
      </c>
      <c r="B1123">
        <v>1122</v>
      </c>
      <c r="C1123" s="1">
        <v>45313</v>
      </c>
      <c r="D1123" s="1">
        <v>45314</v>
      </c>
      <c r="E1123" t="s">
        <v>72</v>
      </c>
      <c r="F1123" t="s">
        <v>69</v>
      </c>
    </row>
    <row r="1124" spans="1:6" x14ac:dyDescent="0.3">
      <c r="A1124">
        <v>1123</v>
      </c>
      <c r="B1124">
        <v>1123</v>
      </c>
      <c r="C1124" s="1">
        <v>45386</v>
      </c>
      <c r="D1124" s="1">
        <v>45396</v>
      </c>
      <c r="E1124" t="s">
        <v>68</v>
      </c>
      <c r="F1124" t="s">
        <v>69</v>
      </c>
    </row>
    <row r="1125" spans="1:6" x14ac:dyDescent="0.3">
      <c r="A1125">
        <v>1124</v>
      </c>
      <c r="B1125">
        <v>1124</v>
      </c>
      <c r="C1125" s="1">
        <v>45466</v>
      </c>
      <c r="D1125" s="1">
        <v>45475</v>
      </c>
      <c r="E1125" t="s">
        <v>72</v>
      </c>
      <c r="F1125" t="s">
        <v>12</v>
      </c>
    </row>
    <row r="1126" spans="1:6" x14ac:dyDescent="0.3">
      <c r="A1126">
        <v>1125</v>
      </c>
      <c r="B1126">
        <v>1125</v>
      </c>
      <c r="C1126" s="1">
        <v>45547</v>
      </c>
      <c r="D1126" s="1">
        <v>45548</v>
      </c>
      <c r="E1126" t="s">
        <v>72</v>
      </c>
      <c r="F1126" t="s">
        <v>12</v>
      </c>
    </row>
    <row r="1127" spans="1:6" x14ac:dyDescent="0.3">
      <c r="A1127">
        <v>1126</v>
      </c>
      <c r="B1127">
        <v>1126</v>
      </c>
      <c r="C1127" s="1">
        <v>45560</v>
      </c>
      <c r="D1127" s="1">
        <v>45566</v>
      </c>
      <c r="E1127" t="s">
        <v>68</v>
      </c>
      <c r="F1127" t="s">
        <v>69</v>
      </c>
    </row>
    <row r="1128" spans="1:6" x14ac:dyDescent="0.3">
      <c r="A1128">
        <v>1127</v>
      </c>
      <c r="B1128">
        <v>1127</v>
      </c>
      <c r="C1128" s="1">
        <v>45435</v>
      </c>
      <c r="D1128" s="1">
        <v>45441</v>
      </c>
      <c r="E1128" t="s">
        <v>72</v>
      </c>
      <c r="F1128" t="s">
        <v>69</v>
      </c>
    </row>
    <row r="1129" spans="1:6" x14ac:dyDescent="0.3">
      <c r="A1129">
        <v>1128</v>
      </c>
      <c r="B1129">
        <v>1128</v>
      </c>
      <c r="C1129" s="1">
        <v>45623</v>
      </c>
      <c r="D1129" s="1">
        <v>45625</v>
      </c>
      <c r="E1129" t="s">
        <v>71</v>
      </c>
      <c r="F1129" t="s">
        <v>12</v>
      </c>
    </row>
    <row r="1130" spans="1:6" x14ac:dyDescent="0.3">
      <c r="A1130">
        <v>1129</v>
      </c>
      <c r="B1130">
        <v>1129</v>
      </c>
      <c r="C1130" s="1">
        <v>45437</v>
      </c>
      <c r="D1130" s="1">
        <v>45440</v>
      </c>
      <c r="E1130" t="s">
        <v>70</v>
      </c>
      <c r="F1130" t="s">
        <v>69</v>
      </c>
    </row>
    <row r="1131" spans="1:6" x14ac:dyDescent="0.3">
      <c r="A1131">
        <v>1130</v>
      </c>
      <c r="B1131">
        <v>1130</v>
      </c>
      <c r="C1131" s="1">
        <v>45466</v>
      </c>
      <c r="D1131" s="1">
        <v>45475</v>
      </c>
      <c r="E1131" t="s">
        <v>71</v>
      </c>
      <c r="F1131" t="s">
        <v>12</v>
      </c>
    </row>
    <row r="1132" spans="1:6" x14ac:dyDescent="0.3">
      <c r="A1132">
        <v>1131</v>
      </c>
      <c r="B1132">
        <v>1131</v>
      </c>
      <c r="C1132" s="1">
        <v>45519</v>
      </c>
      <c r="D1132" s="1">
        <v>45527</v>
      </c>
      <c r="E1132" t="s">
        <v>70</v>
      </c>
      <c r="F1132" t="s">
        <v>69</v>
      </c>
    </row>
    <row r="1133" spans="1:6" x14ac:dyDescent="0.3">
      <c r="A1133">
        <v>1132</v>
      </c>
      <c r="B1133">
        <v>1132</v>
      </c>
      <c r="C1133" s="1">
        <v>45562</v>
      </c>
      <c r="D1133" s="1">
        <v>45565</v>
      </c>
      <c r="E1133" t="s">
        <v>71</v>
      </c>
      <c r="F1133" t="s">
        <v>69</v>
      </c>
    </row>
    <row r="1134" spans="1:6" x14ac:dyDescent="0.3">
      <c r="A1134">
        <v>1133</v>
      </c>
      <c r="B1134">
        <v>1133</v>
      </c>
      <c r="C1134" s="1">
        <v>45318</v>
      </c>
      <c r="D1134" s="1">
        <v>45322</v>
      </c>
      <c r="E1134" t="s">
        <v>72</v>
      </c>
      <c r="F1134" t="s">
        <v>69</v>
      </c>
    </row>
    <row r="1135" spans="1:6" x14ac:dyDescent="0.3">
      <c r="A1135">
        <v>1134</v>
      </c>
      <c r="B1135">
        <v>1134</v>
      </c>
      <c r="C1135" s="1">
        <v>45415</v>
      </c>
      <c r="D1135" s="1">
        <v>45423</v>
      </c>
      <c r="E1135" t="s">
        <v>68</v>
      </c>
      <c r="F1135" t="s">
        <v>12</v>
      </c>
    </row>
    <row r="1136" spans="1:6" x14ac:dyDescent="0.3">
      <c r="A1136">
        <v>1135</v>
      </c>
      <c r="B1136">
        <v>1135</v>
      </c>
      <c r="C1136" s="1">
        <v>45400</v>
      </c>
      <c r="D1136" s="1">
        <v>45410</v>
      </c>
      <c r="E1136" t="s">
        <v>72</v>
      </c>
      <c r="F1136" t="s">
        <v>12</v>
      </c>
    </row>
    <row r="1137" spans="1:6" x14ac:dyDescent="0.3">
      <c r="A1137">
        <v>1136</v>
      </c>
      <c r="B1137">
        <v>1136</v>
      </c>
      <c r="C1137" s="1">
        <v>45636</v>
      </c>
      <c r="D1137" s="1">
        <v>45646</v>
      </c>
      <c r="E1137" t="s">
        <v>70</v>
      </c>
      <c r="F1137" t="s">
        <v>12</v>
      </c>
    </row>
    <row r="1138" spans="1:6" x14ac:dyDescent="0.3">
      <c r="A1138">
        <v>1137</v>
      </c>
      <c r="B1138">
        <v>1137</v>
      </c>
      <c r="C1138" s="1">
        <v>45311</v>
      </c>
      <c r="D1138" s="1">
        <v>45312</v>
      </c>
      <c r="E1138" t="s">
        <v>72</v>
      </c>
      <c r="F1138" t="s">
        <v>69</v>
      </c>
    </row>
    <row r="1139" spans="1:6" x14ac:dyDescent="0.3">
      <c r="A1139">
        <v>1138</v>
      </c>
      <c r="B1139">
        <v>1138</v>
      </c>
      <c r="C1139" s="1">
        <v>45349</v>
      </c>
      <c r="D1139" s="1">
        <v>45354</v>
      </c>
      <c r="E1139" t="s">
        <v>72</v>
      </c>
      <c r="F1139" t="s">
        <v>12</v>
      </c>
    </row>
    <row r="1140" spans="1:6" x14ac:dyDescent="0.3">
      <c r="A1140">
        <v>1139</v>
      </c>
      <c r="B1140">
        <v>1139</v>
      </c>
      <c r="C1140" s="1">
        <v>45416</v>
      </c>
      <c r="D1140" s="1">
        <v>45421</v>
      </c>
      <c r="E1140" t="s">
        <v>72</v>
      </c>
      <c r="F1140" t="s">
        <v>12</v>
      </c>
    </row>
    <row r="1141" spans="1:6" x14ac:dyDescent="0.3">
      <c r="A1141">
        <v>1140</v>
      </c>
      <c r="B1141">
        <v>1140</v>
      </c>
      <c r="C1141" s="1">
        <v>45310</v>
      </c>
      <c r="D1141" s="1">
        <v>45318</v>
      </c>
      <c r="E1141" t="s">
        <v>72</v>
      </c>
      <c r="F1141" t="s">
        <v>12</v>
      </c>
    </row>
    <row r="1142" spans="1:6" x14ac:dyDescent="0.3">
      <c r="A1142">
        <v>1141</v>
      </c>
      <c r="B1142">
        <v>1141</v>
      </c>
      <c r="C1142" s="1">
        <v>45345</v>
      </c>
      <c r="D1142" s="1">
        <v>45349</v>
      </c>
      <c r="E1142" t="s">
        <v>68</v>
      </c>
      <c r="F1142" t="s">
        <v>69</v>
      </c>
    </row>
    <row r="1143" spans="1:6" x14ac:dyDescent="0.3">
      <c r="A1143">
        <v>1142</v>
      </c>
      <c r="B1143">
        <v>1142</v>
      </c>
      <c r="C1143" s="1">
        <v>45654</v>
      </c>
      <c r="D1143" s="1">
        <v>45664</v>
      </c>
      <c r="E1143" t="s">
        <v>72</v>
      </c>
      <c r="F1143" t="s">
        <v>69</v>
      </c>
    </row>
    <row r="1144" spans="1:6" x14ac:dyDescent="0.3">
      <c r="A1144">
        <v>1143</v>
      </c>
      <c r="B1144">
        <v>1143</v>
      </c>
      <c r="C1144" s="1">
        <v>45369</v>
      </c>
      <c r="D1144" s="1">
        <v>45377</v>
      </c>
      <c r="E1144" t="s">
        <v>71</v>
      </c>
      <c r="F1144" t="s">
        <v>69</v>
      </c>
    </row>
    <row r="1145" spans="1:6" x14ac:dyDescent="0.3">
      <c r="A1145">
        <v>1144</v>
      </c>
      <c r="B1145">
        <v>1144</v>
      </c>
      <c r="C1145" s="1">
        <v>45361</v>
      </c>
      <c r="D1145" s="1">
        <v>45368</v>
      </c>
      <c r="E1145" t="s">
        <v>71</v>
      </c>
      <c r="F1145" t="s">
        <v>12</v>
      </c>
    </row>
    <row r="1146" spans="1:6" x14ac:dyDescent="0.3">
      <c r="A1146">
        <v>1145</v>
      </c>
      <c r="B1146">
        <v>1145</v>
      </c>
      <c r="C1146" s="1">
        <v>45337</v>
      </c>
      <c r="D1146" s="1">
        <v>45347</v>
      </c>
      <c r="E1146" t="s">
        <v>71</v>
      </c>
      <c r="F1146" t="s">
        <v>12</v>
      </c>
    </row>
    <row r="1147" spans="1:6" x14ac:dyDescent="0.3">
      <c r="A1147">
        <v>1146</v>
      </c>
      <c r="B1147">
        <v>1146</v>
      </c>
      <c r="C1147" s="1">
        <v>45545</v>
      </c>
      <c r="D1147" s="1">
        <v>45551</v>
      </c>
      <c r="E1147" t="s">
        <v>68</v>
      </c>
      <c r="F1147" t="s">
        <v>69</v>
      </c>
    </row>
    <row r="1148" spans="1:6" x14ac:dyDescent="0.3">
      <c r="A1148">
        <v>1147</v>
      </c>
      <c r="B1148">
        <v>1147</v>
      </c>
      <c r="C1148" s="1">
        <v>45634</v>
      </c>
      <c r="D1148" s="1">
        <v>45639</v>
      </c>
      <c r="E1148" t="s">
        <v>71</v>
      </c>
      <c r="F1148" t="s">
        <v>69</v>
      </c>
    </row>
    <row r="1149" spans="1:6" x14ac:dyDescent="0.3">
      <c r="A1149">
        <v>1148</v>
      </c>
      <c r="B1149">
        <v>1148</v>
      </c>
      <c r="C1149" s="1">
        <v>45480</v>
      </c>
      <c r="D1149" s="1">
        <v>45481</v>
      </c>
      <c r="E1149" t="s">
        <v>71</v>
      </c>
      <c r="F1149" t="s">
        <v>69</v>
      </c>
    </row>
    <row r="1150" spans="1:6" x14ac:dyDescent="0.3">
      <c r="A1150">
        <v>1149</v>
      </c>
      <c r="B1150">
        <v>1149</v>
      </c>
      <c r="C1150" s="1">
        <v>45653</v>
      </c>
      <c r="D1150" s="1">
        <v>45657</v>
      </c>
      <c r="E1150" t="s">
        <v>72</v>
      </c>
      <c r="F1150" t="s">
        <v>12</v>
      </c>
    </row>
    <row r="1151" spans="1:6" x14ac:dyDescent="0.3">
      <c r="A1151">
        <v>1150</v>
      </c>
      <c r="B1151">
        <v>1150</v>
      </c>
      <c r="C1151" s="1">
        <v>45325</v>
      </c>
      <c r="D1151" s="1">
        <v>45327</v>
      </c>
      <c r="E1151" t="s">
        <v>71</v>
      </c>
      <c r="F1151" t="s">
        <v>69</v>
      </c>
    </row>
    <row r="1152" spans="1:6" x14ac:dyDescent="0.3">
      <c r="A1152">
        <v>1151</v>
      </c>
      <c r="B1152">
        <v>1151</v>
      </c>
      <c r="C1152" s="1">
        <v>45556</v>
      </c>
      <c r="D1152" s="1">
        <v>45566</v>
      </c>
      <c r="E1152" t="s">
        <v>70</v>
      </c>
      <c r="F1152" t="s">
        <v>69</v>
      </c>
    </row>
    <row r="1153" spans="1:6" x14ac:dyDescent="0.3">
      <c r="A1153">
        <v>1152</v>
      </c>
      <c r="B1153">
        <v>1152</v>
      </c>
      <c r="C1153" s="1">
        <v>45432</v>
      </c>
      <c r="D1153" s="1">
        <v>45434</v>
      </c>
      <c r="E1153" t="s">
        <v>72</v>
      </c>
      <c r="F1153" t="s">
        <v>69</v>
      </c>
    </row>
    <row r="1154" spans="1:6" x14ac:dyDescent="0.3">
      <c r="A1154">
        <v>1153</v>
      </c>
      <c r="B1154">
        <v>1153</v>
      </c>
      <c r="C1154" s="1">
        <v>45328</v>
      </c>
      <c r="D1154" s="1">
        <v>45334</v>
      </c>
      <c r="E1154" t="s">
        <v>71</v>
      </c>
      <c r="F1154" t="s">
        <v>69</v>
      </c>
    </row>
    <row r="1155" spans="1:6" x14ac:dyDescent="0.3">
      <c r="A1155">
        <v>1154</v>
      </c>
      <c r="B1155">
        <v>1154</v>
      </c>
      <c r="C1155" s="1">
        <v>45329</v>
      </c>
      <c r="D1155" s="1">
        <v>45335</v>
      </c>
      <c r="E1155" t="s">
        <v>72</v>
      </c>
      <c r="F1155" t="s">
        <v>69</v>
      </c>
    </row>
    <row r="1156" spans="1:6" x14ac:dyDescent="0.3">
      <c r="A1156">
        <v>1155</v>
      </c>
      <c r="B1156">
        <v>1155</v>
      </c>
      <c r="C1156" s="1">
        <v>45403</v>
      </c>
      <c r="D1156" s="1">
        <v>45406</v>
      </c>
      <c r="E1156" t="s">
        <v>72</v>
      </c>
      <c r="F1156" t="s">
        <v>12</v>
      </c>
    </row>
    <row r="1157" spans="1:6" x14ac:dyDescent="0.3">
      <c r="A1157">
        <v>1156</v>
      </c>
      <c r="B1157">
        <v>1156</v>
      </c>
      <c r="C1157" s="1">
        <v>45549</v>
      </c>
      <c r="D1157" s="1">
        <v>45554</v>
      </c>
      <c r="E1157" t="s">
        <v>70</v>
      </c>
      <c r="F1157" t="s">
        <v>12</v>
      </c>
    </row>
    <row r="1158" spans="1:6" x14ac:dyDescent="0.3">
      <c r="A1158">
        <v>1157</v>
      </c>
      <c r="B1158">
        <v>1157</v>
      </c>
      <c r="C1158" s="1">
        <v>45509</v>
      </c>
      <c r="D1158" s="1">
        <v>45515</v>
      </c>
      <c r="E1158" t="s">
        <v>68</v>
      </c>
      <c r="F1158" t="s">
        <v>12</v>
      </c>
    </row>
    <row r="1159" spans="1:6" x14ac:dyDescent="0.3">
      <c r="A1159">
        <v>1158</v>
      </c>
      <c r="B1159">
        <v>1158</v>
      </c>
      <c r="C1159" s="1">
        <v>45386</v>
      </c>
      <c r="D1159" s="1">
        <v>45395</v>
      </c>
      <c r="E1159" t="s">
        <v>71</v>
      </c>
      <c r="F1159" t="s">
        <v>69</v>
      </c>
    </row>
    <row r="1160" spans="1:6" x14ac:dyDescent="0.3">
      <c r="A1160">
        <v>1159</v>
      </c>
      <c r="B1160">
        <v>1159</v>
      </c>
      <c r="C1160" s="1">
        <v>45394</v>
      </c>
      <c r="D1160" s="1">
        <v>45400</v>
      </c>
      <c r="E1160" t="s">
        <v>70</v>
      </c>
      <c r="F1160" t="s">
        <v>69</v>
      </c>
    </row>
    <row r="1161" spans="1:6" x14ac:dyDescent="0.3">
      <c r="A1161">
        <v>1160</v>
      </c>
      <c r="B1161">
        <v>1160</v>
      </c>
      <c r="C1161" s="1">
        <v>45633</v>
      </c>
      <c r="D1161" s="1">
        <v>45637</v>
      </c>
      <c r="E1161" t="s">
        <v>68</v>
      </c>
      <c r="F1161" t="s">
        <v>12</v>
      </c>
    </row>
    <row r="1162" spans="1:6" x14ac:dyDescent="0.3">
      <c r="A1162">
        <v>1161</v>
      </c>
      <c r="B1162">
        <v>1161</v>
      </c>
      <c r="C1162" s="1">
        <v>45551</v>
      </c>
      <c r="D1162" s="1">
        <v>45553</v>
      </c>
      <c r="E1162" t="s">
        <v>71</v>
      </c>
      <c r="F1162" t="s">
        <v>12</v>
      </c>
    </row>
    <row r="1163" spans="1:6" x14ac:dyDescent="0.3">
      <c r="A1163">
        <v>1162</v>
      </c>
      <c r="B1163">
        <v>1162</v>
      </c>
      <c r="C1163" s="1">
        <v>45330</v>
      </c>
      <c r="D1163" s="1">
        <v>45338</v>
      </c>
      <c r="E1163" t="s">
        <v>68</v>
      </c>
      <c r="F1163" t="s">
        <v>12</v>
      </c>
    </row>
    <row r="1164" spans="1:6" x14ac:dyDescent="0.3">
      <c r="A1164">
        <v>1163</v>
      </c>
      <c r="B1164">
        <v>1163</v>
      </c>
      <c r="C1164" s="1">
        <v>45499</v>
      </c>
      <c r="D1164" s="1">
        <v>45500</v>
      </c>
      <c r="E1164" t="s">
        <v>72</v>
      </c>
      <c r="F1164" t="s">
        <v>12</v>
      </c>
    </row>
    <row r="1165" spans="1:6" x14ac:dyDescent="0.3">
      <c r="A1165">
        <v>1164</v>
      </c>
      <c r="B1165">
        <v>1164</v>
      </c>
      <c r="C1165" s="1">
        <v>45340</v>
      </c>
      <c r="D1165" s="1">
        <v>45346</v>
      </c>
      <c r="E1165" t="s">
        <v>71</v>
      </c>
      <c r="F1165" t="s">
        <v>12</v>
      </c>
    </row>
    <row r="1166" spans="1:6" x14ac:dyDescent="0.3">
      <c r="A1166">
        <v>1165</v>
      </c>
      <c r="B1166">
        <v>1165</v>
      </c>
      <c r="C1166" s="1">
        <v>45410</v>
      </c>
      <c r="D1166" s="1">
        <v>45415</v>
      </c>
      <c r="E1166" t="s">
        <v>70</v>
      </c>
      <c r="F1166" t="s">
        <v>12</v>
      </c>
    </row>
    <row r="1167" spans="1:6" x14ac:dyDescent="0.3">
      <c r="A1167">
        <v>1166</v>
      </c>
      <c r="B1167">
        <v>1166</v>
      </c>
      <c r="C1167" s="1">
        <v>45415</v>
      </c>
      <c r="D1167" s="1">
        <v>45421</v>
      </c>
      <c r="E1167" t="s">
        <v>68</v>
      </c>
      <c r="F1167" t="s">
        <v>69</v>
      </c>
    </row>
    <row r="1168" spans="1:6" x14ac:dyDescent="0.3">
      <c r="A1168">
        <v>1167</v>
      </c>
      <c r="B1168">
        <v>1167</v>
      </c>
      <c r="C1168" s="1">
        <v>45631</v>
      </c>
      <c r="D1168" s="1">
        <v>45636</v>
      </c>
      <c r="E1168" t="s">
        <v>72</v>
      </c>
      <c r="F1168" t="s">
        <v>69</v>
      </c>
    </row>
    <row r="1169" spans="1:6" x14ac:dyDescent="0.3">
      <c r="A1169">
        <v>1168</v>
      </c>
      <c r="B1169">
        <v>1168</v>
      </c>
      <c r="C1169" s="1">
        <v>45633</v>
      </c>
      <c r="D1169" s="1">
        <v>45640</v>
      </c>
      <c r="E1169" t="s">
        <v>72</v>
      </c>
      <c r="F1169" t="s">
        <v>69</v>
      </c>
    </row>
    <row r="1170" spans="1:6" x14ac:dyDescent="0.3">
      <c r="A1170">
        <v>1169</v>
      </c>
      <c r="B1170">
        <v>1169</v>
      </c>
      <c r="C1170" s="1">
        <v>45657</v>
      </c>
      <c r="D1170" s="1">
        <v>45665</v>
      </c>
      <c r="E1170" t="s">
        <v>72</v>
      </c>
      <c r="F1170" t="s">
        <v>69</v>
      </c>
    </row>
    <row r="1171" spans="1:6" x14ac:dyDescent="0.3">
      <c r="A1171">
        <v>1170</v>
      </c>
      <c r="B1171">
        <v>1170</v>
      </c>
      <c r="C1171" s="1">
        <v>45598</v>
      </c>
      <c r="D1171" s="1">
        <v>45605</v>
      </c>
      <c r="E1171" t="s">
        <v>70</v>
      </c>
      <c r="F1171" t="s">
        <v>12</v>
      </c>
    </row>
    <row r="1172" spans="1:6" x14ac:dyDescent="0.3">
      <c r="A1172">
        <v>1171</v>
      </c>
      <c r="B1172">
        <v>1171</v>
      </c>
      <c r="C1172" s="1">
        <v>45517</v>
      </c>
      <c r="D1172" s="1">
        <v>45519</v>
      </c>
      <c r="E1172" t="s">
        <v>72</v>
      </c>
      <c r="F1172" t="s">
        <v>12</v>
      </c>
    </row>
    <row r="1173" spans="1:6" x14ac:dyDescent="0.3">
      <c r="A1173">
        <v>1172</v>
      </c>
      <c r="B1173">
        <v>1172</v>
      </c>
      <c r="C1173" s="1">
        <v>45302</v>
      </c>
      <c r="D1173" s="1">
        <v>45304</v>
      </c>
      <c r="E1173" t="s">
        <v>72</v>
      </c>
      <c r="F1173" t="s">
        <v>69</v>
      </c>
    </row>
    <row r="1174" spans="1:6" x14ac:dyDescent="0.3">
      <c r="A1174">
        <v>1173</v>
      </c>
      <c r="B1174">
        <v>1173</v>
      </c>
      <c r="C1174" s="1">
        <v>45529</v>
      </c>
      <c r="D1174" s="1">
        <v>45537</v>
      </c>
      <c r="E1174" t="s">
        <v>68</v>
      </c>
      <c r="F1174" t="s">
        <v>12</v>
      </c>
    </row>
    <row r="1175" spans="1:6" x14ac:dyDescent="0.3">
      <c r="A1175">
        <v>1174</v>
      </c>
      <c r="B1175">
        <v>1174</v>
      </c>
      <c r="C1175" s="1">
        <v>45654</v>
      </c>
      <c r="D1175" s="1">
        <v>45658</v>
      </c>
      <c r="E1175" t="s">
        <v>68</v>
      </c>
      <c r="F1175" t="s">
        <v>69</v>
      </c>
    </row>
    <row r="1176" spans="1:6" x14ac:dyDescent="0.3">
      <c r="A1176">
        <v>1175</v>
      </c>
      <c r="B1176">
        <v>1175</v>
      </c>
      <c r="C1176" s="1">
        <v>45602</v>
      </c>
      <c r="D1176" s="1">
        <v>45605</v>
      </c>
      <c r="E1176" t="s">
        <v>70</v>
      </c>
      <c r="F1176" t="s">
        <v>12</v>
      </c>
    </row>
    <row r="1177" spans="1:6" x14ac:dyDescent="0.3">
      <c r="A1177">
        <v>1176</v>
      </c>
      <c r="B1177">
        <v>1176</v>
      </c>
      <c r="C1177" s="1">
        <v>45575</v>
      </c>
      <c r="D1177" s="1">
        <v>45581</v>
      </c>
      <c r="E1177" t="s">
        <v>70</v>
      </c>
      <c r="F1177" t="s">
        <v>69</v>
      </c>
    </row>
    <row r="1178" spans="1:6" x14ac:dyDescent="0.3">
      <c r="A1178">
        <v>1177</v>
      </c>
      <c r="B1178">
        <v>1177</v>
      </c>
      <c r="C1178" s="1">
        <v>45512</v>
      </c>
      <c r="D1178" s="1">
        <v>45516</v>
      </c>
      <c r="E1178" t="s">
        <v>72</v>
      </c>
      <c r="F1178" t="s">
        <v>69</v>
      </c>
    </row>
    <row r="1179" spans="1:6" x14ac:dyDescent="0.3">
      <c r="A1179">
        <v>1178</v>
      </c>
      <c r="B1179">
        <v>1178</v>
      </c>
      <c r="C1179" s="1">
        <v>45531</v>
      </c>
      <c r="D1179" s="1">
        <v>45537</v>
      </c>
      <c r="E1179" t="s">
        <v>70</v>
      </c>
      <c r="F1179" t="s">
        <v>12</v>
      </c>
    </row>
    <row r="1180" spans="1:6" x14ac:dyDescent="0.3">
      <c r="A1180">
        <v>1179</v>
      </c>
      <c r="B1180">
        <v>1179</v>
      </c>
      <c r="C1180" s="1">
        <v>45397</v>
      </c>
      <c r="D1180" s="1">
        <v>45404</v>
      </c>
      <c r="E1180" t="s">
        <v>71</v>
      </c>
      <c r="F1180" t="s">
        <v>12</v>
      </c>
    </row>
    <row r="1181" spans="1:6" x14ac:dyDescent="0.3">
      <c r="A1181">
        <v>1180</v>
      </c>
      <c r="B1181">
        <v>1180</v>
      </c>
      <c r="C1181" s="1">
        <v>45305</v>
      </c>
      <c r="D1181" s="1">
        <v>45314</v>
      </c>
      <c r="E1181" t="s">
        <v>70</v>
      </c>
      <c r="F1181" t="s">
        <v>69</v>
      </c>
    </row>
    <row r="1182" spans="1:6" x14ac:dyDescent="0.3">
      <c r="A1182">
        <v>1181</v>
      </c>
      <c r="B1182">
        <v>1181</v>
      </c>
      <c r="C1182" s="1">
        <v>45329</v>
      </c>
      <c r="D1182" s="1">
        <v>45334</v>
      </c>
      <c r="E1182" t="s">
        <v>68</v>
      </c>
      <c r="F1182" t="s">
        <v>69</v>
      </c>
    </row>
    <row r="1183" spans="1:6" x14ac:dyDescent="0.3">
      <c r="A1183">
        <v>1182</v>
      </c>
      <c r="B1183">
        <v>1182</v>
      </c>
      <c r="C1183" s="1">
        <v>45418</v>
      </c>
      <c r="D1183" s="1">
        <v>45422</v>
      </c>
      <c r="E1183" t="s">
        <v>72</v>
      </c>
      <c r="F1183" t="s">
        <v>12</v>
      </c>
    </row>
    <row r="1184" spans="1:6" x14ac:dyDescent="0.3">
      <c r="A1184">
        <v>1183</v>
      </c>
      <c r="B1184">
        <v>1183</v>
      </c>
      <c r="C1184" s="1">
        <v>45458</v>
      </c>
      <c r="D1184" s="1">
        <v>45465</v>
      </c>
      <c r="E1184" t="s">
        <v>68</v>
      </c>
      <c r="F1184" t="s">
        <v>12</v>
      </c>
    </row>
    <row r="1185" spans="1:6" x14ac:dyDescent="0.3">
      <c r="A1185">
        <v>1184</v>
      </c>
      <c r="B1185">
        <v>1184</v>
      </c>
      <c r="C1185" s="1">
        <v>45621</v>
      </c>
      <c r="D1185" s="1">
        <v>45622</v>
      </c>
      <c r="E1185" t="s">
        <v>70</v>
      </c>
      <c r="F1185" t="s">
        <v>12</v>
      </c>
    </row>
    <row r="1186" spans="1:6" x14ac:dyDescent="0.3">
      <c r="A1186">
        <v>1185</v>
      </c>
      <c r="B1186">
        <v>1185</v>
      </c>
      <c r="C1186" s="1">
        <v>45588</v>
      </c>
      <c r="D1186" s="1">
        <v>45595</v>
      </c>
      <c r="E1186" t="s">
        <v>70</v>
      </c>
      <c r="F1186" t="s">
        <v>69</v>
      </c>
    </row>
    <row r="1187" spans="1:6" x14ac:dyDescent="0.3">
      <c r="A1187">
        <v>1186</v>
      </c>
      <c r="B1187">
        <v>1186</v>
      </c>
      <c r="C1187" s="1">
        <v>45350</v>
      </c>
      <c r="D1187" s="1">
        <v>45358</v>
      </c>
      <c r="E1187" t="s">
        <v>68</v>
      </c>
      <c r="F1187" t="s">
        <v>12</v>
      </c>
    </row>
    <row r="1188" spans="1:6" x14ac:dyDescent="0.3">
      <c r="A1188">
        <v>1187</v>
      </c>
      <c r="B1188">
        <v>1187</v>
      </c>
      <c r="C1188" s="1">
        <v>45455</v>
      </c>
      <c r="D1188" s="1">
        <v>45462</v>
      </c>
      <c r="E1188" t="s">
        <v>72</v>
      </c>
      <c r="F1188" t="s">
        <v>69</v>
      </c>
    </row>
    <row r="1189" spans="1:6" x14ac:dyDescent="0.3">
      <c r="A1189">
        <v>1188</v>
      </c>
      <c r="B1189">
        <v>1188</v>
      </c>
      <c r="C1189" s="1">
        <v>45332</v>
      </c>
      <c r="D1189" s="1">
        <v>45337</v>
      </c>
      <c r="E1189" t="s">
        <v>72</v>
      </c>
      <c r="F1189" t="s">
        <v>12</v>
      </c>
    </row>
    <row r="1190" spans="1:6" x14ac:dyDescent="0.3">
      <c r="A1190">
        <v>1189</v>
      </c>
      <c r="B1190">
        <v>1189</v>
      </c>
      <c r="C1190" s="1">
        <v>45650</v>
      </c>
      <c r="D1190" s="1">
        <v>45655</v>
      </c>
      <c r="E1190" t="s">
        <v>71</v>
      </c>
      <c r="F1190" t="s">
        <v>12</v>
      </c>
    </row>
    <row r="1191" spans="1:6" x14ac:dyDescent="0.3">
      <c r="A1191">
        <v>1190</v>
      </c>
      <c r="B1191">
        <v>1190</v>
      </c>
      <c r="C1191" s="1">
        <v>45440</v>
      </c>
      <c r="D1191" s="1">
        <v>45450</v>
      </c>
      <c r="E1191" t="s">
        <v>71</v>
      </c>
      <c r="F1191" t="s">
        <v>12</v>
      </c>
    </row>
    <row r="1192" spans="1:6" x14ac:dyDescent="0.3">
      <c r="A1192">
        <v>1191</v>
      </c>
      <c r="B1192">
        <v>1191</v>
      </c>
      <c r="C1192" s="1">
        <v>45649</v>
      </c>
      <c r="D1192" s="1">
        <v>45659</v>
      </c>
      <c r="E1192" t="s">
        <v>72</v>
      </c>
      <c r="F1192" t="s">
        <v>69</v>
      </c>
    </row>
    <row r="1193" spans="1:6" x14ac:dyDescent="0.3">
      <c r="A1193">
        <v>1192</v>
      </c>
      <c r="B1193">
        <v>1192</v>
      </c>
      <c r="C1193" s="1">
        <v>45561</v>
      </c>
      <c r="D1193" s="1">
        <v>45562</v>
      </c>
      <c r="E1193" t="s">
        <v>71</v>
      </c>
      <c r="F1193" t="s">
        <v>69</v>
      </c>
    </row>
    <row r="1194" spans="1:6" x14ac:dyDescent="0.3">
      <c r="A1194">
        <v>1193</v>
      </c>
      <c r="B1194">
        <v>1193</v>
      </c>
      <c r="C1194" s="1">
        <v>45337</v>
      </c>
      <c r="D1194" s="1">
        <v>45339</v>
      </c>
      <c r="E1194" t="s">
        <v>70</v>
      </c>
      <c r="F1194" t="s">
        <v>69</v>
      </c>
    </row>
    <row r="1195" spans="1:6" x14ac:dyDescent="0.3">
      <c r="A1195">
        <v>1194</v>
      </c>
      <c r="B1195">
        <v>1194</v>
      </c>
      <c r="C1195" s="1">
        <v>45487</v>
      </c>
      <c r="D1195" s="1">
        <v>45494</v>
      </c>
      <c r="E1195" t="s">
        <v>70</v>
      </c>
      <c r="F1195" t="s">
        <v>69</v>
      </c>
    </row>
    <row r="1196" spans="1:6" x14ac:dyDescent="0.3">
      <c r="A1196">
        <v>1195</v>
      </c>
      <c r="B1196">
        <v>1195</v>
      </c>
      <c r="C1196" s="1">
        <v>45312</v>
      </c>
      <c r="D1196" s="1">
        <v>45321</v>
      </c>
      <c r="E1196" t="s">
        <v>70</v>
      </c>
      <c r="F1196" t="s">
        <v>69</v>
      </c>
    </row>
    <row r="1197" spans="1:6" x14ac:dyDescent="0.3">
      <c r="A1197">
        <v>1196</v>
      </c>
      <c r="B1197">
        <v>1196</v>
      </c>
      <c r="C1197" s="1">
        <v>45351</v>
      </c>
      <c r="D1197" s="1">
        <v>45361</v>
      </c>
      <c r="E1197" t="s">
        <v>71</v>
      </c>
      <c r="F1197" t="s">
        <v>69</v>
      </c>
    </row>
    <row r="1198" spans="1:6" x14ac:dyDescent="0.3">
      <c r="A1198">
        <v>1197</v>
      </c>
      <c r="B1198">
        <v>1197</v>
      </c>
      <c r="C1198" s="1">
        <v>45610</v>
      </c>
      <c r="D1198" s="1">
        <v>45617</v>
      </c>
      <c r="E1198" t="s">
        <v>68</v>
      </c>
      <c r="F1198" t="s">
        <v>12</v>
      </c>
    </row>
    <row r="1199" spans="1:6" x14ac:dyDescent="0.3">
      <c r="A1199">
        <v>1198</v>
      </c>
      <c r="B1199">
        <v>1198</v>
      </c>
      <c r="C1199" s="1">
        <v>45495</v>
      </c>
      <c r="D1199" s="1">
        <v>45504</v>
      </c>
      <c r="E1199" t="s">
        <v>71</v>
      </c>
      <c r="F1199" t="s">
        <v>12</v>
      </c>
    </row>
    <row r="1200" spans="1:6" x14ac:dyDescent="0.3">
      <c r="A1200">
        <v>1199</v>
      </c>
      <c r="B1200">
        <v>1199</v>
      </c>
      <c r="C1200" s="1">
        <v>45374</v>
      </c>
      <c r="D1200" s="1">
        <v>45382</v>
      </c>
      <c r="E1200" t="s">
        <v>68</v>
      </c>
      <c r="F1200" t="s">
        <v>12</v>
      </c>
    </row>
    <row r="1201" spans="1:6" x14ac:dyDescent="0.3">
      <c r="A1201">
        <v>1200</v>
      </c>
      <c r="B1201">
        <v>1200</v>
      </c>
      <c r="C1201" s="1">
        <v>45630</v>
      </c>
      <c r="D1201" s="1">
        <v>45633</v>
      </c>
      <c r="E1201" t="s">
        <v>72</v>
      </c>
      <c r="F1201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Sheet2</vt:lpstr>
      <vt:lpstr>orders</vt:lpstr>
      <vt:lpstr>customers</vt:lpstr>
      <vt:lpstr>products</vt:lpstr>
      <vt:lpstr>shipments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Benny ‎</cp:lastModifiedBy>
  <dcterms:created xsi:type="dcterms:W3CDTF">2026-03-21T23:16:44Z</dcterms:created>
  <dcterms:modified xsi:type="dcterms:W3CDTF">2026-03-22T00:30:21Z</dcterms:modified>
</cp:coreProperties>
</file>